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4637d8169046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47c2a77f859c4044"/>
    <x:sheet xmlns:r="http://schemas.openxmlformats.org/officeDocument/2006/relationships" name="Taxonomy" sheetId="2" r:id="Rec8e43b984ab42e4"/>
    <x:sheet xmlns:r="http://schemas.openxmlformats.org/officeDocument/2006/relationships" name="Behavior_Coding_94" sheetId="3" r:id="Rf76d6002fc724569"/>
    <x:sheet xmlns:r="http://schemas.openxmlformats.org/officeDocument/2006/relationships" name="Video_Index_16" sheetId="4" r:id="Rad93a80319584f58"/>
    <x:sheet xmlns:r="http://schemas.openxmlformats.org/officeDocument/2006/relationships" name="QA" sheetId="5" r:id="Rca815f9bf0b342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.00"/>
  </x:numFmts>
  <x:fonts count="6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8323F"/>
      <x:name val="Carlito"/>
    </x:font>
    <x:font>
      <x:b/>
      <x:sz val="12"/>
      <x:color rgb="FF17324D"/>
      <x:name val="Carlito"/>
    </x:font>
    <x:font>
      <x:b/>
      <x:sz val="9"/>
      <x:color rgb="FFFFFFFF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DF3F2"/>
      </x:patternFill>
    </x:fill>
    <x:fill>
      <x:patternFill patternType="solid">
        <x:fgColor rgb="FFF2B134"/>
      </x:patternFill>
    </x:fill>
    <x:fill>
      <x:patternFill patternType="solid">
        <x:fgColor rgb="FF007C83"/>
      </x:patternFill>
    </x:fill>
    <x:fill>
      <x:patternFill patternType="solid">
        <x:fgColor rgb="FFF7FAFC"/>
      </x:patternFill>
    </x:fill>
  </x:fills>
  <x:borders count="4">
    <x:border/>
    <x:border>
      <x:bottom style="thin">
        <x:color rgb="FFD7E2E8"/>
      </x:bottom>
    </x:border>
    <x:border>
      <x:top style="thin">
        <x:color rgb="FFD7E2E8"/>
      </x:top>
      <x:bottom style="thin">
        <x:color rgb="FFD7E2E8"/>
      </x:bottom>
    </x:border>
    <x:border>
      <x:top style="thin">
        <x:color rgb="FFD7E2E8"/>
      </x:top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4" fillId="5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5" fillId="5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 wrapText="1"/>
    </x:xf>
    <x:xf numFmtId="201" fontId="0" fillId="0" borderId="2" xfId="0" applyNumberFormat="1" applyFont="1" applyFill="1" applyBorder="1" applyAlignment="1">
      <x:alignment vertical="top" wrapText="1"/>
    </x:xf>
    <x:xf numFmtId="200" fontId="0" fillId="0" borderId="3" xfId="0" applyNumberFormat="1" applyFont="1" applyFill="1" applyBorder="1" applyAlignment="1">
      <x:alignment vertical="top" wrapText="1"/>
    </x:xf>
    <x:xf numFmtId="201" fontId="0" fillId="0" borderId="3" xfId="0" applyNumberFormat="1" applyFont="1" applyFill="1" applyBorder="1" applyAlignment="1">
      <x:alignment vertical="top" wrapText="1"/>
    </x:xf>
    <x:xf numFmtId="0" fontId="0" fillId="6" borderId="2" xfId="0" applyNumberFormat="1" applyFont="1" applyFill="1" applyBorder="1" applyAlignment="1">
      <x:alignment vertical="top"/>
    </x:xf>
    <x:xf numFmtId="0" fontId="0" fillId="6" borderId="2" xfId="0" applyNumberFormat="1" applyFont="1" applyFill="1" applyBorder="1" applyAlignment="1">
      <x:alignment vertical="top" wrapText="1"/>
    </x:xf>
    <x:xf numFmtId="0" fontId="0" fillId="6" borderId="3" xfId="0" applyNumberFormat="1" applyFont="1" applyFill="1" applyBorder="1" applyAlignment="1">
      <x:alignment vertical="top"/>
    </x:xf>
    <x:xf numFmtId="0" fontId="0" fillId="6" borderId="3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ont>
        <x:b/>
        <x:color rgb="FF2E7D5B"/>
      </x:font>
      <x:fill>
        <x:patternFill patternType="solid">
          <x:bgColor rgb="FFDFF3E8"/>
        </x:patternFill>
      </x:fill>
    </x:dxf>
    <x:dxf>
      <x:font>
        <x:b/>
        <x:color rgb="FFB23A48"/>
      </x:font>
      <x:fill>
        <x:patternFill patternType="solid">
          <x:bgColor rgb="FFFADBD8"/>
        </x:patternFill>
      </x:fill>
    </x:dxf>
    <x:dxf>
      <x:font>
        <x:b/>
        <x:color rgb="FF17324D"/>
      </x:font>
      <x:fill>
        <x:patternFill patternType="solid">
          <x:bgColor rgb="FFF2B134"/>
        </x:patternFill>
      </x:fill>
    </x:dxf>
    <x:dxf>
      <x:font>
        <x:b/>
        <x:color rgb="FFB23A48"/>
      </x:font>
      <x:fill>
        <x:patternFill patternType="solid">
          <x:bgColor rgb="FFFADB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c6034a44244273" /><Relationship Type="http://schemas.openxmlformats.org/officeDocument/2006/relationships/theme" Target="/xl/theme/theme1.xml" Id="Rc7bba4da2d6945dd" /><Relationship Type="http://schemas.openxmlformats.org/officeDocument/2006/relationships/sharedStrings" Target="/xl/sharedStrings.xml" Id="R6c102e666f8445cb" /><Relationship Type="http://schemas.openxmlformats.org/officeDocument/2006/relationships/worksheet" Target="/xl/worksheets/sheet1.xml" Id="R47c2a77f859c4044" /><Relationship Type="http://schemas.openxmlformats.org/officeDocument/2006/relationships/worksheet" Target="/xl/worksheets/sheet2.xml" Id="Rec8e43b984ab42e4" /><Relationship Type="http://schemas.openxmlformats.org/officeDocument/2006/relationships/worksheet" Target="/xl/worksheets/sheet3.xml" Id="Rf76d6002fc724569" /><Relationship Type="http://schemas.openxmlformats.org/officeDocument/2006/relationships/worksheet" Target="/xl/worksheets/sheet4.xml" Id="Rad93a80319584f58" /><Relationship Type="http://schemas.openxmlformats.org/officeDocument/2006/relationships/worksheet" Target="/xl/worksheets/sheet5.xml" Id="Rca815f9bf0b34249" /></Relationships>
</file>

<file path=xl/tables/table1.xml><?xml version="1.0" encoding="utf-8"?>
<x:table xmlns:x="http://schemas.openxmlformats.org/spreadsheetml/2006/main" id="1" name="CodingProtocol" displayName="CodingProtocol" ref="A5:C12" headerRowCount="1" totalsRowCount="0" totalsRowShown="0">
  <x:tableColumns count="3">
    <x:tableColumn id="1" name="步骤"/>
    <x:tableColumn id="2" name="动作"/>
    <x:tableColumn id="3" name="规则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xonomyTable" displayName="TaxonomyTable" ref="A4:E28" headerRowCount="1" totalsRowCount="0" totalsRowShown="0">
  <x:tableColumns count="5">
    <x:tableColumn id="1" name="field"/>
    <x:tableColumn id="2" name="label"/>
    <x:tableColumn id="3" name="definition"/>
    <x:tableColumn id="4" name="examples"/>
    <x:tableColumn id="5" name="rol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ehaviorCoding94" displayName="BehaviorCoding94" ref="A4:Y98" headerRowCount="1" totalsRowCount="0" totalsRowShown="0">
  <x:tableColumns count="25">
    <x:tableColumn id="1" name="behavior_id"/>
    <x:tableColumn id="2" name="video_id"/>
    <x:tableColumn id="3" name="sequence_no"/>
    <x:tableColumn id="4" name="video_title"/>
    <x:tableColumn id="5" name="url"/>
    <x:tableColumn id="6" name="platform_language"/>
    <x:tableColumn id="7" name="software"/>
    <x:tableColumn id="8" name="content_object"/>
    <x:tableColumn id="9" name="owner"/>
    <x:tableColumn id="10" name="raw_behavior_text"/>
    <x:tableColumn id="11" name="start_time_s"/>
    <x:tableColumn id="12" name="end_time_s"/>
    <x:tableColumn id="13" name="primary_action_label"/>
    <x:tableColumn id="14" name="secondary_action_label"/>
    <x:tableColumn id="15" name="target"/>
    <x:tableColumn id="16" name="desired_effect"/>
    <x:tableColumn id="17" name="goal_stage"/>
    <x:tableColumn id="18" name="interaction_function"/>
    <x:tableColumn id="19" name="confidence"/>
    <x:tableColumn id="20" name="split_required"/>
    <x:tableColumn id="21" name="review_status"/>
    <x:tableColumn id="22" name="coder_id"/>
    <x:tableColumn id="23" name="reviewer_notes"/>
    <x:tableColumn id="24" name="taxonomy_QA"/>
    <x:tableColumn id="25" name="case_QA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VideoIndex16" displayName="VideoIndex16" ref="A4:M20" headerRowCount="1" totalsRowCount="0" totalsRowShown="0">
  <x:tableColumns count="13">
    <x:tableColumn id="1" name="source_row"/>
    <x:tableColumn id="2" name="video_id"/>
    <x:tableColumn id="3" name="duration"/>
    <x:tableColumn id="4" name="title"/>
    <x:tableColumn id="5" name="url"/>
    <x:tableColumn id="6" name="platform_language"/>
    <x:tableColumn id="7" name="software"/>
    <x:tableColumn id="8" name="content_object"/>
    <x:tableColumn id="9" name="production_summary"/>
    <x:tableColumn id="10" name="selection_reason"/>
    <x:tableColumn id="11" name="coding_focus"/>
    <x:tableColumn id="12" name="owner"/>
    <x:tableColumn id="13" name="behavior_cou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1a906e088334c1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e695af67c474ad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b522141051b4a5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dc871d11f74496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4" hidden="0" customWidth="1"/>
    <x:col min="3" max="3" width="96" hidden="0" customWidth="1"/>
  </x:cols>
  <x:sheetData>
    <x:row r="1" ht="30" customHeight="1">
      <x:c r="A1" s="2" t="str">
        <x:v>94 条自然语言行为 → Taxonomy 编码表</x:v>
      </x:c>
    </x:row>
    <x:row r="2" ht="32" customHeight="1">
      <x:c r="A2" s="5" t="str">
        <x:v>原句不修改；先标操作与对象，再标期望效果和意图功能。当前 94 行是开放式 codes，不是 creator-confirmed intent。</x:v>
      </x:c>
    </x:row>
    <x:row r="4">
      <x:c r="A4" s="7" t="str">
        <x:v>建议执行顺序</x:v>
      </x:c>
    </x:row>
    <x:row r="5" ht="34" customHeight="1">
      <x:c r="A5" s="13" t="str">
        <x:v>步骤</x:v>
      </x:c>
      <x:c r="B5" s="13" t="str">
        <x:v>动作</x:v>
      </x:c>
      <x:c r="C5" s="13" t="str">
        <x:v>规则</x:v>
      </x:c>
    </x:row>
    <x:row r="6">
      <x:c r="A6" s="14" t="n">
        <x:v>1</x:v>
      </x:c>
      <x:c r="B6" s="14" t="str">
        <x:v>保留原句</x:v>
      </x:c>
      <x:c r="C6" s="14" t="str">
        <x:v>不要改 raw_behavior_text。若一句包含多个独立行为，只标 split_required=Yes。</x:v>
      </x:c>
    </x:row>
    <x:row r="7">
      <x:c r="A7" s="14" t="n">
        <x:v>2</x:v>
      </x:c>
      <x:c r="B7" s="14" t="str">
        <x:v>标操作</x:v>
      </x:c>
      <x:c r="C7" s="14" t="str">
        <x:v>primary_action_label 必填；确有第二操作族时才填 secondary_action_label。</x:v>
      </x:c>
    </x:row>
    <x:row r="8">
      <x:c r="A8" s="14" t="n">
        <x:v>3</x:v>
      </x:c>
      <x:c r="B8" s="14" t="str">
        <x:v>拆目标与效果</x:v>
      </x:c>
      <x:c r="C8" s="14" t="str">
        <x:v>target 写被操作对象；desired_effect 写希望发生的状态变化，不重复工具名。</x:v>
      </x:c>
    </x:row>
    <x:row r="9">
      <x:c r="A9" s="14" t="n">
        <x:v>4</x:v>
      </x:c>
      <x:c r="B9" s="14" t="str">
        <x:v>标阶段和功能</x:v>
      </x:c>
      <x:c r="C9" s="14" t="str">
        <x:v>goal_stage 描述流程阶段；interaction_function 区分探索/实际修改/修复。</x:v>
      </x:c>
    </x:row>
    <x:row r="10">
      <x:c r="A10" s="14" t="n">
        <x:v>5</x:v>
      </x:c>
      <x:c r="B10" s="14" t="str">
        <x:v>保留未知</x:v>
      </x:c>
      <x:c r="C10" s="14" t="str">
        <x:v>没有证据时填 unknown，不根据教程标题或常识补写。</x:v>
      </x:c>
    </x:row>
    <x:row r="11">
      <x:c r="A11" s="14" t="n">
        <x:v>6</x:v>
      </x:c>
      <x:c r="B11" s="14" t="str">
        <x:v>VLM 后人工复核</x:v>
      </x:c>
      <x:c r="C11" s="14" t="str">
        <x:v>VLM 首轮填标签并设 review_status=VLM_suggested；Human A/B 独立复核。</x:v>
      </x:c>
    </x:row>
    <x:row r="12">
      <x:c r="A12" s="15" t="n">
        <x:v>7</x:v>
      </x:c>
      <x:c r="B12" s="15" t="str">
        <x:v>成为案例</x:v>
      </x:c>
      <x:c r="C12" s="15" t="str">
        <x:v>只有补齐 start/end 且完成 Adjudicated 的行，case_QA 才会显示 CASE_READY。</x:v>
      </x:c>
    </x:row>
    <x:row r="14">
      <x:c r="A14" s="16" t="str">
        <x:v>示例</x:v>
      </x:c>
    </x:row>
    <x:row r="15" ht="52" customHeight="1">
      <x:c r="A15" s="20" t="str">
        <x:v>示例1</x:v>
      </x:c>
      <x:c r="B15" s="20" t="str">
        <x:v>雕刻边缘，使之圆润，塑造石块外形</x:v>
      </x:c>
      <x:c r="C15" s="20" t="str"/>
      <x:c r="D15" s="20" t="str"/>
      <x:c r="E15" s="20" t="str">
        <x:v>primary=SCULPT_DETAIL；target=rock_edges；effect=round edges and form rock silhouette；stage=refine；function=pragmatic</x:v>
      </x:c>
      <x:c r="F15" s="20" t="str"/>
      <x:c r="G15" s="20" t="str"/>
      <x:c r="H15" s="20" t="str"/>
    </x:row>
    <x:row r="16" ht="52" customHeight="1">
      <x:c r="A16" s="21" t="str">
        <x:v>示例2</x:v>
      </x:c>
      <x:c r="B16" s="21" t="str">
        <x:v>查看基础布线，与细分前对比</x:v>
      </x:c>
      <x:c r="C16" s="21" t="str"/>
      <x:c r="D16" s="21" t="str"/>
      <x:c r="E16" s="21" t="str">
        <x:v>primary=INSPECT_COMPARE；secondary=TOPOLOGY_REMESH；target=mesh topology；stage=compare；function=epistemic</x:v>
      </x:c>
      <x:c r="F16" s="21" t="str"/>
      <x:c r="G16" s="21" t="str"/>
      <x:c r="H16" s="21" t="str"/>
    </x:row>
    <x:row r="17" ht="52" customHeight="1">
      <x:c r="A17" s="22" t="str">
        <x:v>示例3</x:v>
      </x:c>
      <x:c r="B17" s="22" t="str">
        <x:v>觉得合适，导出obj，再进入zbrush</x:v>
      </x:c>
      <x:c r="C17" s="22" t="str"/>
      <x:c r="D17" s="22" t="str"/>
      <x:c r="E17" s="22" t="str">
        <x:v>primary=PIPELINE_TRANSITION；target=current model；stage=transition；function=pragmatic；split_required=Yes</x:v>
      </x:c>
      <x:c r="F17" s="22" t="str"/>
      <x:c r="G17" s="22" t="str"/>
      <x:c r="H17" s="22" t="str"/>
    </x:row>
  </x:sheetData>
  <x:mergeCells>
    <x:mergeCell ref="A1:H1"/>
    <x:mergeCell ref="A2:H2"/>
    <x:mergeCell ref="A4:H4"/>
    <x:mergeCell ref="A14:H14"/>
    <x:mergeCell ref="B15:D15"/>
    <x:mergeCell ref="E15:H15"/>
    <x:mergeCell ref="B16:D16"/>
    <x:mergeCell ref="E16:H16"/>
    <x:mergeCell ref="B17:D17"/>
    <x:mergeCell ref="E17:H17"/>
  </x:mergeCells>
  <x:pageMargins left="0.7" right="0.7" top="0.75" bottom="0.75" header="0.3" footer="0.3"/>
  <x:tableParts count="1">
    <x:tablePart xmlns:r="http://schemas.openxmlformats.org/officeDocument/2006/relationships" r:id="R91a906e088334c1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0" hidden="0" customWidth="1"/>
    <x:col min="3" max="3" width="60" hidden="0" customWidth="1"/>
    <x:col min="4" max="4" width="54" hidden="0" customWidth="1"/>
    <x:col min="5" max="5" width="24" hidden="0" customWidth="1"/>
  </x:cols>
  <x:sheetData>
    <x:row r="1" ht="30" customHeight="1">
      <x:c r="A1" s="2" t="str">
        <x:v>Taxonomy v0.1</x:v>
      </x:c>
    </x:row>
    <x:row r="2" ht="32" customHeight="1">
      <x:c r="A2" s="5" t="str">
        <x:v>允许 primary + secondary 多标签；如果 codebook 不能覆盖，写 OTHER 并在 reviewer_notes 中提出新类别。</x:v>
      </x:c>
    </x:row>
    <x:row r="4" ht="34" customHeight="1">
      <x:c r="A4" s="13" t="str">
        <x:v>field</x:v>
      </x:c>
      <x:c r="B4" s="13" t="str">
        <x:v>label</x:v>
      </x:c>
      <x:c r="C4" s="13" t="str">
        <x:v>definition</x:v>
      </x:c>
      <x:c r="D4" s="13" t="str">
        <x:v>examples</x:v>
      </x:c>
      <x:c r="E4" s="13" t="str">
        <x:v>role</x:v>
      </x:c>
    </x:row>
    <x:row r="5" ht="42" customHeight="1">
      <x:c r="A5" s="23" t="str">
        <x:v>operation_family</x:v>
      </x:c>
      <x:c r="B5" s="23" t="str">
        <x:v>CREATE_BLOCK</x:v>
      </x:c>
      <x:c r="C5" s="23" t="str">
        <x:v>创建、导入或放置基础体块</x:v>
      </x:c>
      <x:c r="D5" s="23" t="str">
        <x:v>建立立方体；导入两个体积</x:v>
      </x:c>
      <x:c r="E5" s="23" t="str">
        <x:v>可观察操作</x:v>
      </x:c>
    </x:row>
    <x:row r="6" ht="42" customHeight="1">
      <x:c r="A6" s="23" t="str">
        <x:v>operation_family</x:v>
      </x:c>
      <x:c r="B6" s="23" t="str">
        <x:v>TRANSFORM_SHAPE</x:v>
      </x:c>
      <x:c r="C6" s="23" t="str">
        <x:v>移动、旋转、缩放、比例和轮廓调整</x:v>
      </x:c>
      <x:c r="D6" s="23" t="str">
        <x:v>拖拽；旋转；调整模型形变</x:v>
      </x:c>
      <x:c r="E6" s="23" t="str">
        <x:v>可观察操作</x:v>
      </x:c>
    </x:row>
    <x:row r="7" ht="42" customHeight="1">
      <x:c r="A7" s="23" t="str">
        <x:v>operation_family</x:v>
      </x:c>
      <x:c r="B7" s="23" t="str">
        <x:v>SCULPT_DETAIL</x:v>
      </x:c>
      <x:c r="C7" s="23" t="str">
        <x:v>笔刷雕刻、褶皱、表面与局部细节</x:v>
      </x:c>
      <x:c r="D7" s="23" t="str">
        <x:v>雕刻石缝；制作褶皱</x:v>
      </x:c>
      <x:c r="E7" s="23" t="str">
        <x:v>可观察操作</x:v>
      </x:c>
    </x:row>
    <x:row r="8" ht="42" customHeight="1">
      <x:c r="A8" s="23" t="str">
        <x:v>operation_family</x:v>
      </x:c>
      <x:c r="B8" s="23" t="str">
        <x:v>TOPOLOGY_REMESH</x:v>
      </x:c>
      <x:c r="C8" s="23" t="str">
        <x:v>布线、细分、重拓扑、remesh 与面结构</x:v>
      </x:c>
      <x:c r="D8" s="23" t="str">
        <x:v>重新拓扑；四边面细化</x:v>
      </x:c>
      <x:c r="E8" s="23" t="str">
        <x:v>可观察操作</x:v>
      </x:c>
    </x:row>
    <x:row r="9" ht="42" customHeight="1">
      <x:c r="A9" s="23" t="str">
        <x:v>operation_family</x:v>
      </x:c>
      <x:c r="B9" s="23" t="str">
        <x:v>EXTRUDE_CUT_BOOLEAN</x:v>
      </x:c>
      <x:c r="C9" s="23" t="str">
        <x:v>挤出、抽壳、切割、修剪和布尔</x:v>
      </x:c>
      <x:c r="D9" s="23" t="str">
        <x:v>挤出袖子；trim 圆锥</x:v>
      </x:c>
      <x:c r="E9" s="23" t="str">
        <x:v>可观察操作</x:v>
      </x:c>
    </x:row>
    <x:row r="10" ht="42" customHeight="1">
      <x:c r="A10" s="23" t="str">
        <x:v>operation_family</x:v>
      </x:c>
      <x:c r="B10" s="23" t="str">
        <x:v>DUPLICATE_ASSEMBLE</x:v>
      </x:c>
      <x:c r="C10" s="23" t="str">
        <x:v>复制、镜像、连接、合并和对齐部件</x:v>
      </x:c>
      <x:c r="D10" s="23" t="str">
        <x:v>复制几何体；镜像连接</x:v>
      </x:c>
      <x:c r="E10" s="23" t="str">
        <x:v>可观察操作</x:v>
      </x:c>
    </x:row>
    <x:row r="11" ht="42" customHeight="1">
      <x:c r="A11" s="23" t="str">
        <x:v>operation_family</x:v>
      </x:c>
      <x:c r="B11" s="23" t="str">
        <x:v>MATERIAL_UV_RENDER</x:v>
      </x:c>
      <x:c r="C11" s="23" t="str">
        <x:v>UV、纹理、材质、烘焙、着色和渲染</x:v>
      </x:c>
      <x:c r="D11" s="23" t="str">
        <x:v>展UV；纹理绘制</x:v>
      </x:c>
      <x:c r="E11" s="23" t="str">
        <x:v>可观察操作</x:v>
      </x:c>
    </x:row>
    <x:row r="12" ht="42" customHeight="1">
      <x:c r="A12" s="23" t="str">
        <x:v>operation_family</x:v>
      </x:c>
      <x:c r="B12" s="23" t="str">
        <x:v>INSPECT_COMPARE</x:v>
      </x:c>
      <x:c r="C12" s="23" t="str">
        <x:v>查看、预览、比较或仅导航理解</x:v>
      </x:c>
      <x:c r="D12" s="23" t="str">
        <x:v>与细分前对比</x:v>
      </x:c>
      <x:c r="E12" s="23" t="str">
        <x:v>可观察/认识功能</x:v>
      </x:c>
    </x:row>
    <x:row r="13" ht="42" customHeight="1">
      <x:c r="A13" s="23" t="str">
        <x:v>operation_family</x:v>
      </x:c>
      <x:c r="B13" s="23" t="str">
        <x:v>RIG_PRESENT</x:v>
      </x:c>
      <x:c r="C13" s="23" t="str">
        <x:v>绑定、姿态、灯光或成品展示</x:v>
      </x:c>
      <x:c r="D13" s="23" t="str">
        <x:v>骨骼绑定；灯效</x:v>
      </x:c>
      <x:c r="E13" s="23" t="str">
        <x:v>流程操作</x:v>
      </x:c>
    </x:row>
    <x:row r="14" ht="42" customHeight="1">
      <x:c r="A14" s="23" t="str">
        <x:v>operation_family</x:v>
      </x:c>
      <x:c r="B14" s="23" t="str">
        <x:v>PIPELINE_TRANSITION</x:v>
      </x:c>
      <x:c r="C14" s="23" t="str">
        <x:v>导入、导出或跨工具阶段转换</x:v>
      </x:c>
      <x:c r="D14" s="23" t="str">
        <x:v>导出OBJ进入ZBrush</x:v>
      </x:c>
      <x:c r="E14" s="23" t="str">
        <x:v>流程操作</x:v>
      </x:c>
    </x:row>
    <x:row r="15" ht="42" customHeight="1">
      <x:c r="A15" s="23" t="str">
        <x:v>operation_family</x:v>
      </x:c>
      <x:c r="B15" s="23" t="str">
        <x:v>OTHER</x:v>
      </x:c>
      <x:c r="C15" s="23" t="str">
        <x:v>现有类别无法覆盖</x:v>
      </x:c>
      <x:c r="D15" s="23" t="str">
        <x:v>在 notes 中写建议标签</x:v>
      </x:c>
      <x:c r="E15" s="23" t="str">
        <x:v>待归纳</x:v>
      </x:c>
    </x:row>
    <x:row r="16" ht="42" customHeight="1">
      <x:c r="A16" s="23" t="str">
        <x:v>goal_stage</x:v>
      </x:c>
      <x:c r="B16" s="23" t="str">
        <x:v>explore</x:v>
      </x:c>
      <x:c r="C16" s="23" t="str">
        <x:v>试探可能性或理解对象</x:v>
      </x:c>
      <x:c r="D16" s="23" t="str">
        <x:v>尝试笔刷/比例</x:v>
      </x:c>
      <x:c r="E16" s="23" t="str">
        <x:v>意图阶段</x:v>
      </x:c>
    </x:row>
    <x:row r="17" ht="42" customHeight="1">
      <x:c r="A17" s="23" t="str">
        <x:v>goal_stage</x:v>
      </x:c>
      <x:c r="B17" s="23" t="str">
        <x:v>construct</x:v>
      </x:c>
      <x:c r="C17" s="23" t="str">
        <x:v>建立主要体块、部件或结构</x:v>
      </x:c>
      <x:c r="D17" s="23" t="str">
        <x:v>创建角色基础体</x:v>
      </x:c>
      <x:c r="E17" s="23" t="str">
        <x:v>意图阶段</x:v>
      </x:c>
    </x:row>
    <x:row r="18" ht="42" customHeight="1">
      <x:c r="A18" s="23" t="str">
        <x:v>goal_stage</x:v>
      </x:c>
      <x:c r="B18" s="23" t="str">
        <x:v>refine</x:v>
      </x:c>
      <x:c r="C18" s="23" t="str">
        <x:v>细化形状、拓扑、表面或外观</x:v>
      </x:c>
      <x:c r="D18" s="23" t="str">
        <x:v>增加褶皱和细节</x:v>
      </x:c>
      <x:c r="E18" s="23" t="str">
        <x:v>意图阶段</x:v>
      </x:c>
    </x:row>
    <x:row r="19" ht="42" customHeight="1">
      <x:c r="A19" s="23" t="str">
        <x:v>goal_stage</x:v>
      </x:c>
      <x:c r="B19" s="23" t="str">
        <x:v>compare</x:v>
      </x:c>
      <x:c r="C19" s="23" t="str">
        <x:v>检查或比较方案/状态</x:v>
      </x:c>
      <x:c r="D19" s="23" t="str">
        <x:v>比较细分前后</x:v>
      </x:c>
      <x:c r="E19" s="23" t="str">
        <x:v>意图阶段</x:v>
      </x:c>
    </x:row>
    <x:row r="20" ht="42" customHeight="1">
      <x:c r="A20" s="23" t="str">
        <x:v>goal_stage</x:v>
      </x:c>
      <x:c r="B20" s="23" t="str">
        <x:v>repair</x:v>
      </x:c>
      <x:c r="C20" s="23" t="str">
        <x:v>纠正错误、冲突或不满意结果</x:v>
      </x:c>
      <x:c r="D20" s="23" t="str">
        <x:v>撤销并重新调整</x:v>
      </x:c>
      <x:c r="E20" s="23" t="str">
        <x:v>意图阶段</x:v>
      </x:c>
    </x:row>
    <x:row r="21" ht="42" customHeight="1">
      <x:c r="A21" s="23" t="str">
        <x:v>goal_stage</x:v>
      </x:c>
      <x:c r="B21" s="23" t="str">
        <x:v>commit</x:v>
      </x:c>
      <x:c r="C21" s="23" t="str">
        <x:v>接受、定稿或锁定结果</x:v>
      </x:c>
      <x:c r="D21" s="23" t="str">
        <x:v>觉得合适并导出</x:v>
      </x:c>
      <x:c r="E21" s="23" t="str">
        <x:v>意图阶段</x:v>
      </x:c>
    </x:row>
    <x:row r="22" ht="42" customHeight="1">
      <x:c r="A22" s="23" t="str">
        <x:v>goal_stage</x:v>
      </x:c>
      <x:c r="B22" s="23" t="str">
        <x:v>transition</x:v>
      </x:c>
      <x:c r="C22" s="23" t="str">
        <x:v>进入新的软件或制作阶段</x:v>
      </x:c>
      <x:c r="D22" s="23" t="str">
        <x:v>建模转UV/绑定</x:v>
      </x:c>
      <x:c r="E22" s="23" t="str">
        <x:v>流程阶段</x:v>
      </x:c>
    </x:row>
    <x:row r="23" ht="42" customHeight="1">
      <x:c r="A23" s="23" t="str">
        <x:v>goal_stage</x:v>
      </x:c>
      <x:c r="B23" s="23" t="str">
        <x:v>unknown</x:v>
      </x:c>
      <x:c r="C23" s="23" t="str">
        <x:v>现有证据不足</x:v>
      </x:c>
      <x:c r="D23" s="23" t="str">
        <x:v>不要猜</x:v>
      </x:c>
      <x:c r="E23" s="23" t="str">
        <x:v>缺失状态</x:v>
      </x:c>
    </x:row>
    <x:row r="24" ht="42" customHeight="1">
      <x:c r="A24" s="23" t="str">
        <x:v>interaction_function</x:v>
      </x:c>
      <x:c r="B24" s="23" t="str">
        <x:v>epistemic</x:v>
      </x:c>
      <x:c r="C24" s="23" t="str">
        <x:v>通过操作观察、理解或比较</x:v>
      </x:c>
      <x:c r="D24" s="23" t="str">
        <x:v>orbit/compare without committed edit</x:v>
      </x:c>
      <x:c r="E24" s="23" t="str">
        <x:v>功能</x:v>
      </x:c>
    </x:row>
    <x:row r="25" ht="42" customHeight="1">
      <x:c r="A25" s="23" t="str">
        <x:v>interaction_function</x:v>
      </x:c>
      <x:c r="B25" s="23" t="str">
        <x:v>pragmatic</x:v>
      </x:c>
      <x:c r="C25" s="23" t="str">
        <x:v>直接改变作品状态</x:v>
      </x:c>
      <x:c r="D25" s="23" t="str">
        <x:v>sculpt/extrude/texture</x:v>
      </x:c>
      <x:c r="E25" s="23" t="str">
        <x:v>功能</x:v>
      </x:c>
    </x:row>
    <x:row r="26" ht="42" customHeight="1">
      <x:c r="A26" s="23" t="str">
        <x:v>interaction_function</x:v>
      </x:c>
      <x:c r="B26" s="23" t="str">
        <x:v>repair</x:v>
      </x:c>
      <x:c r="C26" s="23" t="str">
        <x:v>纠错、撤销或恢复</x:v>
      </x:c>
      <x:c r="D26" s="23" t="str">
        <x:v>undo/rework</x:v>
      </x:c>
      <x:c r="E26" s="23" t="str">
        <x:v>功能</x:v>
      </x:c>
    </x:row>
    <x:row r="27" ht="42" customHeight="1">
      <x:c r="A27" s="23" t="str">
        <x:v>interaction_function</x:v>
      </x:c>
      <x:c r="B27" s="23" t="str">
        <x:v>mixed</x:v>
      </x:c>
      <x:c r="C27" s="23" t="str">
        <x:v>探索和实际修改同时存在</x:v>
      </x:c>
      <x:c r="D27" s="23" t="str">
        <x:v>调整—观察—再调整</x:v>
      </x:c>
      <x:c r="E27" s="23" t="str">
        <x:v>功能</x:v>
      </x:c>
    </x:row>
    <x:row r="28" ht="42" customHeight="1">
      <x:c r="A28" s="24" t="str">
        <x:v>interaction_function</x:v>
      </x:c>
      <x:c r="B28" s="24" t="str">
        <x:v>unknown</x:v>
      </x:c>
      <x:c r="C28" s="24" t="str">
        <x:v>证据不足</x:v>
      </x:c>
      <x:c r="D28" s="24" t="str">
        <x:v>不要猜</x:v>
      </x:c>
      <x:c r="E28" s="24" t="str">
        <x:v>缺失状态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ce695af67c474ad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4" hidden="0" customWidth="1"/>
    <x:col min="4" max="4" width="58" hidden="0" customWidth="1"/>
    <x:col min="5" max="5" width="44" hidden="0" customWidth="1"/>
    <x:col min="6" max="6" width="22" hidden="0" customWidth="1"/>
    <x:col min="7" max="7" width="18" hidden="0" customWidth="1"/>
    <x:col min="8" max="8" width="22" hidden="0" customWidth="1"/>
    <x:col min="9" max="9" width="18" hidden="0" customWidth="1"/>
    <x:col min="10" max="10" width="66" hidden="0" customWidth="1"/>
    <x:col min="11" max="11" width="16" hidden="0" customWidth="1"/>
    <x:col min="12" max="12" width="16" hidden="0" customWidth="1"/>
    <x:col min="13" max="13" width="28" hidden="0" customWidth="1"/>
    <x:col min="14" max="14" width="30" hidden="0" customWidth="1"/>
    <x:col min="15" max="15" width="30" hidden="0" customWidth="1"/>
    <x:col min="16" max="16" width="54" hidden="0" customWidth="1"/>
    <x:col min="17" max="17" width="20" hidden="0" customWidth="1"/>
    <x:col min="18" max="18" width="28" hidden="0" customWidth="1"/>
    <x:col min="19" max="19" width="16" hidden="0" customWidth="1"/>
    <x:col min="20" max="20" width="18" hidden="0" customWidth="1"/>
    <x:col min="21" max="21" width="22" hidden="0" customWidth="1"/>
    <x:col min="22" max="22" width="18" hidden="0" customWidth="1"/>
    <x:col min="23" max="23" width="46" hidden="0" customWidth="1"/>
    <x:col min="24" max="24" width="18" hidden="0" customWidth="1"/>
    <x:col min="25" max="25" width="28" hidden="0" customWidth="1"/>
  </x:cols>
  <x:sheetData>
    <x:row r="1" ht="30" customHeight="1">
      <x:c r="A1" s="2" t="str">
        <x:v>Behavior Coding：94 条</x:v>
      </x:c>
    </x:row>
    <x:row r="2" ht="32" customHeight="1">
      <x:c r="A2" s="5" t="str">
        <x:v>一行一条原始行为描述。蓝灰列为来源信息；taxonomy 列由 VLM/人工填写；不要覆盖 raw_behavior_text。</x:v>
      </x:c>
    </x:row>
    <x:row r="4" ht="34" customHeight="1">
      <x:c r="A4" s="13" t="str">
        <x:v>behavior_id</x:v>
      </x:c>
      <x:c r="B4" s="13" t="str">
        <x:v>video_id</x:v>
      </x:c>
      <x:c r="C4" s="13" t="str">
        <x:v>sequence_no</x:v>
      </x:c>
      <x:c r="D4" s="13" t="str">
        <x:v>video_title</x:v>
      </x:c>
      <x:c r="E4" s="13" t="str">
        <x:v>url</x:v>
      </x:c>
      <x:c r="F4" s="13" t="str">
        <x:v>platform_language</x:v>
      </x:c>
      <x:c r="G4" s="13" t="str">
        <x:v>software</x:v>
      </x:c>
      <x:c r="H4" s="13" t="str">
        <x:v>content_object</x:v>
      </x:c>
      <x:c r="I4" s="13" t="str">
        <x:v>owner</x:v>
      </x:c>
      <x:c r="J4" s="13" t="str">
        <x:v>raw_behavior_text</x:v>
      </x:c>
      <x:c r="K4" s="13" t="str">
        <x:v>start_time_s</x:v>
      </x:c>
      <x:c r="L4" s="13" t="str">
        <x:v>end_time_s</x:v>
      </x:c>
      <x:c r="M4" s="13" t="str">
        <x:v>primary_action_label</x:v>
      </x:c>
      <x:c r="N4" s="13" t="str">
        <x:v>secondary_action_label</x:v>
      </x:c>
      <x:c r="O4" s="13" t="str">
        <x:v>target</x:v>
      </x:c>
      <x:c r="P4" s="13" t="str">
        <x:v>desired_effect</x:v>
      </x:c>
      <x:c r="Q4" s="13" t="str">
        <x:v>goal_stage</x:v>
      </x:c>
      <x:c r="R4" s="13" t="str">
        <x:v>interaction_function</x:v>
      </x:c>
      <x:c r="S4" s="13" t="str">
        <x:v>confidence</x:v>
      </x:c>
      <x:c r="T4" s="13" t="str">
        <x:v>split_required</x:v>
      </x:c>
      <x:c r="U4" s="13" t="str">
        <x:v>review_status</x:v>
      </x:c>
      <x:c r="V4" s="13" t="str">
        <x:v>coder_id</x:v>
      </x:c>
      <x:c r="W4" s="13" t="str">
        <x:v>reviewer_notes</x:v>
      </x:c>
      <x:c r="X4" s="13" t="str">
        <x:v>taxonomy_QA</x:v>
      </x:c>
      <x:c r="Y4" s="13" t="str">
        <x:v>case_QA</x:v>
      </x:c>
    </x:row>
    <x:row r="5" ht="44" customHeight="1">
      <x:c r="A5" s="33" t="str">
        <x:v>B001</x:v>
      </x:c>
      <x:c r="B5" s="33" t="str">
        <x:v>T01</x:v>
      </x:c>
      <x:c r="C5" s="33" t="n">
        <x:v>1</x:v>
      </x:c>
      <x:c r="D5" s="34" t="str">
        <x:v>风格化头部雕刻延时：从球体到角色（Blender）</x:v>
      </x:c>
      <x:c r="E5" s="34" t="str">
        <x:v>https://www.youtube.com/watch?v=SRgc3sBkHjY</x:v>
      </x:c>
      <x:c r="F5" s="34" t="str">
        <x:v>YouTube / 英语</x:v>
      </x:c>
      <x:c r="G5" s="34" t="str">
        <x:v>Blender</x:v>
      </x:c>
      <x:c r="H5" s="34" t="str">
        <x:v>头部 / 脸</x:v>
      </x:c>
      <x:c r="I5" s="34" t="str">
        <x:v>@李依桐</x:v>
      </x:c>
      <x:c r="J5" s="34" t="str">
        <x:v>塑造人物头部基础造型，初步雕刻</x:v>
      </x:c>
      <x:c r="K5" s="29" t="str"/>
      <x:c r="L5" s="29" t="str"/>
      <x:c r="M5" s="23" t="str"/>
      <x:c r="N5" s="23" t="str"/>
      <x:c r="O5" s="23" t="str"/>
      <x:c r="P5" s="23" t="str"/>
      <x:c r="Q5" s="23" t="str"/>
      <x:c r="R5" s="23" t="str"/>
      <x:c r="S5" s="30" t="str"/>
      <x:c r="T5" s="23" t="str"/>
      <x:c r="U5" s="23" t="str">
        <x:v>Uncoded</x:v>
      </x:c>
      <x:c r="V5" s="23" t="str"/>
      <x:c r="W5" s="23" t="str"/>
      <x:c r="X5" s="23" t="str">
        <x:f>IF(AND(M5="",O5="",P5="",Q5="",R5="",S5="",T5="",V5=""),"UNCODED",IF(AND(M5&lt;&gt;"",O5&lt;&gt;"",P5&lt;&gt;"",Q5&lt;&gt;"",R5&lt;&gt;"",ISNUMBER(S5),S5&gt;=0,S5&lt;=1,T5&lt;&gt;"",U5&lt;&gt;"Uncoded",V5&lt;&gt;""),"TAXONOMY_READY","REVIEW"))</x:f>
        <x:v>UNCODED</x:v>
      </x:c>
      <x:c r="Y5" s="23" t="str">
        <x:f>IF(X5&lt;&gt;"TAXONOMY_READY","NOT_READY",IF(AND(ISNUMBER(K5),ISNUMBER(L5),L5&gt;K5,U5="Adjudicated"),"CASE_READY","NEEDS_TIME_OR_ADJUDICATION"))</x:f>
        <x:v>NOT_READY</x:v>
      </x:c>
    </x:row>
    <x:row r="6" ht="44" customHeight="1">
      <x:c r="A6" s="33" t="str">
        <x:v>B002</x:v>
      </x:c>
      <x:c r="B6" s="33" t="str">
        <x:v>T01</x:v>
      </x:c>
      <x:c r="C6" s="33" t="n">
        <x:v>2</x:v>
      </x:c>
      <x:c r="D6" s="34" t="str">
        <x:v>风格化头部雕刻延时：从球体到角色（Blender）</x:v>
      </x:c>
      <x:c r="E6" s="34" t="str">
        <x:v>https://www.youtube.com/watch?v=SRgc3sBkHjY</x:v>
      </x:c>
      <x:c r="F6" s="34" t="str">
        <x:v>YouTube / 英语</x:v>
      </x:c>
      <x:c r="G6" s="34" t="str">
        <x:v>Blender</x:v>
      </x:c>
      <x:c r="H6" s="34" t="str">
        <x:v>头部 / 脸</x:v>
      </x:c>
      <x:c r="I6" s="34" t="str">
        <x:v>@李依桐</x:v>
      </x:c>
      <x:c r="J6" s="34" t="str">
        <x:v>雕刻笔刷塑造面部细节</x:v>
      </x:c>
      <x:c r="K6" s="29" t="str"/>
      <x:c r="L6" s="29" t="str"/>
      <x:c r="M6" s="23" t="str"/>
      <x:c r="N6" s="23" t="str"/>
      <x:c r="O6" s="23" t="str"/>
      <x:c r="P6" s="23" t="str"/>
      <x:c r="Q6" s="23" t="str"/>
      <x:c r="R6" s="23" t="str"/>
      <x:c r="S6" s="30" t="str"/>
      <x:c r="T6" s="23" t="str"/>
      <x:c r="U6" s="23" t="str">
        <x:v>Uncoded</x:v>
      </x:c>
      <x:c r="V6" s="23" t="str"/>
      <x:c r="W6" s="23" t="str"/>
      <x:c r="X6" s="23" t="str">
        <x:f>IF(AND(M6="",O6="",P6="",Q6="",R6="",S6="",T6="",V6=""),"UNCODED",IF(AND(M6&lt;&gt;"",O6&lt;&gt;"",P6&lt;&gt;"",Q6&lt;&gt;"",R6&lt;&gt;"",ISNUMBER(S6),S6&gt;=0,S6&lt;=1,T6&lt;&gt;"",U6&lt;&gt;"Uncoded",V6&lt;&gt;""),"TAXONOMY_READY","REVIEW"))</x:f>
        <x:v>UNCODED</x:v>
      </x:c>
      <x:c r="Y6" s="23" t="str">
        <x:f>IF(X6&lt;&gt;"TAXONOMY_READY","NOT_READY",IF(AND(ISNUMBER(K6),ISNUMBER(L6),L6&gt;K6,U6="Adjudicated"),"CASE_READY","NEEDS_TIME_OR_ADJUDICATION"))</x:f>
        <x:v>NOT_READY</x:v>
      </x:c>
    </x:row>
    <x:row r="7" ht="44" customHeight="1">
      <x:c r="A7" s="33" t="str">
        <x:v>B003</x:v>
      </x:c>
      <x:c r="B7" s="33" t="str">
        <x:v>T01</x:v>
      </x:c>
      <x:c r="C7" s="33" t="n">
        <x:v>3</x:v>
      </x:c>
      <x:c r="D7" s="34" t="str">
        <x:v>风格化头部雕刻延时：从球体到角色（Blender）</x:v>
      </x:c>
      <x:c r="E7" s="34" t="str">
        <x:v>https://www.youtube.com/watch?v=SRgc3sBkHjY</x:v>
      </x:c>
      <x:c r="F7" s="34" t="str">
        <x:v>YouTube / 英语</x:v>
      </x:c>
      <x:c r="G7" s="34" t="str">
        <x:v>Blender</x:v>
      </x:c>
      <x:c r="H7" s="34" t="str">
        <x:v>头部 / 脸</x:v>
      </x:c>
      <x:c r="I7" s="34" t="str">
        <x:v>@李依桐</x:v>
      </x:c>
      <x:c r="J7" s="34" t="str">
        <x:v>手绘并挤出头发、胡子，雕刻塑形</x:v>
      </x:c>
      <x:c r="K7" s="29" t="str"/>
      <x:c r="L7" s="29" t="str"/>
      <x:c r="M7" s="23" t="str"/>
      <x:c r="N7" s="23" t="str"/>
      <x:c r="O7" s="23" t="str"/>
      <x:c r="P7" s="23" t="str"/>
      <x:c r="Q7" s="23" t="str"/>
      <x:c r="R7" s="23" t="str"/>
      <x:c r="S7" s="30" t="str"/>
      <x:c r="T7" s="23" t="str"/>
      <x:c r="U7" s="23" t="str">
        <x:v>Uncoded</x:v>
      </x:c>
      <x:c r="V7" s="23" t="str"/>
      <x:c r="W7" s="23" t="str"/>
      <x:c r="X7" s="23" t="str">
        <x:f>IF(AND(M7="",O7="",P7="",Q7="",R7="",S7="",T7="",V7=""),"UNCODED",IF(AND(M7&lt;&gt;"",O7&lt;&gt;"",P7&lt;&gt;"",Q7&lt;&gt;"",R7&lt;&gt;"",ISNUMBER(S7),S7&gt;=0,S7&lt;=1,T7&lt;&gt;"",U7&lt;&gt;"Uncoded",V7&lt;&gt;""),"TAXONOMY_READY","REVIEW"))</x:f>
        <x:v>UNCODED</x:v>
      </x:c>
      <x:c r="Y7" s="23" t="str">
        <x:f>IF(X7&lt;&gt;"TAXONOMY_READY","NOT_READY",IF(AND(ISNUMBER(K7),ISNUMBER(L7),L7&gt;K7,U7="Adjudicated"),"CASE_READY","NEEDS_TIME_OR_ADJUDICATION"))</x:f>
        <x:v>NOT_READY</x:v>
      </x:c>
    </x:row>
    <x:row r="8" ht="44" customHeight="1">
      <x:c r="A8" s="33" t="str">
        <x:v>B004</x:v>
      </x:c>
      <x:c r="B8" s="33" t="str">
        <x:v>T01</x:v>
      </x:c>
      <x:c r="C8" s="33" t="n">
        <x:v>4</x:v>
      </x:c>
      <x:c r="D8" s="34" t="str">
        <x:v>风格化头部雕刻延时：从球体到角色（Blender）</x:v>
      </x:c>
      <x:c r="E8" s="34" t="str">
        <x:v>https://www.youtube.com/watch?v=SRgc3sBkHjY</x:v>
      </x:c>
      <x:c r="F8" s="34" t="str">
        <x:v>YouTube / 英语</x:v>
      </x:c>
      <x:c r="G8" s="34" t="str">
        <x:v>Blender</x:v>
      </x:c>
      <x:c r="H8" s="34" t="str">
        <x:v>头部 / 脸</x:v>
      </x:c>
      <x:c r="I8" s="34" t="str">
        <x:v>@李依桐</x:v>
      </x:c>
      <x:c r="J8" s="34" t="str">
        <x:v>整个模型手绘拓扑引导线，将模型细化为四边面</x:v>
      </x:c>
      <x:c r="K8" s="29" t="str"/>
      <x:c r="L8" s="29" t="str"/>
      <x:c r="M8" s="23" t="str"/>
      <x:c r="N8" s="23" t="str"/>
      <x:c r="O8" s="23" t="str"/>
      <x:c r="P8" s="23" t="str"/>
      <x:c r="Q8" s="23" t="str"/>
      <x:c r="R8" s="23" t="str"/>
      <x:c r="S8" s="30" t="str"/>
      <x:c r="T8" s="23" t="str"/>
      <x:c r="U8" s="23" t="str">
        <x:v>Uncoded</x:v>
      </x:c>
      <x:c r="V8" s="23" t="str"/>
      <x:c r="W8" s="23" t="str"/>
      <x:c r="X8" s="23" t="str">
        <x:f>IF(AND(M8="",O8="",P8="",Q8="",R8="",S8="",T8="",V8=""),"UNCODED",IF(AND(M8&lt;&gt;"",O8&lt;&gt;"",P8&lt;&gt;"",Q8&lt;&gt;"",R8&lt;&gt;"",ISNUMBER(S8),S8&gt;=0,S8&lt;=1,T8&lt;&gt;"",U8&lt;&gt;"Uncoded",V8&lt;&gt;""),"TAXONOMY_READY","REVIEW"))</x:f>
        <x:v>UNCODED</x:v>
      </x:c>
      <x:c r="Y8" s="23" t="str">
        <x:f>IF(X8&lt;&gt;"TAXONOMY_READY","NOT_READY",IF(AND(ISNUMBER(K8),ISNUMBER(L8),L8&gt;K8,U8="Adjudicated"),"CASE_READY","NEEDS_TIME_OR_ADJUDICATION"))</x:f>
        <x:v>NOT_READY</x:v>
      </x:c>
    </x:row>
    <x:row r="9" ht="44" customHeight="1">
      <x:c r="A9" s="33" t="str">
        <x:v>B005</x:v>
      </x:c>
      <x:c r="B9" s="33" t="str">
        <x:v>T01</x:v>
      </x:c>
      <x:c r="C9" s="33" t="n">
        <x:v>5</x:v>
      </x:c>
      <x:c r="D9" s="34" t="str">
        <x:v>风格化头部雕刻延时：从球体到角色（Blender）</x:v>
      </x:c>
      <x:c r="E9" s="34" t="str">
        <x:v>https://www.youtube.com/watch?v=SRgc3sBkHjY</x:v>
      </x:c>
      <x:c r="F9" s="34" t="str">
        <x:v>YouTube / 英语</x:v>
      </x:c>
      <x:c r="G9" s="34" t="str">
        <x:v>Blender</x:v>
      </x:c>
      <x:c r="H9" s="34" t="str">
        <x:v>头部 / 脸</x:v>
      </x:c>
      <x:c r="I9" s="34" t="str">
        <x:v>@李依桐</x:v>
      </x:c>
      <x:c r="J9" s="34" t="str">
        <x:v>整理2D平面UV空间，便于贴图</x:v>
      </x:c>
      <x:c r="K9" s="29" t="str"/>
      <x:c r="L9" s="29" t="str"/>
      <x:c r="M9" s="23" t="str"/>
      <x:c r="N9" s="23" t="str"/>
      <x:c r="O9" s="23" t="str"/>
      <x:c r="P9" s="23" t="str"/>
      <x:c r="Q9" s="23" t="str"/>
      <x:c r="R9" s="23" t="str"/>
      <x:c r="S9" s="30" t="str"/>
      <x:c r="T9" s="23" t="str"/>
      <x:c r="U9" s="23" t="str">
        <x:v>Uncoded</x:v>
      </x:c>
      <x:c r="V9" s="23" t="str"/>
      <x:c r="W9" s="23" t="str"/>
      <x:c r="X9" s="23" t="str">
        <x:f>IF(AND(M9="",O9="",P9="",Q9="",R9="",S9="",T9="",V9=""),"UNCODED",IF(AND(M9&lt;&gt;"",O9&lt;&gt;"",P9&lt;&gt;"",Q9&lt;&gt;"",R9&lt;&gt;"",ISNUMBER(S9),S9&gt;=0,S9&lt;=1,T9&lt;&gt;"",U9&lt;&gt;"Uncoded",V9&lt;&gt;""),"TAXONOMY_READY","REVIEW"))</x:f>
        <x:v>UNCODED</x:v>
      </x:c>
      <x:c r="Y9" s="23" t="str">
        <x:f>IF(X9&lt;&gt;"TAXONOMY_READY","NOT_READY",IF(AND(ISNUMBER(K9),ISNUMBER(L9),L9&gt;K9,U9="Adjudicated"),"CASE_READY","NEEDS_TIME_OR_ADJUDICATION"))</x:f>
        <x:v>NOT_READY</x:v>
      </x:c>
    </x:row>
    <x:row r="10" ht="44" customHeight="1">
      <x:c r="A10" s="33" t="str">
        <x:v>B006</x:v>
      </x:c>
      <x:c r="B10" s="33" t="str">
        <x:v>T01</x:v>
      </x:c>
      <x:c r="C10" s="33" t="n">
        <x:v>6</x:v>
      </x:c>
      <x:c r="D10" s="34" t="str">
        <x:v>风格化头部雕刻延时：从球体到角色（Blender）</x:v>
      </x:c>
      <x:c r="E10" s="34" t="str">
        <x:v>https://www.youtube.com/watch?v=SRgc3sBkHjY</x:v>
      </x:c>
      <x:c r="F10" s="34" t="str">
        <x:v>YouTube / 英语</x:v>
      </x:c>
      <x:c r="G10" s="34" t="str">
        <x:v>Blender</x:v>
      </x:c>
      <x:c r="H10" s="34" t="str">
        <x:v>头部 / 脸</x:v>
      </x:c>
      <x:c r="I10" s="34" t="str">
        <x:v>@李依桐</x:v>
      </x:c>
      <x:c r="J10" s="34" t="str">
        <x:v>纹理绘制面部阴影、眼窝、眉毛等结构</x:v>
      </x:c>
      <x:c r="K10" s="29" t="str"/>
      <x:c r="L10" s="29" t="str"/>
      <x:c r="M10" s="23" t="str"/>
      <x:c r="N10" s="23" t="str"/>
      <x:c r="O10" s="23" t="str"/>
      <x:c r="P10" s="23" t="str"/>
      <x:c r="Q10" s="23" t="str"/>
      <x:c r="R10" s="23" t="str"/>
      <x:c r="S10" s="30" t="str"/>
      <x:c r="T10" s="23" t="str"/>
      <x:c r="U10" s="23" t="str">
        <x:v>Uncoded</x:v>
      </x:c>
      <x:c r="V10" s="23" t="str"/>
      <x:c r="W10" s="23" t="str"/>
      <x:c r="X10" s="23" t="str">
        <x:f>IF(AND(M10="",O10="",P10="",Q10="",R10="",S10="",T10="",V10=""),"UNCODED",IF(AND(M10&lt;&gt;"",O10&lt;&gt;"",P10&lt;&gt;"",Q10&lt;&gt;"",R10&lt;&gt;"",ISNUMBER(S10),S10&gt;=0,S10&lt;=1,T10&lt;&gt;"",U10&lt;&gt;"Uncoded",V10&lt;&gt;""),"TAXONOMY_READY","REVIEW"))</x:f>
        <x:v>UNCODED</x:v>
      </x:c>
      <x:c r="Y10" s="23" t="str">
        <x:f>IF(X10&lt;&gt;"TAXONOMY_READY","NOT_READY",IF(AND(ISNUMBER(K10),ISNUMBER(L10),L10&gt;K10,U10="Adjudicated"),"CASE_READY","NEEDS_TIME_OR_ADJUDICATION"))</x:f>
        <x:v>NOT_READY</x:v>
      </x:c>
    </x:row>
    <x:row r="11" ht="44" customHeight="1">
      <x:c r="A11" s="33" t="str">
        <x:v>B007</x:v>
      </x:c>
      <x:c r="B11" s="33" t="str">
        <x:v>T01</x:v>
      </x:c>
      <x:c r="C11" s="33" t="n">
        <x:v>7</x:v>
      </x:c>
      <x:c r="D11" s="34" t="str">
        <x:v>风格化头部雕刻延时：从球体到角色（Blender）</x:v>
      </x:c>
      <x:c r="E11" s="34" t="str">
        <x:v>https://www.youtube.com/watch?v=SRgc3sBkHjY</x:v>
      </x:c>
      <x:c r="F11" s="34" t="str">
        <x:v>YouTube / 英语</x:v>
      </x:c>
      <x:c r="G11" s="34" t="str">
        <x:v>Blender</x:v>
      </x:c>
      <x:c r="H11" s="34" t="str">
        <x:v>头部 / 脸</x:v>
      </x:c>
      <x:c r="I11" s="34" t="str">
        <x:v>@李依桐</x:v>
      </x:c>
      <x:c r="J11" s="34" t="str">
        <x:v>调节纹理参数（颜色/粗糙度/透明度），使模型更逼真</x:v>
      </x:c>
      <x:c r="K11" s="29" t="str"/>
      <x:c r="L11" s="29" t="str"/>
      <x:c r="M11" s="23" t="str"/>
      <x:c r="N11" s="23" t="str"/>
      <x:c r="O11" s="23" t="str"/>
      <x:c r="P11" s="23" t="str"/>
      <x:c r="Q11" s="23" t="str"/>
      <x:c r="R11" s="23" t="str"/>
      <x:c r="S11" s="30" t="str"/>
      <x:c r="T11" s="23" t="str"/>
      <x:c r="U11" s="23" t="str">
        <x:v>Uncoded</x:v>
      </x:c>
      <x:c r="V11" s="23" t="str"/>
      <x:c r="W11" s="23" t="str"/>
      <x:c r="X11" s="23" t="str">
        <x:f>IF(AND(M11="",O11="",P11="",Q11="",R11="",S11="",T11="",V11=""),"UNCODED",IF(AND(M11&lt;&gt;"",O11&lt;&gt;"",P11&lt;&gt;"",Q11&lt;&gt;"",R11&lt;&gt;"",ISNUMBER(S11),S11&gt;=0,S11&lt;=1,T11&lt;&gt;"",U11&lt;&gt;"Uncoded",V11&lt;&gt;""),"TAXONOMY_READY","REVIEW"))</x:f>
        <x:v>UNCODED</x:v>
      </x:c>
      <x:c r="Y11" s="23" t="str">
        <x:f>IF(X11&lt;&gt;"TAXONOMY_READY","NOT_READY",IF(AND(ISNUMBER(K11),ISNUMBER(L11),L11&gt;K11,U11="Adjudicated"),"CASE_READY","NEEDS_TIME_OR_ADJUDICATION"))</x:f>
        <x:v>NOT_READY</x:v>
      </x:c>
    </x:row>
    <x:row r="12" ht="44" customHeight="1">
      <x:c r="A12" s="33" t="str">
        <x:v>B008</x:v>
      </x:c>
      <x:c r="B12" s="33" t="str">
        <x:v>T02</x:v>
      </x:c>
      <x:c r="C12" s="33" t="n">
        <x:v>1</x:v>
      </x:c>
      <x:c r="D12" s="34" t="str">
        <x:v>如何在 1 分钟内创建低面数岩石</x:v>
      </x:c>
      <x:c r="E12" s="34" t="str">
        <x:v>https://www.youtube.com/watch?v=4EqLyGsu3AA</x:v>
      </x:c>
      <x:c r="F12" s="34" t="str">
        <x:v>YouTube / 英语</x:v>
      </x:c>
      <x:c r="G12" s="34" t="str">
        <x:v>Blender</x:v>
      </x:c>
      <x:c r="H12" s="34" t="str">
        <x:v>自然道具</x:v>
      </x:c>
      <x:c r="I12" s="34" t="str">
        <x:v>@李依桐</x:v>
      </x:c>
      <x:c r="J12" s="34" t="str">
        <x:v>建立立方体</x:v>
      </x:c>
      <x:c r="K12" s="29" t="str"/>
      <x:c r="L12" s="29" t="str"/>
      <x:c r="M12" s="23" t="str"/>
      <x:c r="N12" s="23" t="str"/>
      <x:c r="O12" s="23" t="str"/>
      <x:c r="P12" s="23" t="str"/>
      <x:c r="Q12" s="23" t="str"/>
      <x:c r="R12" s="23" t="str"/>
      <x:c r="S12" s="30" t="str"/>
      <x:c r="T12" s="23" t="str"/>
      <x:c r="U12" s="23" t="str">
        <x:v>Uncoded</x:v>
      </x:c>
      <x:c r="V12" s="23" t="str"/>
      <x:c r="W12" s="23" t="str"/>
      <x:c r="X12" s="23" t="str">
        <x:f>IF(AND(M12="",O12="",P12="",Q12="",R12="",S12="",T12="",V12=""),"UNCODED",IF(AND(M12&lt;&gt;"",O12&lt;&gt;"",P12&lt;&gt;"",Q12&lt;&gt;"",R12&lt;&gt;"",ISNUMBER(S12),S12&gt;=0,S12&lt;=1,T12&lt;&gt;"",U12&lt;&gt;"Uncoded",V12&lt;&gt;""),"TAXONOMY_READY","REVIEW"))</x:f>
        <x:v>UNCODED</x:v>
      </x:c>
      <x:c r="Y12" s="23" t="str">
        <x:f>IF(X12&lt;&gt;"TAXONOMY_READY","NOT_READY",IF(AND(ISNUMBER(K12),ISNUMBER(L12),L12&gt;K12,U12="Adjudicated"),"CASE_READY","NEEDS_TIME_OR_ADJUDICATION"))</x:f>
        <x:v>NOT_READY</x:v>
      </x:c>
    </x:row>
    <x:row r="13" ht="44" customHeight="1">
      <x:c r="A13" s="33" t="str">
        <x:v>B009</x:v>
      </x:c>
      <x:c r="B13" s="33" t="str">
        <x:v>T02</x:v>
      </x:c>
      <x:c r="C13" s="33" t="n">
        <x:v>2</x:v>
      </x:c>
      <x:c r="D13" s="34" t="str">
        <x:v>如何在 1 分钟内创建低面数岩石</x:v>
      </x:c>
      <x:c r="E13" s="34" t="str">
        <x:v>https://www.youtube.com/watch?v=4EqLyGsu3AA</x:v>
      </x:c>
      <x:c r="F13" s="34" t="str">
        <x:v>YouTube / 英语</x:v>
      </x:c>
      <x:c r="G13" s="34" t="str">
        <x:v>Blender</x:v>
      </x:c>
      <x:c r="H13" s="34" t="str">
        <x:v>自然道具</x:v>
      </x:c>
      <x:c r="I13" s="34" t="str">
        <x:v>@李依桐</x:v>
      </x:c>
      <x:c r="J13" s="34" t="str">
        <x:v>使用软件内置修改器</x:v>
      </x:c>
      <x:c r="K13" s="29" t="str"/>
      <x:c r="L13" s="29" t="str"/>
      <x:c r="M13" s="23" t="str"/>
      <x:c r="N13" s="23" t="str"/>
      <x:c r="O13" s="23" t="str"/>
      <x:c r="P13" s="23" t="str"/>
      <x:c r="Q13" s="23" t="str"/>
      <x:c r="R13" s="23" t="str"/>
      <x:c r="S13" s="30" t="str"/>
      <x:c r="T13" s="23" t="str"/>
      <x:c r="U13" s="23" t="str">
        <x:v>Uncoded</x:v>
      </x:c>
      <x:c r="V13" s="23" t="str"/>
      <x:c r="W13" s="23" t="str"/>
      <x:c r="X13" s="23" t="str">
        <x:f>IF(AND(M13="",O13="",P13="",Q13="",R13="",S13="",T13="",V13=""),"UNCODED",IF(AND(M13&lt;&gt;"",O13&lt;&gt;"",P13&lt;&gt;"",Q13&lt;&gt;"",R13&lt;&gt;"",ISNUMBER(S13),S13&gt;=0,S13&lt;=1,T13&lt;&gt;"",U13&lt;&gt;"Uncoded",V13&lt;&gt;""),"TAXONOMY_READY","REVIEW"))</x:f>
        <x:v>UNCODED</x:v>
      </x:c>
      <x:c r="Y13" s="23" t="str">
        <x:f>IF(X13&lt;&gt;"TAXONOMY_READY","NOT_READY",IF(AND(ISNUMBER(K13),ISNUMBER(L13),L13&gt;K13,U13="Adjudicated"),"CASE_READY","NEEDS_TIME_OR_ADJUDICATION"))</x:f>
        <x:v>NOT_READY</x:v>
      </x:c>
    </x:row>
    <x:row r="14" ht="44" customHeight="1">
      <x:c r="A14" s="33" t="str">
        <x:v>B010</x:v>
      </x:c>
      <x:c r="B14" s="33" t="str">
        <x:v>T02</x:v>
      </x:c>
      <x:c r="C14" s="33" t="n">
        <x:v>3</x:v>
      </x:c>
      <x:c r="D14" s="34" t="str">
        <x:v>如何在 1 分钟内创建低面数岩石</x:v>
      </x:c>
      <x:c r="E14" s="34" t="str">
        <x:v>https://www.youtube.com/watch?v=4EqLyGsu3AA</x:v>
      </x:c>
      <x:c r="F14" s="34" t="str">
        <x:v>YouTube / 英语</x:v>
      </x:c>
      <x:c r="G14" s="34" t="str">
        <x:v>Blender</x:v>
      </x:c>
      <x:c r="H14" s="34" t="str">
        <x:v>自然道具</x:v>
      </x:c>
      <x:c r="I14" s="34" t="str">
        <x:v>@李依桐</x:v>
      </x:c>
      <x:c r="J14" s="34" t="str">
        <x:v>修改参数特征，调整模型形变</x:v>
      </x:c>
      <x:c r="K14" s="29" t="str"/>
      <x:c r="L14" s="29" t="str"/>
      <x:c r="M14" s="23" t="str"/>
      <x:c r="N14" s="23" t="str"/>
      <x:c r="O14" s="23" t="str"/>
      <x:c r="P14" s="23" t="str"/>
      <x:c r="Q14" s="23" t="str"/>
      <x:c r="R14" s="23" t="str"/>
      <x:c r="S14" s="30" t="str"/>
      <x:c r="T14" s="23" t="str"/>
      <x:c r="U14" s="23" t="str">
        <x:v>Uncoded</x:v>
      </x:c>
      <x:c r="V14" s="23" t="str"/>
      <x:c r="W14" s="23" t="str"/>
      <x:c r="X14" s="23" t="str">
        <x:f>IF(AND(M14="",O14="",P14="",Q14="",R14="",S14="",T14="",V14=""),"UNCODED",IF(AND(M14&lt;&gt;"",O14&lt;&gt;"",P14&lt;&gt;"",Q14&lt;&gt;"",R14&lt;&gt;"",ISNUMBER(S14),S14&gt;=0,S14&lt;=1,T14&lt;&gt;"",U14&lt;&gt;"Uncoded",V14&lt;&gt;""),"TAXONOMY_READY","REVIEW"))</x:f>
        <x:v>UNCODED</x:v>
      </x:c>
      <x:c r="Y14" s="23" t="str">
        <x:f>IF(X14&lt;&gt;"TAXONOMY_READY","NOT_READY",IF(AND(ISNUMBER(K14),ISNUMBER(L14),L14&gt;K14,U14="Adjudicated"),"CASE_READY","NEEDS_TIME_OR_ADJUDICATION"))</x:f>
        <x:v>NOT_READY</x:v>
      </x:c>
    </x:row>
    <x:row r="15" ht="44" customHeight="1">
      <x:c r="A15" s="33" t="str">
        <x:v>B011</x:v>
      </x:c>
      <x:c r="B15" s="33" t="str">
        <x:v>T02</x:v>
      </x:c>
      <x:c r="C15" s="33" t="n">
        <x:v>4</x:v>
      </x:c>
      <x:c r="D15" s="34" t="str">
        <x:v>如何在 1 分钟内创建低面数岩石</x:v>
      </x:c>
      <x:c r="E15" s="34" t="str">
        <x:v>https://www.youtube.com/watch?v=4EqLyGsu3AA</x:v>
      </x:c>
      <x:c r="F15" s="34" t="str">
        <x:v>YouTube / 英语</x:v>
      </x:c>
      <x:c r="G15" s="34" t="str">
        <x:v>Blender</x:v>
      </x:c>
      <x:c r="H15" s="34" t="str">
        <x:v>自然道具</x:v>
      </x:c>
      <x:c r="I15" s="34" t="str">
        <x:v>@李依桐</x:v>
      </x:c>
      <x:c r="J15" s="34" t="str">
        <x:v>根据立方体多个四边面修改模型形态（AI工具中是否保留？）</x:v>
      </x:c>
      <x:c r="K15" s="29" t="str"/>
      <x:c r="L15" s="29" t="str"/>
      <x:c r="M15" s="23" t="str"/>
      <x:c r="N15" s="23" t="str"/>
      <x:c r="O15" s="23" t="str"/>
      <x:c r="P15" s="23" t="str"/>
      <x:c r="Q15" s="23" t="str"/>
      <x:c r="R15" s="23" t="str"/>
      <x:c r="S15" s="30" t="str"/>
      <x:c r="T15" s="23" t="str"/>
      <x:c r="U15" s="23" t="str">
        <x:v>Uncoded</x:v>
      </x:c>
      <x:c r="V15" s="23" t="str"/>
      <x:c r="W15" s="23" t="str"/>
      <x:c r="X15" s="23" t="str">
        <x:f>IF(AND(M15="",O15="",P15="",Q15="",R15="",S15="",T15="",V15=""),"UNCODED",IF(AND(M15&lt;&gt;"",O15&lt;&gt;"",P15&lt;&gt;"",Q15&lt;&gt;"",R15&lt;&gt;"",ISNUMBER(S15),S15&gt;=0,S15&lt;=1,T15&lt;&gt;"",U15&lt;&gt;"Uncoded",V15&lt;&gt;""),"TAXONOMY_READY","REVIEW"))</x:f>
        <x:v>UNCODED</x:v>
      </x:c>
      <x:c r="Y15" s="23" t="str">
        <x:f>IF(X15&lt;&gt;"TAXONOMY_READY","NOT_READY",IF(AND(ISNUMBER(K15),ISNUMBER(L15),L15&gt;K15,U15="Adjudicated"),"CASE_READY","NEEDS_TIME_OR_ADJUDICATION"))</x:f>
        <x:v>NOT_READY</x:v>
      </x:c>
    </x:row>
    <x:row r="16" ht="44" customHeight="1">
      <x:c r="A16" s="33" t="str">
        <x:v>B012</x:v>
      </x:c>
      <x:c r="B16" s="33" t="str">
        <x:v>T02</x:v>
      </x:c>
      <x:c r="C16" s="33" t="n">
        <x:v>5</x:v>
      </x:c>
      <x:c r="D16" s="34" t="str">
        <x:v>如何在 1 分钟内创建低面数岩石</x:v>
      </x:c>
      <x:c r="E16" s="34" t="str">
        <x:v>https://www.youtube.com/watch?v=4EqLyGsu3AA</x:v>
      </x:c>
      <x:c r="F16" s="34" t="str">
        <x:v>YouTube / 英语</x:v>
      </x:c>
      <x:c r="G16" s="34" t="str">
        <x:v>Blender</x:v>
      </x:c>
      <x:c r="H16" s="34" t="str">
        <x:v>自然道具</x:v>
      </x:c>
      <x:c r="I16" s="34" t="str">
        <x:v>@李依桐</x:v>
      </x:c>
      <x:c r="J16" s="34" t="str">
        <x:v>贴图与实时渲染效果</x:v>
      </x:c>
      <x:c r="K16" s="29" t="str"/>
      <x:c r="L16" s="29" t="str"/>
      <x:c r="M16" s="23" t="str"/>
      <x:c r="N16" s="23" t="str"/>
      <x:c r="O16" s="23" t="str"/>
      <x:c r="P16" s="23" t="str"/>
      <x:c r="Q16" s="23" t="str"/>
      <x:c r="R16" s="23" t="str"/>
      <x:c r="S16" s="30" t="str"/>
      <x:c r="T16" s="23" t="str"/>
      <x:c r="U16" s="23" t="str">
        <x:v>Uncoded</x:v>
      </x:c>
      <x:c r="V16" s="23" t="str"/>
      <x:c r="W16" s="23" t="str"/>
      <x:c r="X16" s="23" t="str">
        <x:f>IF(AND(M16="",O16="",P16="",Q16="",R16="",S16="",T16="",V16=""),"UNCODED",IF(AND(M16&lt;&gt;"",O16&lt;&gt;"",P16&lt;&gt;"",Q16&lt;&gt;"",R16&lt;&gt;"",ISNUMBER(S16),S16&gt;=0,S16&lt;=1,T16&lt;&gt;"",U16&lt;&gt;"Uncoded",V16&lt;&gt;""),"TAXONOMY_READY","REVIEW"))</x:f>
        <x:v>UNCODED</x:v>
      </x:c>
      <x:c r="Y16" s="23" t="str">
        <x:f>IF(X16&lt;&gt;"TAXONOMY_READY","NOT_READY",IF(AND(ISNUMBER(K16),ISNUMBER(L16),L16&gt;K16,U16="Adjudicated"),"CASE_READY","NEEDS_TIME_OR_ADJUDICATION"))</x:f>
        <x:v>NOT_READY</x:v>
      </x:c>
    </x:row>
    <x:row r="17" ht="44" customHeight="1">
      <x:c r="A17" s="33" t="str">
        <x:v>B013</x:v>
      </x:c>
      <x:c r="B17" s="33" t="str">
        <x:v>T03</x:v>
      </x:c>
      <x:c r="C17" s="33" t="n">
        <x:v>1</x:v>
      </x:c>
      <x:c r="D17" s="34" t="str">
        <x:v>Blender 2.91 硬表面裂缝雕刻</x:v>
      </x:c>
      <x:c r="E17" s="34" t="str">
        <x:v>https://www.youtube.com/watch?v=fHGDeNKFzM4</x:v>
      </x:c>
      <x:c r="F17" s="34" t="str">
        <x:v>YouTube / 英语</x:v>
      </x:c>
      <x:c r="G17" s="34" t="str">
        <x:v>Blender</x:v>
      </x:c>
      <x:c r="H17" s="34" t="str">
        <x:v>头部 / 硬表面</x:v>
      </x:c>
      <x:c r="I17" s="34" t="str">
        <x:v>@李依桐</x:v>
      </x:c>
      <x:c r="J17" s="34" t="str">
        <x:v>新建多个立方体，塑造外形</x:v>
      </x:c>
      <x:c r="K17" s="29" t="str"/>
      <x:c r="L17" s="29" t="str"/>
      <x:c r="M17" s="23" t="str"/>
      <x:c r="N17" s="23" t="str"/>
      <x:c r="O17" s="23" t="str"/>
      <x:c r="P17" s="23" t="str"/>
      <x:c r="Q17" s="23" t="str"/>
      <x:c r="R17" s="23" t="str"/>
      <x:c r="S17" s="30" t="str"/>
      <x:c r="T17" s="23" t="str"/>
      <x:c r="U17" s="23" t="str">
        <x:v>Uncoded</x:v>
      </x:c>
      <x:c r="V17" s="23" t="str"/>
      <x:c r="W17" s="23" t="str"/>
      <x:c r="X17" s="23" t="str">
        <x:f>IF(AND(M17="",O17="",P17="",Q17="",R17="",S17="",T17="",V17=""),"UNCODED",IF(AND(M17&lt;&gt;"",O17&lt;&gt;"",P17&lt;&gt;"",Q17&lt;&gt;"",R17&lt;&gt;"",ISNUMBER(S17),S17&gt;=0,S17&lt;=1,T17&lt;&gt;"",U17&lt;&gt;"Uncoded",V17&lt;&gt;""),"TAXONOMY_READY","REVIEW"))</x:f>
        <x:v>UNCODED</x:v>
      </x:c>
      <x:c r="Y17" s="23" t="str">
        <x:f>IF(X17&lt;&gt;"TAXONOMY_READY","NOT_READY",IF(AND(ISNUMBER(K17),ISNUMBER(L17),L17&gt;K17,U17="Adjudicated"),"CASE_READY","NEEDS_TIME_OR_ADJUDICATION"))</x:f>
        <x:v>NOT_READY</x:v>
      </x:c>
    </x:row>
    <x:row r="18" ht="44" customHeight="1">
      <x:c r="A18" s="33" t="str">
        <x:v>B014</x:v>
      </x:c>
      <x:c r="B18" s="33" t="str">
        <x:v>T03</x:v>
      </x:c>
      <x:c r="C18" s="33" t="n">
        <x:v>2</x:v>
      </x:c>
      <x:c r="D18" s="34" t="str">
        <x:v>Blender 2.91 硬表面裂缝雕刻</x:v>
      </x:c>
      <x:c r="E18" s="34" t="str">
        <x:v>https://www.youtube.com/watch?v=fHGDeNKFzM4</x:v>
      </x:c>
      <x:c r="F18" s="34" t="str">
        <x:v>YouTube / 英语</x:v>
      </x:c>
      <x:c r="G18" s="34" t="str">
        <x:v>Blender</x:v>
      </x:c>
      <x:c r="H18" s="34" t="str">
        <x:v>头部 / 硬表面</x:v>
      </x:c>
      <x:c r="I18" s="34" t="str">
        <x:v>@李依桐</x:v>
      </x:c>
      <x:c r="J18" s="34" t="str">
        <x:v>雕刻边缘，使之圆润，塑造石块外形</x:v>
      </x:c>
      <x:c r="K18" s="29" t="str"/>
      <x:c r="L18" s="29" t="str"/>
      <x:c r="M18" s="23" t="str"/>
      <x:c r="N18" s="23" t="str"/>
      <x:c r="O18" s="23" t="str"/>
      <x:c r="P18" s="23" t="str"/>
      <x:c r="Q18" s="23" t="str"/>
      <x:c r="R18" s="23" t="str"/>
      <x:c r="S18" s="30" t="str"/>
      <x:c r="T18" s="23" t="str"/>
      <x:c r="U18" s="23" t="str">
        <x:v>Uncoded</x:v>
      </x:c>
      <x:c r="V18" s="23" t="str"/>
      <x:c r="W18" s="23" t="str"/>
      <x:c r="X18" s="23" t="str">
        <x:f>IF(AND(M18="",O18="",P18="",Q18="",R18="",S18="",T18="",V18=""),"UNCODED",IF(AND(M18&lt;&gt;"",O18&lt;&gt;"",P18&lt;&gt;"",Q18&lt;&gt;"",R18&lt;&gt;"",ISNUMBER(S18),S18&gt;=0,S18&lt;=1,T18&lt;&gt;"",U18&lt;&gt;"Uncoded",V18&lt;&gt;""),"TAXONOMY_READY","REVIEW"))</x:f>
        <x:v>UNCODED</x:v>
      </x:c>
      <x:c r="Y18" s="23" t="str">
        <x:f>IF(X18&lt;&gt;"TAXONOMY_READY","NOT_READY",IF(AND(ISNUMBER(K18),ISNUMBER(L18),L18&gt;K18,U18="Adjudicated"),"CASE_READY","NEEDS_TIME_OR_ADJUDICATION"))</x:f>
        <x:v>NOT_READY</x:v>
      </x:c>
    </x:row>
    <x:row r="19" ht="44" customHeight="1">
      <x:c r="A19" s="33" t="str">
        <x:v>B015</x:v>
      </x:c>
      <x:c r="B19" s="33" t="str">
        <x:v>T03</x:v>
      </x:c>
      <x:c r="C19" s="33" t="n">
        <x:v>3</x:v>
      </x:c>
      <x:c r="D19" s="34" t="str">
        <x:v>Blender 2.91 硬表面裂缝雕刻</x:v>
      </x:c>
      <x:c r="E19" s="34" t="str">
        <x:v>https://www.youtube.com/watch?v=fHGDeNKFzM4</x:v>
      </x:c>
      <x:c r="F19" s="34" t="str">
        <x:v>YouTube / 英语</x:v>
      </x:c>
      <x:c r="G19" s="34" t="str">
        <x:v>Blender</x:v>
      </x:c>
      <x:c r="H19" s="34" t="str">
        <x:v>头部 / 硬表面</x:v>
      </x:c>
      <x:c r="I19" s="34" t="str">
        <x:v>@李依桐</x:v>
      </x:c>
      <x:c r="J19" s="34" t="str">
        <x:v>雕刻石头缝隙</x:v>
      </x:c>
      <x:c r="K19" s="29" t="str"/>
      <x:c r="L19" s="29" t="str"/>
      <x:c r="M19" s="23" t="str"/>
      <x:c r="N19" s="23" t="str"/>
      <x:c r="O19" s="23" t="str"/>
      <x:c r="P19" s="23" t="str"/>
      <x:c r="Q19" s="23" t="str"/>
      <x:c r="R19" s="23" t="str"/>
      <x:c r="S19" s="30" t="str"/>
      <x:c r="T19" s="23" t="str"/>
      <x:c r="U19" s="23" t="str">
        <x:v>Uncoded</x:v>
      </x:c>
      <x:c r="V19" s="23" t="str"/>
      <x:c r="W19" s="23" t="str"/>
      <x:c r="X19" s="23" t="str">
        <x:f>IF(AND(M19="",O19="",P19="",Q19="",R19="",S19="",T19="",V19=""),"UNCODED",IF(AND(M19&lt;&gt;"",O19&lt;&gt;"",P19&lt;&gt;"",Q19&lt;&gt;"",R19&lt;&gt;"",ISNUMBER(S19),S19&gt;=0,S19&lt;=1,T19&lt;&gt;"",U19&lt;&gt;"Uncoded",V19&lt;&gt;""),"TAXONOMY_READY","REVIEW"))</x:f>
        <x:v>UNCODED</x:v>
      </x:c>
      <x:c r="Y19" s="23" t="str">
        <x:f>IF(X19&lt;&gt;"TAXONOMY_READY","NOT_READY",IF(AND(ISNUMBER(K19),ISNUMBER(L19),L19&gt;K19,U19="Adjudicated"),"CASE_READY","NEEDS_TIME_OR_ADJUDICATION"))</x:f>
        <x:v>NOT_READY</x:v>
      </x:c>
    </x:row>
    <x:row r="20" ht="44" customHeight="1">
      <x:c r="A20" s="33" t="str">
        <x:v>B016</x:v>
      </x:c>
      <x:c r="B20" s="33" t="str">
        <x:v>T03</x:v>
      </x:c>
      <x:c r="C20" s="33" t="n">
        <x:v>4</x:v>
      </x:c>
      <x:c r="D20" s="34" t="str">
        <x:v>Blender 2.91 硬表面裂缝雕刻</x:v>
      </x:c>
      <x:c r="E20" s="34" t="str">
        <x:v>https://www.youtube.com/watch?v=fHGDeNKFzM4</x:v>
      </x:c>
      <x:c r="F20" s="34" t="str">
        <x:v>YouTube / 英语</x:v>
      </x:c>
      <x:c r="G20" s="34" t="str">
        <x:v>Blender</x:v>
      </x:c>
      <x:c r="H20" s="34" t="str">
        <x:v>头部 / 硬表面</x:v>
      </x:c>
      <x:c r="I20" s="34" t="str">
        <x:v>@李依桐</x:v>
      </x:c>
      <x:c r="J20" s="34" t="str">
        <x:v>高精度动态拓扑下，硬边笔刷雕刻石块接缝缝隙细节</x:v>
      </x:c>
      <x:c r="K20" s="29" t="str"/>
      <x:c r="L20" s="29" t="str"/>
      <x:c r="M20" s="23" t="str"/>
      <x:c r="N20" s="23" t="str"/>
      <x:c r="O20" s="23" t="str"/>
      <x:c r="P20" s="23" t="str"/>
      <x:c r="Q20" s="23" t="str"/>
      <x:c r="R20" s="23" t="str"/>
      <x:c r="S20" s="30" t="str"/>
      <x:c r="T20" s="23" t="str"/>
      <x:c r="U20" s="23" t="str">
        <x:v>Uncoded</x:v>
      </x:c>
      <x:c r="V20" s="23" t="str"/>
      <x:c r="W20" s="23" t="str"/>
      <x:c r="X20" s="23" t="str">
        <x:f>IF(AND(M20="",O20="",P20="",Q20="",R20="",S20="",T20="",V20=""),"UNCODED",IF(AND(M20&lt;&gt;"",O20&lt;&gt;"",P20&lt;&gt;"",Q20&lt;&gt;"",R20&lt;&gt;"",ISNUMBER(S20),S20&gt;=0,S20&lt;=1,T20&lt;&gt;"",U20&lt;&gt;"Uncoded",V20&lt;&gt;""),"TAXONOMY_READY","REVIEW"))</x:f>
        <x:v>UNCODED</x:v>
      </x:c>
      <x:c r="Y20" s="23" t="str">
        <x:f>IF(X20&lt;&gt;"TAXONOMY_READY","NOT_READY",IF(AND(ISNUMBER(K20),ISNUMBER(L20),L20&gt;K20,U20="Adjudicated"),"CASE_READY","NEEDS_TIME_OR_ADJUDICATION"))</x:f>
        <x:v>NOT_READY</x:v>
      </x:c>
    </x:row>
    <x:row r="21" ht="44" customHeight="1">
      <x:c r="A21" s="33" t="str">
        <x:v>B017</x:v>
      </x:c>
      <x:c r="B21" s="33" t="str">
        <x:v>T03</x:v>
      </x:c>
      <x:c r="C21" s="33" t="n">
        <x:v>5</x:v>
      </x:c>
      <x:c r="D21" s="34" t="str">
        <x:v>Blender 2.91 硬表面裂缝雕刻</x:v>
      </x:c>
      <x:c r="E21" s="34" t="str">
        <x:v>https://www.youtube.com/watch?v=fHGDeNKFzM4</x:v>
      </x:c>
      <x:c r="F21" s="34" t="str">
        <x:v>YouTube / 英语</x:v>
      </x:c>
      <x:c r="G21" s="34" t="str">
        <x:v>Blender</x:v>
      </x:c>
      <x:c r="H21" s="34" t="str">
        <x:v>头部 / 硬表面</x:v>
      </x:c>
      <x:c r="I21" s="34" t="str">
        <x:v>@李依桐</x:v>
      </x:c>
      <x:c r="J21" s="34" t="str">
        <x:v>拓宽/弥合石缝，叠加细节</x:v>
      </x:c>
      <x:c r="K21" s="29" t="str"/>
      <x:c r="L21" s="29" t="str"/>
      <x:c r="M21" s="23" t="str"/>
      <x:c r="N21" s="23" t="str"/>
      <x:c r="O21" s="23" t="str"/>
      <x:c r="P21" s="23" t="str"/>
      <x:c r="Q21" s="23" t="str"/>
      <x:c r="R21" s="23" t="str"/>
      <x:c r="S21" s="30" t="str"/>
      <x:c r="T21" s="23" t="str"/>
      <x:c r="U21" s="23" t="str">
        <x:v>Uncoded</x:v>
      </x:c>
      <x:c r="V21" s="23" t="str"/>
      <x:c r="W21" s="23" t="str"/>
      <x:c r="X21" s="23" t="str">
        <x:f>IF(AND(M21="",O21="",P21="",Q21="",R21="",S21="",T21="",V21=""),"UNCODED",IF(AND(M21&lt;&gt;"",O21&lt;&gt;"",P21&lt;&gt;"",Q21&lt;&gt;"",R21&lt;&gt;"",ISNUMBER(S21),S21&gt;=0,S21&lt;=1,T21&lt;&gt;"",U21&lt;&gt;"Uncoded",V21&lt;&gt;""),"TAXONOMY_READY","REVIEW"))</x:f>
        <x:v>UNCODED</x:v>
      </x:c>
      <x:c r="Y21" s="23" t="str">
        <x:f>IF(X21&lt;&gt;"TAXONOMY_READY","NOT_READY",IF(AND(ISNUMBER(K21),ISNUMBER(L21),L21&gt;K21,U21="Adjudicated"),"CASE_READY","NEEDS_TIME_OR_ADJUDICATION"))</x:f>
        <x:v>NOT_READY</x:v>
      </x:c>
    </x:row>
    <x:row r="22" ht="44" customHeight="1">
      <x:c r="A22" s="33" t="str">
        <x:v>B018</x:v>
      </x:c>
      <x:c r="B22" s="33" t="str">
        <x:v>T04</x:v>
      </x:c>
      <x:c r="C22" s="33" t="n">
        <x:v>1</x:v>
      </x:c>
      <x:c r="D22" s="34" t="str">
        <x:v>动漫角色三维建模教程：服装雕刻</x:v>
      </x:c>
      <x:c r="E22" s="34" t="str">
        <x:v>https://www.youtube.com/watch?v=2qGMGXF2lVg</x:v>
      </x:c>
      <x:c r="F22" s="34" t="str">
        <x:v>YouTube / 英语</x:v>
      </x:c>
      <x:c r="G22" s="34" t="str">
        <x:v>ZBrush</x:v>
      </x:c>
      <x:c r="H22" s="34" t="str">
        <x:v>完整角色</x:v>
      </x:c>
      <x:c r="I22" s="34" t="str">
        <x:v>@李依桐</x:v>
      </x:c>
      <x:c r="J22" s="34" t="str">
        <x:v>雕刻衣服褶皱与细节</x:v>
      </x:c>
      <x:c r="K22" s="29" t="str"/>
      <x:c r="L22" s="29" t="str"/>
      <x:c r="M22" s="23" t="str"/>
      <x:c r="N22" s="23" t="str"/>
      <x:c r="O22" s="23" t="str"/>
      <x:c r="P22" s="23" t="str"/>
      <x:c r="Q22" s="23" t="str"/>
      <x:c r="R22" s="23" t="str"/>
      <x:c r="S22" s="30" t="str"/>
      <x:c r="T22" s="23" t="str"/>
      <x:c r="U22" s="23" t="str">
        <x:v>Uncoded</x:v>
      </x:c>
      <x:c r="V22" s="23" t="str"/>
      <x:c r="W22" s="23" t="str"/>
      <x:c r="X22" s="23" t="str">
        <x:f>IF(AND(M22="",O22="",P22="",Q22="",R22="",S22="",T22="",V22=""),"UNCODED",IF(AND(M22&lt;&gt;"",O22&lt;&gt;"",P22&lt;&gt;"",Q22&lt;&gt;"",R22&lt;&gt;"",ISNUMBER(S22),S22&gt;=0,S22&lt;=1,T22&lt;&gt;"",U22&lt;&gt;"Uncoded",V22&lt;&gt;""),"TAXONOMY_READY","REVIEW"))</x:f>
        <x:v>UNCODED</x:v>
      </x:c>
      <x:c r="Y22" s="23" t="str">
        <x:f>IF(X22&lt;&gt;"TAXONOMY_READY","NOT_READY",IF(AND(ISNUMBER(K22),ISNUMBER(L22),L22&gt;K22,U22="Adjudicated"),"CASE_READY","NEEDS_TIME_OR_ADJUDICATION"))</x:f>
        <x:v>NOT_READY</x:v>
      </x:c>
    </x:row>
    <x:row r="23" ht="44" customHeight="1">
      <x:c r="A23" s="33" t="str">
        <x:v>B019</x:v>
      </x:c>
      <x:c r="B23" s="33" t="str">
        <x:v>T04</x:v>
      </x:c>
      <x:c r="C23" s="33" t="n">
        <x:v>2</x:v>
      </x:c>
      <x:c r="D23" s="34" t="str">
        <x:v>动漫角色三维建模教程：服装雕刻</x:v>
      </x:c>
      <x:c r="E23" s="34" t="str">
        <x:v>https://www.youtube.com/watch?v=2qGMGXF2lVg</x:v>
      </x:c>
      <x:c r="F23" s="34" t="str">
        <x:v>YouTube / 英语</x:v>
      </x:c>
      <x:c r="G23" s="34" t="str">
        <x:v>ZBrush</x:v>
      </x:c>
      <x:c r="H23" s="34" t="str">
        <x:v>完整角色</x:v>
      </x:c>
      <x:c r="I23" s="34" t="str">
        <x:v>@李依桐</x:v>
      </x:c>
      <x:c r="J23" s="34" t="str">
        <x:v>挤出/抽壳袖子空间</x:v>
      </x:c>
      <x:c r="K23" s="29" t="str"/>
      <x:c r="L23" s="29" t="str"/>
      <x:c r="M23" s="23" t="str"/>
      <x:c r="N23" s="23" t="str"/>
      <x:c r="O23" s="23" t="str"/>
      <x:c r="P23" s="23" t="str"/>
      <x:c r="Q23" s="23" t="str"/>
      <x:c r="R23" s="23" t="str"/>
      <x:c r="S23" s="30" t="str"/>
      <x:c r="T23" s="23" t="str"/>
      <x:c r="U23" s="23" t="str">
        <x:v>Uncoded</x:v>
      </x:c>
      <x:c r="V23" s="23" t="str"/>
      <x:c r="W23" s="23" t="str"/>
      <x:c r="X23" s="23" t="str">
        <x:f>IF(AND(M23="",O23="",P23="",Q23="",R23="",S23="",T23="",V23=""),"UNCODED",IF(AND(M23&lt;&gt;"",O23&lt;&gt;"",P23&lt;&gt;"",Q23&lt;&gt;"",R23&lt;&gt;"",ISNUMBER(S23),S23&gt;=0,S23&lt;=1,T23&lt;&gt;"",U23&lt;&gt;"Uncoded",V23&lt;&gt;""),"TAXONOMY_READY","REVIEW"))</x:f>
        <x:v>UNCODED</x:v>
      </x:c>
      <x:c r="Y23" s="23" t="str">
        <x:f>IF(X23&lt;&gt;"TAXONOMY_READY","NOT_READY",IF(AND(ISNUMBER(K23),ISNUMBER(L23),L23&gt;K23,U23="Adjudicated"),"CASE_READY","NEEDS_TIME_OR_ADJUDICATION"))</x:f>
        <x:v>NOT_READY</x:v>
      </x:c>
    </x:row>
    <x:row r="24" ht="44" customHeight="1">
      <x:c r="A24" s="33" t="str">
        <x:v>B020</x:v>
      </x:c>
      <x:c r="B24" s="33" t="str">
        <x:v>T04</x:v>
      </x:c>
      <x:c r="C24" s="33" t="n">
        <x:v>3</x:v>
      </x:c>
      <x:c r="D24" s="34" t="str">
        <x:v>动漫角色三维建模教程：服装雕刻</x:v>
      </x:c>
      <x:c r="E24" s="34" t="str">
        <x:v>https://www.youtube.com/watch?v=2qGMGXF2lVg</x:v>
      </x:c>
      <x:c r="F24" s="34" t="str">
        <x:v>YouTube / 英语</x:v>
      </x:c>
      <x:c r="G24" s="34" t="str">
        <x:v>ZBrush</x:v>
      </x:c>
      <x:c r="H24" s="34" t="str">
        <x:v>完整角色</x:v>
      </x:c>
      <x:c r="I24" s="34" t="str">
        <x:v>@李依桐</x:v>
      </x:c>
      <x:c r="J24" s="34" t="str">
        <x:v>裙子由圆柱形变而成，使用网格调整曲面位置，形成裙摆波浪</x:v>
      </x:c>
      <x:c r="K24" s="29" t="str"/>
      <x:c r="L24" s="29" t="str"/>
      <x:c r="M24" s="23" t="str"/>
      <x:c r="N24" s="23" t="str"/>
      <x:c r="O24" s="23" t="str"/>
      <x:c r="P24" s="23" t="str"/>
      <x:c r="Q24" s="23" t="str"/>
      <x:c r="R24" s="23" t="str"/>
      <x:c r="S24" s="30" t="str"/>
      <x:c r="T24" s="23" t="str"/>
      <x:c r="U24" s="23" t="str">
        <x:v>Uncoded</x:v>
      </x:c>
      <x:c r="V24" s="23" t="str"/>
      <x:c r="W24" s="23" t="str"/>
      <x:c r="X24" s="23" t="str">
        <x:f>IF(AND(M24="",O24="",P24="",Q24="",R24="",S24="",T24="",V24=""),"UNCODED",IF(AND(M24&lt;&gt;"",O24&lt;&gt;"",P24&lt;&gt;"",Q24&lt;&gt;"",R24&lt;&gt;"",ISNUMBER(S24),S24&gt;=0,S24&lt;=1,T24&lt;&gt;"",U24&lt;&gt;"Uncoded",V24&lt;&gt;""),"TAXONOMY_READY","REVIEW"))</x:f>
        <x:v>UNCODED</x:v>
      </x:c>
      <x:c r="Y24" s="23" t="str">
        <x:f>IF(X24&lt;&gt;"TAXONOMY_READY","NOT_READY",IF(AND(ISNUMBER(K24),ISNUMBER(L24),L24&gt;K24,U24="Adjudicated"),"CASE_READY","NEEDS_TIME_OR_ADJUDICATION"))</x:f>
        <x:v>NOT_READY</x:v>
      </x:c>
    </x:row>
    <x:row r="25" ht="44" customHeight="1">
      <x:c r="A25" s="33" t="str">
        <x:v>B021</x:v>
      </x:c>
      <x:c r="B25" s="33" t="str">
        <x:v>T04</x:v>
      </x:c>
      <x:c r="C25" s="33" t="n">
        <x:v>4</x:v>
      </x:c>
      <x:c r="D25" s="34" t="str">
        <x:v>动漫角色三维建模教程：服装雕刻</x:v>
      </x:c>
      <x:c r="E25" s="34" t="str">
        <x:v>https://www.youtube.com/watch?v=2qGMGXF2lVg</x:v>
      </x:c>
      <x:c r="F25" s="34" t="str">
        <x:v>YouTube / 英语</x:v>
      </x:c>
      <x:c r="G25" s="34" t="str">
        <x:v>ZBrush</x:v>
      </x:c>
      <x:c r="H25" s="34" t="str">
        <x:v>完整角色</x:v>
      </x:c>
      <x:c r="I25" s="34" t="str">
        <x:v>@李依桐</x:v>
      </x:c>
      <x:c r="J25" s="34" t="str">
        <x:v>细节雕刻衣角</x:v>
      </x:c>
      <x:c r="K25" s="29" t="str"/>
      <x:c r="L25" s="29" t="str"/>
      <x:c r="M25" s="23" t="str"/>
      <x:c r="N25" s="23" t="str"/>
      <x:c r="O25" s="23" t="str"/>
      <x:c r="P25" s="23" t="str"/>
      <x:c r="Q25" s="23" t="str"/>
      <x:c r="R25" s="23" t="str"/>
      <x:c r="S25" s="30" t="str"/>
      <x:c r="T25" s="23" t="str"/>
      <x:c r="U25" s="23" t="str">
        <x:v>Uncoded</x:v>
      </x:c>
      <x:c r="V25" s="23" t="str"/>
      <x:c r="W25" s="23" t="str"/>
      <x:c r="X25" s="23" t="str">
        <x:f>IF(AND(M25="",O25="",P25="",Q25="",R25="",S25="",T25="",V25=""),"UNCODED",IF(AND(M25&lt;&gt;"",O25&lt;&gt;"",P25&lt;&gt;"",Q25&lt;&gt;"",R25&lt;&gt;"",ISNUMBER(S25),S25&gt;=0,S25&lt;=1,T25&lt;&gt;"",U25&lt;&gt;"Uncoded",V25&lt;&gt;""),"TAXONOMY_READY","REVIEW"))</x:f>
        <x:v>UNCODED</x:v>
      </x:c>
      <x:c r="Y25" s="23" t="str">
        <x:f>IF(X25&lt;&gt;"TAXONOMY_READY","NOT_READY",IF(AND(ISNUMBER(K25),ISNUMBER(L25),L25&gt;K25,U25="Adjudicated"),"CASE_READY","NEEDS_TIME_OR_ADJUDICATION"))</x:f>
        <x:v>NOT_READY</x:v>
      </x:c>
    </x:row>
    <x:row r="26" ht="44" customHeight="1">
      <x:c r="A26" s="33" t="str">
        <x:v>B022</x:v>
      </x:c>
      <x:c r="B26" s="33" t="str">
        <x:v>T04</x:v>
      </x:c>
      <x:c r="C26" s="33" t="n">
        <x:v>5</x:v>
      </x:c>
      <x:c r="D26" s="34" t="str">
        <x:v>动漫角色三维建模教程：服装雕刻</x:v>
      </x:c>
      <x:c r="E26" s="34" t="str">
        <x:v>https://www.youtube.com/watch?v=2qGMGXF2lVg</x:v>
      </x:c>
      <x:c r="F26" s="34" t="str">
        <x:v>YouTube / 英语</x:v>
      </x:c>
      <x:c r="G26" s="34" t="str">
        <x:v>ZBrush</x:v>
      </x:c>
      <x:c r="H26" s="34" t="str">
        <x:v>完整角色</x:v>
      </x:c>
      <x:c r="I26" s="34" t="str">
        <x:v>@李依桐</x:v>
      </x:c>
      <x:c r="J26" s="34" t="str">
        <x:v>细节雕刻裙摆</x:v>
      </x:c>
      <x:c r="K26" s="29" t="str"/>
      <x:c r="L26" s="29" t="str"/>
      <x:c r="M26" s="23" t="str"/>
      <x:c r="N26" s="23" t="str"/>
      <x:c r="O26" s="23" t="str"/>
      <x:c r="P26" s="23" t="str"/>
      <x:c r="Q26" s="23" t="str"/>
      <x:c r="R26" s="23" t="str"/>
      <x:c r="S26" s="30" t="str"/>
      <x:c r="T26" s="23" t="str"/>
      <x:c r="U26" s="23" t="str">
        <x:v>Uncoded</x:v>
      </x:c>
      <x:c r="V26" s="23" t="str"/>
      <x:c r="W26" s="23" t="str"/>
      <x:c r="X26" s="23" t="str">
        <x:f>IF(AND(M26="",O26="",P26="",Q26="",R26="",S26="",T26="",V26=""),"UNCODED",IF(AND(M26&lt;&gt;"",O26&lt;&gt;"",P26&lt;&gt;"",Q26&lt;&gt;"",R26&lt;&gt;"",ISNUMBER(S26),S26&gt;=0,S26&lt;=1,T26&lt;&gt;"",U26&lt;&gt;"Uncoded",V26&lt;&gt;""),"TAXONOMY_READY","REVIEW"))</x:f>
        <x:v>UNCODED</x:v>
      </x:c>
      <x:c r="Y26" s="23" t="str">
        <x:f>IF(X26&lt;&gt;"TAXONOMY_READY","NOT_READY",IF(AND(ISNUMBER(K26),ISNUMBER(L26),L26&gt;K26,U26="Adjudicated"),"CASE_READY","NEEDS_TIME_OR_ADJUDICATION"))</x:f>
        <x:v>NOT_READY</x:v>
      </x:c>
    </x:row>
    <x:row r="27" ht="44" customHeight="1">
      <x:c r="A27" s="33" t="str">
        <x:v>B023</x:v>
      </x:c>
      <x:c r="B27" s="33" t="str">
        <x:v>T04</x:v>
      </x:c>
      <x:c r="C27" s="33" t="n">
        <x:v>6</x:v>
      </x:c>
      <x:c r="D27" s="34" t="str">
        <x:v>动漫角色三维建模教程：服装雕刻</x:v>
      </x:c>
      <x:c r="E27" s="34" t="str">
        <x:v>https://www.youtube.com/watch?v=2qGMGXF2lVg</x:v>
      </x:c>
      <x:c r="F27" s="34" t="str">
        <x:v>YouTube / 英语</x:v>
      </x:c>
      <x:c r="G27" s="34" t="str">
        <x:v>ZBrush</x:v>
      </x:c>
      <x:c r="H27" s="34" t="str">
        <x:v>完整角色</x:v>
      </x:c>
      <x:c r="I27" s="34" t="str">
        <x:v>@李依桐</x:v>
      </x:c>
      <x:c r="J27" s="34" t="str">
        <x:v>挤出/抽壳裙子空间</x:v>
      </x:c>
      <x:c r="K27" s="29" t="str"/>
      <x:c r="L27" s="29" t="str"/>
      <x:c r="M27" s="23" t="str"/>
      <x:c r="N27" s="23" t="str"/>
      <x:c r="O27" s="23" t="str"/>
      <x:c r="P27" s="23" t="str"/>
      <x:c r="Q27" s="23" t="str"/>
      <x:c r="R27" s="23" t="str"/>
      <x:c r="S27" s="30" t="str"/>
      <x:c r="T27" s="23" t="str"/>
      <x:c r="U27" s="23" t="str">
        <x:v>Uncoded</x:v>
      </x:c>
      <x:c r="V27" s="23" t="str"/>
      <x:c r="W27" s="23" t="str"/>
      <x:c r="X27" s="23" t="str">
        <x:f>IF(AND(M27="",O27="",P27="",Q27="",R27="",S27="",T27="",V27=""),"UNCODED",IF(AND(M27&lt;&gt;"",O27&lt;&gt;"",P27&lt;&gt;"",Q27&lt;&gt;"",R27&lt;&gt;"",ISNUMBER(S27),S27&gt;=0,S27&lt;=1,T27&lt;&gt;"",U27&lt;&gt;"Uncoded",V27&lt;&gt;""),"TAXONOMY_READY","REVIEW"))</x:f>
        <x:v>UNCODED</x:v>
      </x:c>
      <x:c r="Y27" s="23" t="str">
        <x:f>IF(X27&lt;&gt;"TAXONOMY_READY","NOT_READY",IF(AND(ISNUMBER(K27),ISNUMBER(L27),L27&gt;K27,U27="Adjudicated"),"CASE_READY","NEEDS_TIME_OR_ADJUDICATION"))</x:f>
        <x:v>NOT_READY</x:v>
      </x:c>
    </x:row>
    <x:row r="28" ht="44" customHeight="1">
      <x:c r="A28" s="33" t="str">
        <x:v>B024</x:v>
      </x:c>
      <x:c r="B28" s="33" t="str">
        <x:v>T05</x:v>
      </x:c>
      <x:c r="C28" s="33" t="n">
        <x:v>1</x:v>
      </x:c>
      <x:c r="D28" s="34" t="str">
        <x:v>在 Maya 中制作低面数岩石：简单岩石与石块</x:v>
      </x:c>
      <x:c r="E28" s="34" t="str">
        <x:v>https://www.youtube.com/watch?v=8LUTku3AN50</x:v>
      </x:c>
      <x:c r="F28" s="34" t="str">
        <x:v>YouTube / 英语</x:v>
      </x:c>
      <x:c r="G28" s="34" t="str">
        <x:v>Maya</x:v>
      </x:c>
      <x:c r="H28" s="34" t="str">
        <x:v>自然道具</x:v>
      </x:c>
      <x:c r="I28" s="34" t="str">
        <x:v>@李依桐</x:v>
      </x:c>
      <x:c r="J28" s="34" t="str">
        <x:v>新建基础多面体球体</x:v>
      </x:c>
      <x:c r="K28" s="29" t="str"/>
      <x:c r="L28" s="29" t="str"/>
      <x:c r="M28" s="23" t="str"/>
      <x:c r="N28" s="23" t="str"/>
      <x:c r="O28" s="23" t="str"/>
      <x:c r="P28" s="23" t="str"/>
      <x:c r="Q28" s="23" t="str"/>
      <x:c r="R28" s="23" t="str"/>
      <x:c r="S28" s="30" t="str"/>
      <x:c r="T28" s="23" t="str"/>
      <x:c r="U28" s="23" t="str">
        <x:v>Uncoded</x:v>
      </x:c>
      <x:c r="V28" s="23" t="str"/>
      <x:c r="W28" s="23" t="str"/>
      <x:c r="X28" s="23" t="str">
        <x:f>IF(AND(M28="",O28="",P28="",Q28="",R28="",S28="",T28="",V28=""),"UNCODED",IF(AND(M28&lt;&gt;"",O28&lt;&gt;"",P28&lt;&gt;"",Q28&lt;&gt;"",R28&lt;&gt;"",ISNUMBER(S28),S28&gt;=0,S28&lt;=1,T28&lt;&gt;"",U28&lt;&gt;"Uncoded",V28&lt;&gt;""),"TAXONOMY_READY","REVIEW"))</x:f>
        <x:v>UNCODED</x:v>
      </x:c>
      <x:c r="Y28" s="23" t="str">
        <x:f>IF(X28&lt;&gt;"TAXONOMY_READY","NOT_READY",IF(AND(ISNUMBER(K28),ISNUMBER(L28),L28&gt;K28,U28="Adjudicated"),"CASE_READY","NEEDS_TIME_OR_ADJUDICATION"))</x:f>
        <x:v>NOT_READY</x:v>
      </x:c>
    </x:row>
    <x:row r="29" ht="44" customHeight="1">
      <x:c r="A29" s="33" t="str">
        <x:v>B025</x:v>
      </x:c>
      <x:c r="B29" s="33" t="str">
        <x:v>T05</x:v>
      </x:c>
      <x:c r="C29" s="33" t="n">
        <x:v>2</x:v>
      </x:c>
      <x:c r="D29" s="34" t="str">
        <x:v>在 Maya 中制作低面数岩石：简单岩石与石块</x:v>
      </x:c>
      <x:c r="E29" s="34" t="str">
        <x:v>https://www.youtube.com/watch?v=8LUTku3AN50</x:v>
      </x:c>
      <x:c r="F29" s="34" t="str">
        <x:v>YouTube / 英语</x:v>
      </x:c>
      <x:c r="G29" s="34" t="str">
        <x:v>Maya</x:v>
      </x:c>
      <x:c r="H29" s="34" t="str">
        <x:v>自然道具</x:v>
      </x:c>
      <x:c r="I29" s="34" t="str">
        <x:v>@李依桐</x:v>
      </x:c>
      <x:c r="J29" s="34" t="str">
        <x:v>使用旋转工具调整岩石不规则角度</x:v>
      </x:c>
      <x:c r="K29" s="29" t="str"/>
      <x:c r="L29" s="29" t="str"/>
      <x:c r="M29" s="23" t="str"/>
      <x:c r="N29" s="23" t="str"/>
      <x:c r="O29" s="23" t="str"/>
      <x:c r="P29" s="23" t="str"/>
      <x:c r="Q29" s="23" t="str"/>
      <x:c r="R29" s="23" t="str"/>
      <x:c r="S29" s="30" t="str"/>
      <x:c r="T29" s="23" t="str"/>
      <x:c r="U29" s="23" t="str">
        <x:v>Uncoded</x:v>
      </x:c>
      <x:c r="V29" s="23" t="str"/>
      <x:c r="W29" s="23" t="str"/>
      <x:c r="X29" s="23" t="str">
        <x:f>IF(AND(M29="",O29="",P29="",Q29="",R29="",S29="",T29="",V29=""),"UNCODED",IF(AND(M29&lt;&gt;"",O29&lt;&gt;"",P29&lt;&gt;"",Q29&lt;&gt;"",R29&lt;&gt;"",ISNUMBER(S29),S29&gt;=0,S29&lt;=1,T29&lt;&gt;"",U29&lt;&gt;"Uncoded",V29&lt;&gt;""),"TAXONOMY_READY","REVIEW"))</x:f>
        <x:v>UNCODED</x:v>
      </x:c>
      <x:c r="Y29" s="23" t="str">
        <x:f>IF(X29&lt;&gt;"TAXONOMY_READY","NOT_READY",IF(AND(ISNUMBER(K29),ISNUMBER(L29),L29&gt;K29,U29="Adjudicated"),"CASE_READY","NEEDS_TIME_OR_ADJUDICATION"))</x:f>
        <x:v>NOT_READY</x:v>
      </x:c>
    </x:row>
    <x:row r="30" ht="44" customHeight="1">
      <x:c r="A30" s="33" t="str">
        <x:v>B026</x:v>
      </x:c>
      <x:c r="B30" s="33" t="str">
        <x:v>T05</x:v>
      </x:c>
      <x:c r="C30" s="33" t="n">
        <x:v>3</x:v>
      </x:c>
      <x:c r="D30" s="34" t="str">
        <x:v>在 Maya 中制作低面数岩石：简单岩石与石块</x:v>
      </x:c>
      <x:c r="E30" s="34" t="str">
        <x:v>https://www.youtube.com/watch?v=8LUTku3AN50</x:v>
      </x:c>
      <x:c r="F30" s="34" t="str">
        <x:v>YouTube / 英语</x:v>
      </x:c>
      <x:c r="G30" s="34" t="str">
        <x:v>Maya</x:v>
      </x:c>
      <x:c r="H30" s="34" t="str">
        <x:v>自然道具</x:v>
      </x:c>
      <x:c r="I30" s="34" t="str">
        <x:v>@李依桐</x:v>
      </x:c>
      <x:c r="J30" s="34" t="str">
        <x:v>细分平滑，增加模型面数</x:v>
      </x:c>
      <x:c r="K30" s="29" t="str"/>
      <x:c r="L30" s="29" t="str"/>
      <x:c r="M30" s="23" t="str"/>
      <x:c r="N30" s="23" t="str"/>
      <x:c r="O30" s="23" t="str"/>
      <x:c r="P30" s="23" t="str"/>
      <x:c r="Q30" s="23" t="str"/>
      <x:c r="R30" s="23" t="str"/>
      <x:c r="S30" s="30" t="str"/>
      <x:c r="T30" s="23" t="str"/>
      <x:c r="U30" s="23" t="str">
        <x:v>Uncoded</x:v>
      </x:c>
      <x:c r="V30" s="23" t="str"/>
      <x:c r="W30" s="23" t="str"/>
      <x:c r="X30" s="23" t="str">
        <x:f>IF(AND(M30="",O30="",P30="",Q30="",R30="",S30="",T30="",V30=""),"UNCODED",IF(AND(M30&lt;&gt;"",O30&lt;&gt;"",P30&lt;&gt;"",Q30&lt;&gt;"",R30&lt;&gt;"",ISNUMBER(S30),S30&gt;=0,S30&lt;=1,T30&lt;&gt;"",U30&lt;&gt;"Uncoded",V30&lt;&gt;""),"TAXONOMY_READY","REVIEW"))</x:f>
        <x:v>UNCODED</x:v>
      </x:c>
      <x:c r="Y30" s="23" t="str">
        <x:f>IF(X30&lt;&gt;"TAXONOMY_READY","NOT_READY",IF(AND(ISNUMBER(K30),ISNUMBER(L30),L30&gt;K30,U30="Adjudicated"),"CASE_READY","NEEDS_TIME_OR_ADJUDICATION"))</x:f>
        <x:v>NOT_READY</x:v>
      </x:c>
    </x:row>
    <x:row r="31" ht="44" customHeight="1">
      <x:c r="A31" s="33" t="str">
        <x:v>B027</x:v>
      </x:c>
      <x:c r="B31" s="33" t="str">
        <x:v>T05</x:v>
      </x:c>
      <x:c r="C31" s="33" t="n">
        <x:v>4</x:v>
      </x:c>
      <x:c r="D31" s="34" t="str">
        <x:v>在 Maya 中制作低面数岩石：简单岩石与石块</x:v>
      </x:c>
      <x:c r="E31" s="34" t="str">
        <x:v>https://www.youtube.com/watch?v=8LUTku3AN50</x:v>
      </x:c>
      <x:c r="F31" s="34" t="str">
        <x:v>YouTube / 英语</x:v>
      </x:c>
      <x:c r="G31" s="34" t="str">
        <x:v>Maya</x:v>
      </x:c>
      <x:c r="H31" s="34" t="str">
        <x:v>自然道具</x:v>
      </x:c>
      <x:c r="I31" s="34" t="str">
        <x:v>@李依桐</x:v>
      </x:c>
      <x:c r="J31" s="34" t="str">
        <x:v>切换三角形线框预览</x:v>
      </x:c>
      <x:c r="K31" s="29" t="str"/>
      <x:c r="L31" s="29" t="str"/>
      <x:c r="M31" s="23" t="str"/>
      <x:c r="N31" s="23" t="str"/>
      <x:c r="O31" s="23" t="str"/>
      <x:c r="P31" s="23" t="str"/>
      <x:c r="Q31" s="23" t="str"/>
      <x:c r="R31" s="23" t="str"/>
      <x:c r="S31" s="30" t="str"/>
      <x:c r="T31" s="23" t="str"/>
      <x:c r="U31" s="23" t="str">
        <x:v>Uncoded</x:v>
      </x:c>
      <x:c r="V31" s="23" t="str"/>
      <x:c r="W31" s="23" t="str"/>
      <x:c r="X31" s="23" t="str">
        <x:f>IF(AND(M31="",O31="",P31="",Q31="",R31="",S31="",T31="",V31=""),"UNCODED",IF(AND(M31&lt;&gt;"",O31&lt;&gt;"",P31&lt;&gt;"",Q31&lt;&gt;"",R31&lt;&gt;"",ISNUMBER(S31),S31&gt;=0,S31&lt;=1,T31&lt;&gt;"",U31&lt;&gt;"Uncoded",V31&lt;&gt;""),"TAXONOMY_READY","REVIEW"))</x:f>
        <x:v>UNCODED</x:v>
      </x:c>
      <x:c r="Y31" s="23" t="str">
        <x:f>IF(X31&lt;&gt;"TAXONOMY_READY","NOT_READY",IF(AND(ISNUMBER(K31),ISNUMBER(L31),L31&gt;K31,U31="Adjudicated"),"CASE_READY","NEEDS_TIME_OR_ADJUDICATION"))</x:f>
        <x:v>NOT_READY</x:v>
      </x:c>
    </x:row>
    <x:row r="32" ht="44" customHeight="1">
      <x:c r="A32" s="33" t="str">
        <x:v>B028</x:v>
      </x:c>
      <x:c r="B32" s="33" t="str">
        <x:v>T05</x:v>
      </x:c>
      <x:c r="C32" s="33" t="n">
        <x:v>5</x:v>
      </x:c>
      <x:c r="D32" s="34" t="str">
        <x:v>在 Maya 中制作低面数岩石：简单岩石与石块</x:v>
      </x:c>
      <x:c r="E32" s="34" t="str">
        <x:v>https://www.youtube.com/watch?v=8LUTku3AN50</x:v>
      </x:c>
      <x:c r="F32" s="34" t="str">
        <x:v>YouTube / 英语</x:v>
      </x:c>
      <x:c r="G32" s="34" t="str">
        <x:v>Maya</x:v>
      </x:c>
      <x:c r="H32" s="34" t="str">
        <x:v>自然道具</x:v>
      </x:c>
      <x:c r="I32" s="34" t="str">
        <x:v>@李依桐</x:v>
      </x:c>
      <x:c r="J32" s="34" t="str">
        <x:v>查看基础布线，与细分前对比</x:v>
      </x:c>
      <x:c r="K32" s="29" t="str"/>
      <x:c r="L32" s="29" t="str"/>
      <x:c r="M32" s="23" t="str"/>
      <x:c r="N32" s="23" t="str"/>
      <x:c r="O32" s="23" t="str"/>
      <x:c r="P32" s="23" t="str"/>
      <x:c r="Q32" s="23" t="str"/>
      <x:c r="R32" s="23" t="str"/>
      <x:c r="S32" s="30" t="str"/>
      <x:c r="T32" s="23" t="str"/>
      <x:c r="U32" s="23" t="str">
        <x:v>Uncoded</x:v>
      </x:c>
      <x:c r="V32" s="23" t="str"/>
      <x:c r="W32" s="23" t="str"/>
      <x:c r="X32" s="23" t="str">
        <x:f>IF(AND(M32="",O32="",P32="",Q32="",R32="",S32="",T32="",V32=""),"UNCODED",IF(AND(M32&lt;&gt;"",O32&lt;&gt;"",P32&lt;&gt;"",Q32&lt;&gt;"",R32&lt;&gt;"",ISNUMBER(S32),S32&gt;=0,S32&lt;=1,T32&lt;&gt;"",U32&lt;&gt;"Uncoded",V32&lt;&gt;""),"TAXONOMY_READY","REVIEW"))</x:f>
        <x:v>UNCODED</x:v>
      </x:c>
      <x:c r="Y32" s="23" t="str">
        <x:f>IF(X32&lt;&gt;"TAXONOMY_READY","NOT_READY",IF(AND(ISNUMBER(K32),ISNUMBER(L32),L32&gt;K32,U32="Adjudicated"),"CASE_READY","NEEDS_TIME_OR_ADJUDICATION"))</x:f>
        <x:v>NOT_READY</x:v>
      </x:c>
    </x:row>
    <x:row r="33" ht="44" customHeight="1">
      <x:c r="A33" s="33" t="str">
        <x:v>B029</x:v>
      </x:c>
      <x:c r="B33" s="33" t="str">
        <x:v>T05</x:v>
      </x:c>
      <x:c r="C33" s="33" t="n">
        <x:v>6</x:v>
      </x:c>
      <x:c r="D33" s="34" t="str">
        <x:v>在 Maya 中制作低面数岩石：简单岩石与石块</x:v>
      </x:c>
      <x:c r="E33" s="34" t="str">
        <x:v>https://www.youtube.com/watch?v=8LUTku3AN50</x:v>
      </x:c>
      <x:c r="F33" s="34" t="str">
        <x:v>YouTube / 英语</x:v>
      </x:c>
      <x:c r="G33" s="34" t="str">
        <x:v>Maya</x:v>
      </x:c>
      <x:c r="H33" s="34" t="str">
        <x:v>自然道具</x:v>
      </x:c>
      <x:c r="I33" s="34" t="str">
        <x:v>@李依桐</x:v>
      </x:c>
      <x:c r="J33" s="34" t="str">
        <x:v>复制多个几何体</x:v>
      </x:c>
      <x:c r="K33" s="29" t="str"/>
      <x:c r="L33" s="29" t="str"/>
      <x:c r="M33" s="23" t="str"/>
      <x:c r="N33" s="23" t="str"/>
      <x:c r="O33" s="23" t="str"/>
      <x:c r="P33" s="23" t="str"/>
      <x:c r="Q33" s="23" t="str"/>
      <x:c r="R33" s="23" t="str"/>
      <x:c r="S33" s="30" t="str"/>
      <x:c r="T33" s="23" t="str"/>
      <x:c r="U33" s="23" t="str">
        <x:v>Uncoded</x:v>
      </x:c>
      <x:c r="V33" s="23" t="str"/>
      <x:c r="W33" s="23" t="str"/>
      <x:c r="X33" s="23" t="str">
        <x:f>IF(AND(M33="",O33="",P33="",Q33="",R33="",S33="",T33="",V33=""),"UNCODED",IF(AND(M33&lt;&gt;"",O33&lt;&gt;"",P33&lt;&gt;"",Q33&lt;&gt;"",R33&lt;&gt;"",ISNUMBER(S33),S33&gt;=0,S33&lt;=1,T33&lt;&gt;"",U33&lt;&gt;"Uncoded",V33&lt;&gt;""),"TAXONOMY_READY","REVIEW"))</x:f>
        <x:v>UNCODED</x:v>
      </x:c>
      <x:c r="Y33" s="23" t="str">
        <x:f>IF(X33&lt;&gt;"TAXONOMY_READY","NOT_READY",IF(AND(ISNUMBER(K33),ISNUMBER(L33),L33&gt;K33,U33="Adjudicated"),"CASE_READY","NEEDS_TIME_OR_ADJUDICATION"))</x:f>
        <x:v>NOT_READY</x:v>
      </x:c>
    </x:row>
    <x:row r="34" ht="44" customHeight="1">
      <x:c r="A34" s="33" t="str">
        <x:v>B030</x:v>
      </x:c>
      <x:c r="B34" s="33" t="str">
        <x:v>T06</x:v>
      </x:c>
      <x:c r="C34" s="33" t="n">
        <x:v>1</x:v>
      </x:c>
      <x:c r="D34" s="34" t="str">
        <x:v>3D风格化角色《考古学家》制作全流程！</x:v>
      </x:c>
      <x:c r="E34" s="34" t="str">
        <x:v>http://www.bilibili.com/video/av460852040</x:v>
      </x:c>
      <x:c r="F34" s="34" t="str">
        <x:v>Bilibili / 中文</x:v>
      </x:c>
      <x:c r="G34" s="34" t="str">
        <x:v>Maya</x:v>
      </x:c>
      <x:c r="H34" s="34" t="str">
        <x:v>完整角色</x:v>
      </x:c>
      <x:c r="I34" s="34" t="str">
        <x:v>@张帅</x:v>
      </x:c>
      <x:c r="J34" s="34" t="str">
        <x:v>建模、高模创建</x:v>
      </x:c>
      <x:c r="K34" s="29" t="str"/>
      <x:c r="L34" s="29" t="str"/>
      <x:c r="M34" s="23" t="str"/>
      <x:c r="N34" s="23" t="str"/>
      <x:c r="O34" s="23" t="str"/>
      <x:c r="P34" s="23" t="str"/>
      <x:c r="Q34" s="23" t="str"/>
      <x:c r="R34" s="23" t="str"/>
      <x:c r="S34" s="30" t="str"/>
      <x:c r="T34" s="23" t="str"/>
      <x:c r="U34" s="23" t="str">
        <x:v>Uncoded</x:v>
      </x:c>
      <x:c r="V34" s="23" t="str"/>
      <x:c r="W34" s="23" t="str"/>
      <x:c r="X34" s="23" t="str">
        <x:f>IF(AND(M34="",O34="",P34="",Q34="",R34="",S34="",T34="",V34=""),"UNCODED",IF(AND(M34&lt;&gt;"",O34&lt;&gt;"",P34&lt;&gt;"",Q34&lt;&gt;"",R34&lt;&gt;"",ISNUMBER(S34),S34&gt;=0,S34&lt;=1,T34&lt;&gt;"",U34&lt;&gt;"Uncoded",V34&lt;&gt;""),"TAXONOMY_READY","REVIEW"))</x:f>
        <x:v>UNCODED</x:v>
      </x:c>
      <x:c r="Y34" s="23" t="str">
        <x:f>IF(X34&lt;&gt;"TAXONOMY_READY","NOT_READY",IF(AND(ISNUMBER(K34),ISNUMBER(L34),L34&gt;K34,U34="Adjudicated"),"CASE_READY","NEEDS_TIME_OR_ADJUDICATION"))</x:f>
        <x:v>NOT_READY</x:v>
      </x:c>
    </x:row>
    <x:row r="35" ht="44" customHeight="1">
      <x:c r="A35" s="33" t="str">
        <x:v>B031</x:v>
      </x:c>
      <x:c r="B35" s="33" t="str">
        <x:v>T06</x:v>
      </x:c>
      <x:c r="C35" s="33" t="n">
        <x:v>2</x:v>
      </x:c>
      <x:c r="D35" s="34" t="str">
        <x:v>3D风格化角色《考古学家》制作全流程！</x:v>
      </x:c>
      <x:c r="E35" s="34" t="str">
        <x:v>http://www.bilibili.com/video/av460852040</x:v>
      </x:c>
      <x:c r="F35" s="34" t="str">
        <x:v>Bilibili / 中文</x:v>
      </x:c>
      <x:c r="G35" s="34" t="str">
        <x:v>Maya</x:v>
      </x:c>
      <x:c r="H35" s="34" t="str">
        <x:v>完整角色</x:v>
      </x:c>
      <x:c r="I35" s="34" t="str">
        <x:v>@张帅</x:v>
      </x:c>
      <x:c r="J35" s="34" t="str">
        <x:v>重新拓扑</x:v>
      </x:c>
      <x:c r="K35" s="29" t="str"/>
      <x:c r="L35" s="29" t="str"/>
      <x:c r="M35" s="23" t="str"/>
      <x:c r="N35" s="23" t="str"/>
      <x:c r="O35" s="23" t="str"/>
      <x:c r="P35" s="23" t="str"/>
      <x:c r="Q35" s="23" t="str"/>
      <x:c r="R35" s="23" t="str"/>
      <x:c r="S35" s="30" t="str"/>
      <x:c r="T35" s="23" t="str"/>
      <x:c r="U35" s="23" t="str">
        <x:v>Uncoded</x:v>
      </x:c>
      <x:c r="V35" s="23" t="str"/>
      <x:c r="W35" s="23" t="str"/>
      <x:c r="X35" s="23" t="str">
        <x:f>IF(AND(M35="",O35="",P35="",Q35="",R35="",S35="",T35="",V35=""),"UNCODED",IF(AND(M35&lt;&gt;"",O35&lt;&gt;"",P35&lt;&gt;"",Q35&lt;&gt;"",R35&lt;&gt;"",ISNUMBER(S35),S35&gt;=0,S35&lt;=1,T35&lt;&gt;"",U35&lt;&gt;"Uncoded",V35&lt;&gt;""),"TAXONOMY_READY","REVIEW"))</x:f>
        <x:v>UNCODED</x:v>
      </x:c>
      <x:c r="Y35" s="23" t="str">
        <x:f>IF(X35&lt;&gt;"TAXONOMY_READY","NOT_READY",IF(AND(ISNUMBER(K35),ISNUMBER(L35),L35&gt;K35,U35="Adjudicated"),"CASE_READY","NEEDS_TIME_OR_ADJUDICATION"))</x:f>
        <x:v>NOT_READY</x:v>
      </x:c>
    </x:row>
    <x:row r="36" ht="44" customHeight="1">
      <x:c r="A36" s="33" t="str">
        <x:v>B032</x:v>
      </x:c>
      <x:c r="B36" s="33" t="str">
        <x:v>T06</x:v>
      </x:c>
      <x:c r="C36" s="33" t="n">
        <x:v>3</x:v>
      </x:c>
      <x:c r="D36" s="34" t="str">
        <x:v>3D风格化角色《考古学家》制作全流程！</x:v>
      </x:c>
      <x:c r="E36" s="34" t="str">
        <x:v>http://www.bilibili.com/video/av460852040</x:v>
      </x:c>
      <x:c r="F36" s="34" t="str">
        <x:v>Bilibili / 中文</x:v>
      </x:c>
      <x:c r="G36" s="34" t="str">
        <x:v>Maya</x:v>
      </x:c>
      <x:c r="H36" s="34" t="str">
        <x:v>完整角色</x:v>
      </x:c>
      <x:c r="I36" s="34" t="str">
        <x:v>@张帅</x:v>
      </x:c>
      <x:c r="J36" s="34" t="str">
        <x:v>展UV</x:v>
      </x:c>
      <x:c r="K36" s="29" t="str"/>
      <x:c r="L36" s="29" t="str"/>
      <x:c r="M36" s="23" t="str"/>
      <x:c r="N36" s="23" t="str"/>
      <x:c r="O36" s="23" t="str"/>
      <x:c r="P36" s="23" t="str"/>
      <x:c r="Q36" s="23" t="str"/>
      <x:c r="R36" s="23" t="str"/>
      <x:c r="S36" s="30" t="str"/>
      <x:c r="T36" s="23" t="str"/>
      <x:c r="U36" s="23" t="str">
        <x:v>Uncoded</x:v>
      </x:c>
      <x:c r="V36" s="23" t="str"/>
      <x:c r="W36" s="23" t="str"/>
      <x:c r="X36" s="23" t="str">
        <x:f>IF(AND(M36="",O36="",P36="",Q36="",R36="",S36="",T36="",V36=""),"UNCODED",IF(AND(M36&lt;&gt;"",O36&lt;&gt;"",P36&lt;&gt;"",Q36&lt;&gt;"",R36&lt;&gt;"",ISNUMBER(S36),S36&gt;=0,S36&lt;=1,T36&lt;&gt;"",U36&lt;&gt;"Uncoded",V36&lt;&gt;""),"TAXONOMY_READY","REVIEW"))</x:f>
        <x:v>UNCODED</x:v>
      </x:c>
      <x:c r="Y36" s="23" t="str">
        <x:f>IF(X36&lt;&gt;"TAXONOMY_READY","NOT_READY",IF(AND(ISNUMBER(K36),ISNUMBER(L36),L36&gt;K36,U36="Adjudicated"),"CASE_READY","NEEDS_TIME_OR_ADJUDICATION"))</x:f>
        <x:v>NOT_READY</x:v>
      </x:c>
    </x:row>
    <x:row r="37" ht="44" customHeight="1">
      <x:c r="A37" s="33" t="str">
        <x:v>B033</x:v>
      </x:c>
      <x:c r="B37" s="33" t="str">
        <x:v>T06</x:v>
      </x:c>
      <x:c r="C37" s="33" t="n">
        <x:v>4</x:v>
      </x:c>
      <x:c r="D37" s="34" t="str">
        <x:v>3D风格化角色《考古学家》制作全流程！</x:v>
      </x:c>
      <x:c r="E37" s="34" t="str">
        <x:v>http://www.bilibili.com/video/av460852040</x:v>
      </x:c>
      <x:c r="F37" s="34" t="str">
        <x:v>Bilibili / 中文</x:v>
      </x:c>
      <x:c r="G37" s="34" t="str">
        <x:v>Maya</x:v>
      </x:c>
      <x:c r="H37" s="34" t="str">
        <x:v>完整角色</x:v>
      </x:c>
      <x:c r="I37" s="34" t="str">
        <x:v>@张帅</x:v>
      </x:c>
      <x:c r="J37" s="34" t="str">
        <x:v>烘焙</x:v>
      </x:c>
      <x:c r="K37" s="29" t="str"/>
      <x:c r="L37" s="29" t="str"/>
      <x:c r="M37" s="23" t="str"/>
      <x:c r="N37" s="23" t="str"/>
      <x:c r="O37" s="23" t="str"/>
      <x:c r="P37" s="23" t="str"/>
      <x:c r="Q37" s="23" t="str"/>
      <x:c r="R37" s="23" t="str"/>
      <x:c r="S37" s="30" t="str"/>
      <x:c r="T37" s="23" t="str"/>
      <x:c r="U37" s="23" t="str">
        <x:v>Uncoded</x:v>
      </x:c>
      <x:c r="V37" s="23" t="str"/>
      <x:c r="W37" s="23" t="str"/>
      <x:c r="X37" s="23" t="str">
        <x:f>IF(AND(M37="",O37="",P37="",Q37="",R37="",S37="",T37="",V37=""),"UNCODED",IF(AND(M37&lt;&gt;"",O37&lt;&gt;"",P37&lt;&gt;"",Q37&lt;&gt;"",R37&lt;&gt;"",ISNUMBER(S37),S37&gt;=0,S37&lt;=1,T37&lt;&gt;"",U37&lt;&gt;"Uncoded",V37&lt;&gt;""),"TAXONOMY_READY","REVIEW"))</x:f>
        <x:v>UNCODED</x:v>
      </x:c>
      <x:c r="Y37" s="23" t="str">
        <x:f>IF(X37&lt;&gt;"TAXONOMY_READY","NOT_READY",IF(AND(ISNUMBER(K37),ISNUMBER(L37),L37&gt;K37,U37="Adjudicated"),"CASE_READY","NEEDS_TIME_OR_ADJUDICATION"))</x:f>
        <x:v>NOT_READY</x:v>
      </x:c>
    </x:row>
    <x:row r="38" ht="44" customHeight="1">
      <x:c r="A38" s="33" t="str">
        <x:v>B034</x:v>
      </x:c>
      <x:c r="B38" s="33" t="str">
        <x:v>T06</x:v>
      </x:c>
      <x:c r="C38" s="33" t="n">
        <x:v>5</x:v>
      </x:c>
      <x:c r="D38" s="34" t="str">
        <x:v>3D风格化角色《考古学家》制作全流程！</x:v>
      </x:c>
      <x:c r="E38" s="34" t="str">
        <x:v>http://www.bilibili.com/video/av460852040</x:v>
      </x:c>
      <x:c r="F38" s="34" t="str">
        <x:v>Bilibili / 中文</x:v>
      </x:c>
      <x:c r="G38" s="34" t="str">
        <x:v>Maya</x:v>
      </x:c>
      <x:c r="H38" s="34" t="str">
        <x:v>完整角色</x:v>
      </x:c>
      <x:c r="I38" s="34" t="str">
        <x:v>@张帅</x:v>
      </x:c>
      <x:c r="J38" s="34" t="str">
        <x:v>绑定、站姿设定</x:v>
      </x:c>
      <x:c r="K38" s="29" t="str"/>
      <x:c r="L38" s="29" t="str"/>
      <x:c r="M38" s="23" t="str"/>
      <x:c r="N38" s="23" t="str"/>
      <x:c r="O38" s="23" t="str"/>
      <x:c r="P38" s="23" t="str"/>
      <x:c r="Q38" s="23" t="str"/>
      <x:c r="R38" s="23" t="str"/>
      <x:c r="S38" s="30" t="str"/>
      <x:c r="T38" s="23" t="str"/>
      <x:c r="U38" s="23" t="str">
        <x:v>Uncoded</x:v>
      </x:c>
      <x:c r="V38" s="23" t="str"/>
      <x:c r="W38" s="23" t="str"/>
      <x:c r="X38" s="23" t="str">
        <x:f>IF(AND(M38="",O38="",P38="",Q38="",R38="",S38="",T38="",V38=""),"UNCODED",IF(AND(M38&lt;&gt;"",O38&lt;&gt;"",P38&lt;&gt;"",Q38&lt;&gt;"",R38&lt;&gt;"",ISNUMBER(S38),S38&gt;=0,S38&lt;=1,T38&lt;&gt;"",U38&lt;&gt;"Uncoded",V38&lt;&gt;""),"TAXONOMY_READY","REVIEW"))</x:f>
        <x:v>UNCODED</x:v>
      </x:c>
      <x:c r="Y38" s="23" t="str">
        <x:f>IF(X38&lt;&gt;"TAXONOMY_READY","NOT_READY",IF(AND(ISNUMBER(K38),ISNUMBER(L38),L38&gt;K38,U38="Adjudicated"),"CASE_READY","NEEDS_TIME_OR_ADJUDICATION"))</x:f>
        <x:v>NOT_READY</x:v>
      </x:c>
    </x:row>
    <x:row r="39" ht="44" customHeight="1">
      <x:c r="A39" s="33" t="str">
        <x:v>B035</x:v>
      </x:c>
      <x:c r="B39" s="33" t="str">
        <x:v>T06</x:v>
      </x:c>
      <x:c r="C39" s="33" t="n">
        <x:v>6</x:v>
      </x:c>
      <x:c r="D39" s="34" t="str">
        <x:v>3D风格化角色《考古学家》制作全流程！</x:v>
      </x:c>
      <x:c r="E39" s="34" t="str">
        <x:v>http://www.bilibili.com/video/av460852040</x:v>
      </x:c>
      <x:c r="F39" s="34" t="str">
        <x:v>Bilibili / 中文</x:v>
      </x:c>
      <x:c r="G39" s="34" t="str">
        <x:v>Maya</x:v>
      </x:c>
      <x:c r="H39" s="34" t="str">
        <x:v>完整角色</x:v>
      </x:c>
      <x:c r="I39" s="34" t="str">
        <x:v>@张帅</x:v>
      </x:c>
      <x:c r="J39" s="34" t="str">
        <x:v>纹理绘制、着色</x:v>
      </x:c>
      <x:c r="K39" s="29" t="str"/>
      <x:c r="L39" s="29" t="str"/>
      <x:c r="M39" s="23" t="str"/>
      <x:c r="N39" s="23" t="str"/>
      <x:c r="O39" s="23" t="str"/>
      <x:c r="P39" s="23" t="str"/>
      <x:c r="Q39" s="23" t="str"/>
      <x:c r="R39" s="23" t="str"/>
      <x:c r="S39" s="30" t="str"/>
      <x:c r="T39" s="23" t="str"/>
      <x:c r="U39" s="23" t="str">
        <x:v>Uncoded</x:v>
      </x:c>
      <x:c r="V39" s="23" t="str"/>
      <x:c r="W39" s="23" t="str"/>
      <x:c r="X39" s="23" t="str">
        <x:f>IF(AND(M39="",O39="",P39="",Q39="",R39="",S39="",T39="",V39=""),"UNCODED",IF(AND(M39&lt;&gt;"",O39&lt;&gt;"",P39&lt;&gt;"",Q39&lt;&gt;"",R39&lt;&gt;"",ISNUMBER(S39),S39&gt;=0,S39&lt;=1,T39&lt;&gt;"",U39&lt;&gt;"Uncoded",V39&lt;&gt;""),"TAXONOMY_READY","REVIEW"))</x:f>
        <x:v>UNCODED</x:v>
      </x:c>
      <x:c r="Y39" s="23" t="str">
        <x:f>IF(X39&lt;&gt;"TAXONOMY_READY","NOT_READY",IF(AND(ISNUMBER(K39),ISNUMBER(L39),L39&gt;K39,U39="Adjudicated"),"CASE_READY","NEEDS_TIME_OR_ADJUDICATION"))</x:f>
        <x:v>NOT_READY</x:v>
      </x:c>
    </x:row>
    <x:row r="40" ht="44" customHeight="1">
      <x:c r="A40" s="33" t="str">
        <x:v>B036</x:v>
      </x:c>
      <x:c r="B40" s="33" t="str">
        <x:v>T06</x:v>
      </x:c>
      <x:c r="C40" s="33" t="n">
        <x:v>7</x:v>
      </x:c>
      <x:c r="D40" s="34" t="str">
        <x:v>3D风格化角色《考古学家》制作全流程！</x:v>
      </x:c>
      <x:c r="E40" s="34" t="str">
        <x:v>http://www.bilibili.com/video/av460852040</x:v>
      </x:c>
      <x:c r="F40" s="34" t="str">
        <x:v>Bilibili / 中文</x:v>
      </x:c>
      <x:c r="G40" s="34" t="str">
        <x:v>Maya</x:v>
      </x:c>
      <x:c r="H40" s="34" t="str">
        <x:v>完整角色</x:v>
      </x:c>
      <x:c r="I40" s="34" t="str">
        <x:v>@张帅</x:v>
      </x:c>
      <x:c r="J40" s="34" t="str">
        <x:v>灯效绑定</x:v>
      </x:c>
      <x:c r="K40" s="29" t="str"/>
      <x:c r="L40" s="29" t="str"/>
      <x:c r="M40" s="23" t="str"/>
      <x:c r="N40" s="23" t="str"/>
      <x:c r="O40" s="23" t="str"/>
      <x:c r="P40" s="23" t="str"/>
      <x:c r="Q40" s="23" t="str"/>
      <x:c r="R40" s="23" t="str"/>
      <x:c r="S40" s="30" t="str"/>
      <x:c r="T40" s="23" t="str"/>
      <x:c r="U40" s="23" t="str">
        <x:v>Uncoded</x:v>
      </x:c>
      <x:c r="V40" s="23" t="str"/>
      <x:c r="W40" s="23" t="str"/>
      <x:c r="X40" s="23" t="str">
        <x:f>IF(AND(M40="",O40="",P40="",Q40="",R40="",S40="",T40="",V40=""),"UNCODED",IF(AND(M40&lt;&gt;"",O40&lt;&gt;"",P40&lt;&gt;"",Q40&lt;&gt;"",R40&lt;&gt;"",ISNUMBER(S40),S40&gt;=0,S40&lt;=1,T40&lt;&gt;"",U40&lt;&gt;"Uncoded",V40&lt;&gt;""),"TAXONOMY_READY","REVIEW"))</x:f>
        <x:v>UNCODED</x:v>
      </x:c>
      <x:c r="Y40" s="23" t="str">
        <x:f>IF(X40&lt;&gt;"TAXONOMY_READY","NOT_READY",IF(AND(ISNUMBER(K40),ISNUMBER(L40),L40&gt;K40,U40="Adjudicated"),"CASE_READY","NEEDS_TIME_OR_ADJUDICATION"))</x:f>
        <x:v>NOT_READY</x:v>
      </x:c>
    </x:row>
    <x:row r="41" ht="44" customHeight="1">
      <x:c r="A41" s="33" t="str">
        <x:v>B037</x:v>
      </x:c>
      <x:c r="B41" s="33" t="str">
        <x:v>T08</x:v>
      </x:c>
      <x:c r="C41" s="33" t="n">
        <x:v>1</x:v>
      </x:c>
      <x:c r="D41" s="34" t="str">
        <x:v>如何制作真实服装褶皱：三维建模教程</x:v>
      </x:c>
      <x:c r="E41" s="34" t="str">
        <x:v>https://www.youtube.com/watch?v=gonaSjFkukM</x:v>
      </x:c>
      <x:c r="F41" s="34" t="str">
        <x:v>YouTube / 英语</x:v>
      </x:c>
      <x:c r="G41" s="34" t="str">
        <x:v>Cinema 4D</x:v>
      </x:c>
      <x:c r="H41" s="34" t="str">
        <x:v>角色局部</x:v>
      </x:c>
      <x:c r="I41" s="34" t="str">
        <x:v>@张帅</x:v>
      </x:c>
      <x:c r="J41" s="34" t="str">
        <x:v>主视图，添加一个管状物，方向和耳机保持一致</x:v>
      </x:c>
      <x:c r="K41" s="29" t="str"/>
      <x:c r="L41" s="29" t="str"/>
      <x:c r="M41" s="23" t="str"/>
      <x:c r="N41" s="23" t="str"/>
      <x:c r="O41" s="23" t="str"/>
      <x:c r="P41" s="23" t="str"/>
      <x:c r="Q41" s="23" t="str"/>
      <x:c r="R41" s="23" t="str"/>
      <x:c r="S41" s="30" t="str"/>
      <x:c r="T41" s="23" t="str"/>
      <x:c r="U41" s="23" t="str">
        <x:v>Uncoded</x:v>
      </x:c>
      <x:c r="V41" s="23" t="str"/>
      <x:c r="W41" s="23" t="str"/>
      <x:c r="X41" s="23" t="str">
        <x:f>IF(AND(M41="",O41="",P41="",Q41="",R41="",S41="",T41="",V41=""),"UNCODED",IF(AND(M41&lt;&gt;"",O41&lt;&gt;"",P41&lt;&gt;"",Q41&lt;&gt;"",R41&lt;&gt;"",ISNUMBER(S41),S41&gt;=0,S41&lt;=1,T41&lt;&gt;"",U41&lt;&gt;"Uncoded",V41&lt;&gt;""),"TAXONOMY_READY","REVIEW"))</x:f>
        <x:v>UNCODED</x:v>
      </x:c>
      <x:c r="Y41" s="23" t="str">
        <x:f>IF(X41&lt;&gt;"TAXONOMY_READY","NOT_READY",IF(AND(ISNUMBER(K41),ISNUMBER(L41),L41&gt;K41,U41="Adjudicated"),"CASE_READY","NEEDS_TIME_OR_ADJUDICATION"))</x:f>
        <x:v>NOT_READY</x:v>
      </x:c>
    </x:row>
    <x:row r="42" ht="44" customHeight="1">
      <x:c r="A42" s="33" t="str">
        <x:v>B038</x:v>
      </x:c>
      <x:c r="B42" s="33" t="str">
        <x:v>T08</x:v>
      </x:c>
      <x:c r="C42" s="33" t="n">
        <x:v>2</x:v>
      </x:c>
      <x:c r="D42" s="34" t="str">
        <x:v>如何制作真实服装褶皱：三维建模教程</x:v>
      </x:c>
      <x:c r="E42" s="34" t="str">
        <x:v>https://www.youtube.com/watch?v=gonaSjFkukM</x:v>
      </x:c>
      <x:c r="F42" s="34" t="str">
        <x:v>YouTube / 英语</x:v>
      </x:c>
      <x:c r="G42" s="34" t="str">
        <x:v>Cinema 4D</x:v>
      </x:c>
      <x:c r="H42" s="34" t="str">
        <x:v>角色局部</x:v>
      </x:c>
      <x:c r="I42" s="34" t="str">
        <x:v>@张帅</x:v>
      </x:c>
      <x:c r="J42" s="34" t="str">
        <x:v>优化、添加细分曲面、循环切割</x:v>
      </x:c>
      <x:c r="K42" s="29" t="str"/>
      <x:c r="L42" s="29" t="str"/>
      <x:c r="M42" s="23" t="str"/>
      <x:c r="N42" s="23" t="str"/>
      <x:c r="O42" s="23" t="str"/>
      <x:c r="P42" s="23" t="str"/>
      <x:c r="Q42" s="23" t="str"/>
      <x:c r="R42" s="23" t="str"/>
      <x:c r="S42" s="30" t="str"/>
      <x:c r="T42" s="23" t="str"/>
      <x:c r="U42" s="23" t="str">
        <x:v>Uncoded</x:v>
      </x:c>
      <x:c r="V42" s="23" t="str"/>
      <x:c r="W42" s="23" t="str"/>
      <x:c r="X42" s="23" t="str">
        <x:f>IF(AND(M42="",O42="",P42="",Q42="",R42="",S42="",T42="",V42=""),"UNCODED",IF(AND(M42&lt;&gt;"",O42&lt;&gt;"",P42&lt;&gt;"",Q42&lt;&gt;"",R42&lt;&gt;"",ISNUMBER(S42),S42&gt;=0,S42&lt;=1,T42&lt;&gt;"",U42&lt;&gt;"Uncoded",V42&lt;&gt;""),"TAXONOMY_READY","REVIEW"))</x:f>
        <x:v>UNCODED</x:v>
      </x:c>
      <x:c r="Y42" s="23" t="str">
        <x:f>IF(X42&lt;&gt;"TAXONOMY_READY","NOT_READY",IF(AND(ISNUMBER(K42),ISNUMBER(L42),L42&gt;K42,U42="Adjudicated"),"CASE_READY","NEEDS_TIME_OR_ADJUDICATION"))</x:f>
        <x:v>NOT_READY</x:v>
      </x:c>
    </x:row>
    <x:row r="43" ht="44" customHeight="1">
      <x:c r="A43" s="33" t="str">
        <x:v>B039</x:v>
      </x:c>
      <x:c r="B43" s="33" t="str">
        <x:v>T08</x:v>
      </x:c>
      <x:c r="C43" s="33" t="n">
        <x:v>3</x:v>
      </x:c>
      <x:c r="D43" s="34" t="str">
        <x:v>如何制作真实服装褶皱：三维建模教程</x:v>
      </x:c>
      <x:c r="E43" s="34" t="str">
        <x:v>https://www.youtube.com/watch?v=gonaSjFkukM</x:v>
      </x:c>
      <x:c r="F43" s="34" t="str">
        <x:v>YouTube / 英语</x:v>
      </x:c>
      <x:c r="G43" s="34" t="str">
        <x:v>Cinema 4D</x:v>
      </x:c>
      <x:c r="H43" s="34" t="str">
        <x:v>角色局部</x:v>
      </x:c>
      <x:c r="I43" s="34" t="str">
        <x:v>@张帅</x:v>
      </x:c>
      <x:c r="J43" s="34" t="str">
        <x:v>置换变形器，更改着色设置-常规噪波，拉伸噪波贴图</x:v>
      </x:c>
      <x:c r="K43" s="29" t="str"/>
      <x:c r="L43" s="29" t="str"/>
      <x:c r="M43" s="23" t="str"/>
      <x:c r="N43" s="23" t="str"/>
      <x:c r="O43" s="23" t="str"/>
      <x:c r="P43" s="23" t="str"/>
      <x:c r="Q43" s="23" t="str"/>
      <x:c r="R43" s="23" t="str"/>
      <x:c r="S43" s="30" t="str"/>
      <x:c r="T43" s="23" t="str"/>
      <x:c r="U43" s="23" t="str">
        <x:v>Uncoded</x:v>
      </x:c>
      <x:c r="V43" s="23" t="str"/>
      <x:c r="W43" s="23" t="str"/>
      <x:c r="X43" s="23" t="str">
        <x:f>IF(AND(M43="",O43="",P43="",Q43="",R43="",S43="",T43="",V43=""),"UNCODED",IF(AND(M43&lt;&gt;"",O43&lt;&gt;"",P43&lt;&gt;"",Q43&lt;&gt;"",R43&lt;&gt;"",ISNUMBER(S43),S43&gt;=0,S43&lt;=1,T43&lt;&gt;"",U43&lt;&gt;"Uncoded",V43&lt;&gt;""),"TAXONOMY_READY","REVIEW"))</x:f>
        <x:v>UNCODED</x:v>
      </x:c>
      <x:c r="Y43" s="23" t="str">
        <x:f>IF(X43&lt;&gt;"TAXONOMY_READY","NOT_READY",IF(AND(ISNUMBER(K43),ISNUMBER(L43),L43&gt;K43,U43="Adjudicated"),"CASE_READY","NEEDS_TIME_OR_ADJUDICATION"))</x:f>
        <x:v>NOT_READY</x:v>
      </x:c>
    </x:row>
    <x:row r="44" ht="44" customHeight="1">
      <x:c r="A44" s="33" t="str">
        <x:v>B040</x:v>
      </x:c>
      <x:c r="B44" s="33" t="str">
        <x:v>T08</x:v>
      </x:c>
      <x:c r="C44" s="33" t="n">
        <x:v>4</x:v>
      </x:c>
      <x:c r="D44" s="34" t="str">
        <x:v>如何制作真实服装褶皱：三维建模教程</x:v>
      </x:c>
      <x:c r="E44" s="34" t="str">
        <x:v>https://www.youtube.com/watch?v=gonaSjFkukM</x:v>
      </x:c>
      <x:c r="F44" s="34" t="str">
        <x:v>YouTube / 英语</x:v>
      </x:c>
      <x:c r="G44" s="34" t="str">
        <x:v>Cinema 4D</x:v>
      </x:c>
      <x:c r="H44" s="34" t="str">
        <x:v>角色局部</x:v>
      </x:c>
      <x:c r="I44" s="34" t="str">
        <x:v>@张帅</x:v>
      </x:c>
      <x:c r="J44" s="34" t="str">
        <x:v>创造遮罩贴图，把圆形的边转换成顶点，创造随机形状并模糊</x:v>
      </x:c>
      <x:c r="K44" s="29" t="str"/>
      <x:c r="L44" s="29" t="str"/>
      <x:c r="M44" s="23" t="str"/>
      <x:c r="N44" s="23" t="str"/>
      <x:c r="O44" s="23" t="str"/>
      <x:c r="P44" s="23" t="str"/>
      <x:c r="Q44" s="23" t="str"/>
      <x:c r="R44" s="23" t="str"/>
      <x:c r="S44" s="30" t="str"/>
      <x:c r="T44" s="23" t="str"/>
      <x:c r="U44" s="23" t="str">
        <x:v>Uncoded</x:v>
      </x:c>
      <x:c r="V44" s="23" t="str"/>
      <x:c r="W44" s="23" t="str"/>
      <x:c r="X44" s="23" t="str">
        <x:f>IF(AND(M44="",O44="",P44="",Q44="",R44="",S44="",T44="",V44=""),"UNCODED",IF(AND(M44&lt;&gt;"",O44&lt;&gt;"",P44&lt;&gt;"",Q44&lt;&gt;"",R44&lt;&gt;"",ISNUMBER(S44),S44&gt;=0,S44&lt;=1,T44&lt;&gt;"",U44&lt;&gt;"Uncoded",V44&lt;&gt;""),"TAXONOMY_READY","REVIEW"))</x:f>
        <x:v>UNCODED</x:v>
      </x:c>
      <x:c r="Y44" s="23" t="str">
        <x:f>IF(X44&lt;&gt;"TAXONOMY_READY","NOT_READY",IF(AND(ISNUMBER(K44),ISNUMBER(L44),L44&gt;K44,U44="Adjudicated"),"CASE_READY","NEEDS_TIME_OR_ADJUDICATION"))</x:f>
        <x:v>NOT_READY</x:v>
      </x:c>
    </x:row>
    <x:row r="45" ht="44" customHeight="1">
      <x:c r="A45" s="33" t="str">
        <x:v>B041</x:v>
      </x:c>
      <x:c r="B45" s="33" t="str">
        <x:v>T08</x:v>
      </x:c>
      <x:c r="C45" s="33" t="n">
        <x:v>5</x:v>
      </x:c>
      <x:c r="D45" s="34" t="str">
        <x:v>如何制作真实服装褶皱：三维建模教程</x:v>
      </x:c>
      <x:c r="E45" s="34" t="str">
        <x:v>https://www.youtube.com/watch?v=gonaSjFkukM</x:v>
      </x:c>
      <x:c r="F45" s="34" t="str">
        <x:v>YouTube / 英语</x:v>
      </x:c>
      <x:c r="G45" s="34" t="str">
        <x:v>Cinema 4D</x:v>
      </x:c>
      <x:c r="H45" s="34" t="str">
        <x:v>角色局部</x:v>
      </x:c>
      <x:c r="I45" s="34" t="str">
        <x:v>@张帅</x:v>
      </x:c>
      <x:c r="J45" s="34" t="str">
        <x:v>使用拼接器，把权重贴图贴到标签页里</x:v>
      </x:c>
      <x:c r="K45" s="29" t="str"/>
      <x:c r="L45" s="29" t="str"/>
      <x:c r="M45" s="23" t="str"/>
      <x:c r="N45" s="23" t="str"/>
      <x:c r="O45" s="23" t="str"/>
      <x:c r="P45" s="23" t="str"/>
      <x:c r="Q45" s="23" t="str"/>
      <x:c r="R45" s="23" t="str"/>
      <x:c r="S45" s="30" t="str"/>
      <x:c r="T45" s="23" t="str"/>
      <x:c r="U45" s="23" t="str">
        <x:v>Uncoded</x:v>
      </x:c>
      <x:c r="V45" s="23" t="str"/>
      <x:c r="W45" s="23" t="str"/>
      <x:c r="X45" s="23" t="str">
        <x:f>IF(AND(M45="",O45="",P45="",Q45="",R45="",S45="",T45="",V45=""),"UNCODED",IF(AND(M45&lt;&gt;"",O45&lt;&gt;"",P45&lt;&gt;"",Q45&lt;&gt;"",R45&lt;&gt;"",ISNUMBER(S45),S45&gt;=0,S45&lt;=1,T45&lt;&gt;"",U45&lt;&gt;"Uncoded",V45&lt;&gt;""),"TAXONOMY_READY","REVIEW"))</x:f>
        <x:v>UNCODED</x:v>
      </x:c>
      <x:c r="Y45" s="23" t="str">
        <x:f>IF(X45&lt;&gt;"TAXONOMY_READY","NOT_READY",IF(AND(ISNUMBER(K45),ISNUMBER(L45),L45&gt;K45,U45="Adjudicated"),"CASE_READY","NEEDS_TIME_OR_ADJUDICATION"))</x:f>
        <x:v>NOT_READY</x:v>
      </x:c>
    </x:row>
    <x:row r="46" ht="44" customHeight="1">
      <x:c r="A46" s="33" t="str">
        <x:v>B042</x:v>
      </x:c>
      <x:c r="B46" s="33" t="str">
        <x:v>T08</x:v>
      </x:c>
      <x:c r="C46" s="33" t="n">
        <x:v>6</x:v>
      </x:c>
      <x:c r="D46" s="34" t="str">
        <x:v>如何制作真实服装褶皱：三维建模教程</x:v>
      </x:c>
      <x:c r="E46" s="34" t="str">
        <x:v>https://www.youtube.com/watch?v=gonaSjFkukM</x:v>
      </x:c>
      <x:c r="F46" s="34" t="str">
        <x:v>YouTube / 英语</x:v>
      </x:c>
      <x:c r="G46" s="34" t="str">
        <x:v>Cinema 4D</x:v>
      </x:c>
      <x:c r="H46" s="34" t="str">
        <x:v>角色局部</x:v>
      </x:c>
      <x:c r="I46" s="34" t="str">
        <x:v>@张帅</x:v>
      </x:c>
      <x:c r="J46" s="34" t="str">
        <x:v>细微调整</x:v>
      </x:c>
      <x:c r="K46" s="29" t="str"/>
      <x:c r="L46" s="29" t="str"/>
      <x:c r="M46" s="23" t="str"/>
      <x:c r="N46" s="23" t="str"/>
      <x:c r="O46" s="23" t="str"/>
      <x:c r="P46" s="23" t="str"/>
      <x:c r="Q46" s="23" t="str"/>
      <x:c r="R46" s="23" t="str"/>
      <x:c r="S46" s="30" t="str"/>
      <x:c r="T46" s="23" t="str"/>
      <x:c r="U46" s="23" t="str">
        <x:v>Uncoded</x:v>
      </x:c>
      <x:c r="V46" s="23" t="str"/>
      <x:c r="W46" s="23" t="str"/>
      <x:c r="X46" s="23" t="str">
        <x:f>IF(AND(M46="",O46="",P46="",Q46="",R46="",S46="",T46="",V46=""),"UNCODED",IF(AND(M46&lt;&gt;"",O46&lt;&gt;"",P46&lt;&gt;"",Q46&lt;&gt;"",R46&lt;&gt;"",ISNUMBER(S46),S46&gt;=0,S46&lt;=1,T46&lt;&gt;"",U46&lt;&gt;"Uncoded",V46&lt;&gt;""),"TAXONOMY_READY","REVIEW"))</x:f>
        <x:v>UNCODED</x:v>
      </x:c>
      <x:c r="Y46" s="23" t="str">
        <x:f>IF(X46&lt;&gt;"TAXONOMY_READY","NOT_READY",IF(AND(ISNUMBER(K46),ISNUMBER(L46),L46&gt;K46,U46="Adjudicated"),"CASE_READY","NEEDS_TIME_OR_ADJUDICATION"))</x:f>
        <x:v>NOT_READY</x:v>
      </x:c>
    </x:row>
    <x:row r="47" ht="44" customHeight="1">
      <x:c r="A47" s="33" t="str">
        <x:v>B043</x:v>
      </x:c>
      <x:c r="B47" s="33" t="str">
        <x:v>T09</x:v>
      </x:c>
      <x:c r="C47" s="33" t="n">
        <x:v>1</x:v>
      </x:c>
      <x:c r="D47" s="34" t="str">
        <x:v>创建卡通角色：三维建模工作流</x:v>
      </x:c>
      <x:c r="E47" s="34" t="str">
        <x:v>https://www.youtube.com/watch?v=2HVmxpO5ol4</x:v>
      </x:c>
      <x:c r="F47" s="34" t="str">
        <x:v>YouTube / 英语</x:v>
      </x:c>
      <x:c r="G47" s="34" t="str">
        <x:v>3ds Max</x:v>
      </x:c>
      <x:c r="H47" s="34" t="str">
        <x:v>完整角色</x:v>
      </x:c>
      <x:c r="I47" s="34" t="str">
        <x:v>@张帅</x:v>
      </x:c>
      <x:c r="J47" s="34" t="str">
        <x:v>不同角度的姿态绘画</x:v>
      </x:c>
      <x:c r="K47" s="29" t="str"/>
      <x:c r="L47" s="29" t="str"/>
      <x:c r="M47" s="23" t="str"/>
      <x:c r="N47" s="23" t="str"/>
      <x:c r="O47" s="23" t="str"/>
      <x:c r="P47" s="23" t="str"/>
      <x:c r="Q47" s="23" t="str"/>
      <x:c r="R47" s="23" t="str"/>
      <x:c r="S47" s="30" t="str"/>
      <x:c r="T47" s="23" t="str"/>
      <x:c r="U47" s="23" t="str">
        <x:v>Uncoded</x:v>
      </x:c>
      <x:c r="V47" s="23" t="str"/>
      <x:c r="W47" s="23" t="str"/>
      <x:c r="X47" s="23" t="str">
        <x:f>IF(AND(M47="",O47="",P47="",Q47="",R47="",S47="",T47="",V47=""),"UNCODED",IF(AND(M47&lt;&gt;"",O47&lt;&gt;"",P47&lt;&gt;"",Q47&lt;&gt;"",R47&lt;&gt;"",ISNUMBER(S47),S47&gt;=0,S47&lt;=1,T47&lt;&gt;"",U47&lt;&gt;"Uncoded",V47&lt;&gt;""),"TAXONOMY_READY","REVIEW"))</x:f>
        <x:v>UNCODED</x:v>
      </x:c>
      <x:c r="Y47" s="23" t="str">
        <x:f>IF(X47&lt;&gt;"TAXONOMY_READY","NOT_READY",IF(AND(ISNUMBER(K47),ISNUMBER(L47),L47&gt;K47,U47="Adjudicated"),"CASE_READY","NEEDS_TIME_OR_ADJUDICATION"))</x:f>
        <x:v>NOT_READY</x:v>
      </x:c>
    </x:row>
    <x:row r="48" ht="44" customHeight="1">
      <x:c r="A48" s="33" t="str">
        <x:v>B044</x:v>
      </x:c>
      <x:c r="B48" s="33" t="str">
        <x:v>T09</x:v>
      </x:c>
      <x:c r="C48" s="33" t="n">
        <x:v>2</x:v>
      </x:c>
      <x:c r="D48" s="34" t="str">
        <x:v>创建卡通角色：三维建模工作流</x:v>
      </x:c>
      <x:c r="E48" s="34" t="str">
        <x:v>https://www.youtube.com/watch?v=2HVmxpO5ol4</x:v>
      </x:c>
      <x:c r="F48" s="34" t="str">
        <x:v>YouTube / 英语</x:v>
      </x:c>
      <x:c r="G48" s="34" t="str">
        <x:v>3ds Max</x:v>
      </x:c>
      <x:c r="H48" s="34" t="str">
        <x:v>完整角色</x:v>
      </x:c>
      <x:c r="I48" s="34" t="str">
        <x:v>@张帅</x:v>
      </x:c>
      <x:c r="J48" s="34" t="str">
        <x:v>基础雕塑</x:v>
      </x:c>
      <x:c r="K48" s="29" t="str"/>
      <x:c r="L48" s="29" t="str"/>
      <x:c r="M48" s="23" t="str"/>
      <x:c r="N48" s="23" t="str"/>
      <x:c r="O48" s="23" t="str"/>
      <x:c r="P48" s="23" t="str"/>
      <x:c r="Q48" s="23" t="str"/>
      <x:c r="R48" s="23" t="str"/>
      <x:c r="S48" s="30" t="str"/>
      <x:c r="T48" s="23" t="str"/>
      <x:c r="U48" s="23" t="str">
        <x:v>Uncoded</x:v>
      </x:c>
      <x:c r="V48" s="23" t="str"/>
      <x:c r="W48" s="23" t="str"/>
      <x:c r="X48" s="23" t="str">
        <x:f>IF(AND(M48="",O48="",P48="",Q48="",R48="",S48="",T48="",V48=""),"UNCODED",IF(AND(M48&lt;&gt;"",O48&lt;&gt;"",P48&lt;&gt;"",Q48&lt;&gt;"",R48&lt;&gt;"",ISNUMBER(S48),S48&gt;=0,S48&lt;=1,T48&lt;&gt;"",U48&lt;&gt;"Uncoded",V48&lt;&gt;""),"TAXONOMY_READY","REVIEW"))</x:f>
        <x:v>UNCODED</x:v>
      </x:c>
      <x:c r="Y48" s="23" t="str">
        <x:f>IF(X48&lt;&gt;"TAXONOMY_READY","NOT_READY",IF(AND(ISNUMBER(K48),ISNUMBER(L48),L48&gt;K48,U48="Adjudicated"),"CASE_READY","NEEDS_TIME_OR_ADJUDICATION"))</x:f>
        <x:v>NOT_READY</x:v>
      </x:c>
    </x:row>
    <x:row r="49" ht="44" customHeight="1">
      <x:c r="A49" s="33" t="str">
        <x:v>B045</x:v>
      </x:c>
      <x:c r="B49" s="33" t="str">
        <x:v>T09</x:v>
      </x:c>
      <x:c r="C49" s="33" t="n">
        <x:v>3</x:v>
      </x:c>
      <x:c r="D49" s="34" t="str">
        <x:v>创建卡通角色：三维建模工作流</x:v>
      </x:c>
      <x:c r="E49" s="34" t="str">
        <x:v>https://www.youtube.com/watch?v=2HVmxpO5ol4</x:v>
      </x:c>
      <x:c r="F49" s="34" t="str">
        <x:v>YouTube / 英语</x:v>
      </x:c>
      <x:c r="G49" s="34" t="str">
        <x:v>3ds Max</x:v>
      </x:c>
      <x:c r="H49" s="34" t="str">
        <x:v>完整角色</x:v>
      </x:c>
      <x:c r="I49" s="34" t="str">
        <x:v>@张帅</x:v>
      </x:c>
      <x:c r="J49" s="34" t="str">
        <x:v>角色多边形数量优化</x:v>
      </x:c>
      <x:c r="K49" s="29" t="str"/>
      <x:c r="L49" s="29" t="str"/>
      <x:c r="M49" s="23" t="str"/>
      <x:c r="N49" s="23" t="str"/>
      <x:c r="O49" s="23" t="str"/>
      <x:c r="P49" s="23" t="str"/>
      <x:c r="Q49" s="23" t="str"/>
      <x:c r="R49" s="23" t="str"/>
      <x:c r="S49" s="30" t="str"/>
      <x:c r="T49" s="23" t="str"/>
      <x:c r="U49" s="23" t="str">
        <x:v>Uncoded</x:v>
      </x:c>
      <x:c r="V49" s="23" t="str"/>
      <x:c r="W49" s="23" t="str"/>
      <x:c r="X49" s="23" t="str">
        <x:f>IF(AND(M49="",O49="",P49="",Q49="",R49="",S49="",T49="",V49=""),"UNCODED",IF(AND(M49&lt;&gt;"",O49&lt;&gt;"",P49&lt;&gt;"",Q49&lt;&gt;"",R49&lt;&gt;"",ISNUMBER(S49),S49&gt;=0,S49&lt;=1,T49&lt;&gt;"",U49&lt;&gt;"Uncoded",V49&lt;&gt;""),"TAXONOMY_READY","REVIEW"))</x:f>
        <x:v>UNCODED</x:v>
      </x:c>
      <x:c r="Y49" s="23" t="str">
        <x:f>IF(X49&lt;&gt;"TAXONOMY_READY","NOT_READY",IF(AND(ISNUMBER(K49),ISNUMBER(L49),L49&gt;K49,U49="Adjudicated"),"CASE_READY","NEEDS_TIME_OR_ADJUDICATION"))</x:f>
        <x:v>NOT_READY</x:v>
      </x:c>
    </x:row>
    <x:row r="50" ht="44" customHeight="1">
      <x:c r="A50" s="33" t="str">
        <x:v>B046</x:v>
      </x:c>
      <x:c r="B50" s="33" t="str">
        <x:v>T09</x:v>
      </x:c>
      <x:c r="C50" s="33" t="n">
        <x:v>4</x:v>
      </x:c>
      <x:c r="D50" s="34" t="str">
        <x:v>创建卡通角色：三维建模工作流</x:v>
      </x:c>
      <x:c r="E50" s="34" t="str">
        <x:v>https://www.youtube.com/watch?v=2HVmxpO5ol4</x:v>
      </x:c>
      <x:c r="F50" s="34" t="str">
        <x:v>YouTube / 英语</x:v>
      </x:c>
      <x:c r="G50" s="34" t="str">
        <x:v>3ds Max</x:v>
      </x:c>
      <x:c r="H50" s="34" t="str">
        <x:v>完整角色</x:v>
      </x:c>
      <x:c r="I50" s="34" t="str">
        <x:v>@张帅</x:v>
      </x:c>
      <x:c r="J50" s="34" t="str">
        <x:v>图像贴图/生成贴图纹理</x:v>
      </x:c>
      <x:c r="K50" s="29" t="str"/>
      <x:c r="L50" s="29" t="str"/>
      <x:c r="M50" s="23" t="str"/>
      <x:c r="N50" s="23" t="str"/>
      <x:c r="O50" s="23" t="str"/>
      <x:c r="P50" s="23" t="str"/>
      <x:c r="Q50" s="23" t="str"/>
      <x:c r="R50" s="23" t="str"/>
      <x:c r="S50" s="30" t="str"/>
      <x:c r="T50" s="23" t="str"/>
      <x:c r="U50" s="23" t="str">
        <x:v>Uncoded</x:v>
      </x:c>
      <x:c r="V50" s="23" t="str"/>
      <x:c r="W50" s="23" t="str"/>
      <x:c r="X50" s="23" t="str">
        <x:f>IF(AND(M50="",O50="",P50="",Q50="",R50="",S50="",T50="",V50=""),"UNCODED",IF(AND(M50&lt;&gt;"",O50&lt;&gt;"",P50&lt;&gt;"",Q50&lt;&gt;"",R50&lt;&gt;"",ISNUMBER(S50),S50&gt;=0,S50&lt;=1,T50&lt;&gt;"",U50&lt;&gt;"Uncoded",V50&lt;&gt;""),"TAXONOMY_READY","REVIEW"))</x:f>
        <x:v>UNCODED</x:v>
      </x:c>
      <x:c r="Y50" s="23" t="str">
        <x:f>IF(X50&lt;&gt;"TAXONOMY_READY","NOT_READY",IF(AND(ISNUMBER(K50),ISNUMBER(L50),L50&gt;K50,U50="Adjudicated"),"CASE_READY","NEEDS_TIME_OR_ADJUDICATION"))</x:f>
        <x:v>NOT_READY</x:v>
      </x:c>
    </x:row>
    <x:row r="51" ht="44" customHeight="1">
      <x:c r="A51" s="33" t="str">
        <x:v>B047</x:v>
      </x:c>
      <x:c r="B51" s="33" t="str">
        <x:v>T09</x:v>
      </x:c>
      <x:c r="C51" s="33" t="n">
        <x:v>5</x:v>
      </x:c>
      <x:c r="D51" s="34" t="str">
        <x:v>创建卡通角色：三维建模工作流</x:v>
      </x:c>
      <x:c r="E51" s="34" t="str">
        <x:v>https://www.youtube.com/watch?v=2HVmxpO5ol4</x:v>
      </x:c>
      <x:c r="F51" s="34" t="str">
        <x:v>YouTube / 英语</x:v>
      </x:c>
      <x:c r="G51" s="34" t="str">
        <x:v>3ds Max</x:v>
      </x:c>
      <x:c r="H51" s="34" t="str">
        <x:v>完整角色</x:v>
      </x:c>
      <x:c r="I51" s="34" t="str">
        <x:v>@张帅</x:v>
      </x:c>
      <x:c r="J51" s="34" t="str">
        <x:v>骨骼绑定</x:v>
      </x:c>
      <x:c r="K51" s="29" t="str"/>
      <x:c r="L51" s="29" t="str"/>
      <x:c r="M51" s="23" t="str"/>
      <x:c r="N51" s="23" t="str"/>
      <x:c r="O51" s="23" t="str"/>
      <x:c r="P51" s="23" t="str"/>
      <x:c r="Q51" s="23" t="str"/>
      <x:c r="R51" s="23" t="str"/>
      <x:c r="S51" s="30" t="str"/>
      <x:c r="T51" s="23" t="str"/>
      <x:c r="U51" s="23" t="str">
        <x:v>Uncoded</x:v>
      </x:c>
      <x:c r="V51" s="23" t="str"/>
      <x:c r="W51" s="23" t="str"/>
      <x:c r="X51" s="23" t="str">
        <x:f>IF(AND(M51="",O51="",P51="",Q51="",R51="",S51="",T51="",V51=""),"UNCODED",IF(AND(M51&lt;&gt;"",O51&lt;&gt;"",P51&lt;&gt;"",Q51&lt;&gt;"",R51&lt;&gt;"",ISNUMBER(S51),S51&gt;=0,S51&lt;=1,T51&lt;&gt;"",U51&lt;&gt;"Uncoded",V51&lt;&gt;""),"TAXONOMY_READY","REVIEW"))</x:f>
        <x:v>UNCODED</x:v>
      </x:c>
      <x:c r="Y51" s="23" t="str">
        <x:f>IF(X51&lt;&gt;"TAXONOMY_READY","NOT_READY",IF(AND(ISNUMBER(K51),ISNUMBER(L51),L51&gt;K51,U51="Adjudicated"),"CASE_READY","NEEDS_TIME_OR_ADJUDICATION"))</x:f>
        <x:v>NOT_READY</x:v>
      </x:c>
    </x:row>
    <x:row r="52" ht="44" customHeight="1">
      <x:c r="A52" s="33" t="str">
        <x:v>B048</x:v>
      </x:c>
      <x:c r="B52" s="33" t="str">
        <x:v>T10</x:v>
      </x:c>
      <x:c r="C52" s="33" t="n">
        <x:v>1</x:v>
      </x:c>
      <x:c r="D52" s="34" t="str">
        <x:v>【3ds Max】大象游戏建模演示，动物低模制作过程演示</x:v>
      </x:c>
      <x:c r="E52" s="34" t="str">
        <x:v>http://www.bilibili.com/video/av884320784</x:v>
      </x:c>
      <x:c r="F52" s="34" t="str">
        <x:v>Bilibili / 中文</x:v>
      </x:c>
      <x:c r="G52" s="34" t="str">
        <x:v>3ds Max</x:v>
      </x:c>
      <x:c r="H52" s="34" t="str">
        <x:v>生物</x:v>
      </x:c>
      <x:c r="I52" s="34" t="str">
        <x:v>@张帅</x:v>
      </x:c>
      <x:c r="J52" s="34" t="str">
        <x:v>勾勒主体图形</x:v>
      </x:c>
      <x:c r="K52" s="29" t="str"/>
      <x:c r="L52" s="29" t="str"/>
      <x:c r="M52" s="23" t="str"/>
      <x:c r="N52" s="23" t="str"/>
      <x:c r="O52" s="23" t="str"/>
      <x:c r="P52" s="23" t="str"/>
      <x:c r="Q52" s="23" t="str"/>
      <x:c r="R52" s="23" t="str"/>
      <x:c r="S52" s="30" t="str"/>
      <x:c r="T52" s="23" t="str"/>
      <x:c r="U52" s="23" t="str">
        <x:v>Uncoded</x:v>
      </x:c>
      <x:c r="V52" s="23" t="str"/>
      <x:c r="W52" s="23" t="str"/>
      <x:c r="X52" s="23" t="str">
        <x:f>IF(AND(M52="",O52="",P52="",Q52="",R52="",S52="",T52="",V52=""),"UNCODED",IF(AND(M52&lt;&gt;"",O52&lt;&gt;"",P52&lt;&gt;"",Q52&lt;&gt;"",R52&lt;&gt;"",ISNUMBER(S52),S52&gt;=0,S52&lt;=1,T52&lt;&gt;"",U52&lt;&gt;"Uncoded",V52&lt;&gt;""),"TAXONOMY_READY","REVIEW"))</x:f>
        <x:v>UNCODED</x:v>
      </x:c>
      <x:c r="Y52" s="23" t="str">
        <x:f>IF(X52&lt;&gt;"TAXONOMY_READY","NOT_READY",IF(AND(ISNUMBER(K52),ISNUMBER(L52),L52&gt;K52,U52="Adjudicated"),"CASE_READY","NEEDS_TIME_OR_ADJUDICATION"))</x:f>
        <x:v>NOT_READY</x:v>
      </x:c>
    </x:row>
    <x:row r="53" ht="44" customHeight="1">
      <x:c r="A53" s="33" t="str">
        <x:v>B049</x:v>
      </x:c>
      <x:c r="B53" s="33" t="str">
        <x:v>T10</x:v>
      </x:c>
      <x:c r="C53" s="33" t="n">
        <x:v>2</x:v>
      </x:c>
      <x:c r="D53" s="34" t="str">
        <x:v>【3ds Max】大象游戏建模演示，动物低模制作过程演示</x:v>
      </x:c>
      <x:c r="E53" s="34" t="str">
        <x:v>http://www.bilibili.com/video/av884320784</x:v>
      </x:c>
      <x:c r="F53" s="34" t="str">
        <x:v>Bilibili / 中文</x:v>
      </x:c>
      <x:c r="G53" s="34" t="str">
        <x:v>3ds Max</x:v>
      </x:c>
      <x:c r="H53" s="34" t="str">
        <x:v>生物</x:v>
      </x:c>
      <x:c r="I53" s="34" t="str">
        <x:v>@张帅</x:v>
      </x:c>
      <x:c r="J53" s="34" t="str">
        <x:v>将面变成体、做对称</x:v>
      </x:c>
      <x:c r="K53" s="29" t="str"/>
      <x:c r="L53" s="29" t="str"/>
      <x:c r="M53" s="23" t="str"/>
      <x:c r="N53" s="23" t="str"/>
      <x:c r="O53" s="23" t="str"/>
      <x:c r="P53" s="23" t="str"/>
      <x:c r="Q53" s="23" t="str"/>
      <x:c r="R53" s="23" t="str"/>
      <x:c r="S53" s="30" t="str"/>
      <x:c r="T53" s="23" t="str"/>
      <x:c r="U53" s="23" t="str">
        <x:v>Uncoded</x:v>
      </x:c>
      <x:c r="V53" s="23" t="str"/>
      <x:c r="W53" s="23" t="str"/>
      <x:c r="X53" s="23" t="str">
        <x:f>IF(AND(M53="",O53="",P53="",Q53="",R53="",S53="",T53="",V53=""),"UNCODED",IF(AND(M53&lt;&gt;"",O53&lt;&gt;"",P53&lt;&gt;"",Q53&lt;&gt;"",R53&lt;&gt;"",ISNUMBER(S53),S53&gt;=0,S53&lt;=1,T53&lt;&gt;"",U53&lt;&gt;"Uncoded",V53&lt;&gt;""),"TAXONOMY_READY","REVIEW"))</x:f>
        <x:v>UNCODED</x:v>
      </x:c>
      <x:c r="Y53" s="23" t="str">
        <x:f>IF(X53&lt;&gt;"TAXONOMY_READY","NOT_READY",IF(AND(ISNUMBER(K53),ISNUMBER(L53),L53&gt;K53,U53="Adjudicated"),"CASE_READY","NEEDS_TIME_OR_ADJUDICATION"))</x:f>
        <x:v>NOT_READY</x:v>
      </x:c>
    </x:row>
    <x:row r="54" ht="44" customHeight="1">
      <x:c r="A54" s="33" t="str">
        <x:v>B050</x:v>
      </x:c>
      <x:c r="B54" s="33" t="str">
        <x:v>T10</x:v>
      </x:c>
      <x:c r="C54" s="33" t="n">
        <x:v>3</x:v>
      </x:c>
      <x:c r="D54" s="34" t="str">
        <x:v>【3ds Max】大象游戏建模演示，动物低模制作过程演示</x:v>
      </x:c>
      <x:c r="E54" s="34" t="str">
        <x:v>http://www.bilibili.com/video/av884320784</x:v>
      </x:c>
      <x:c r="F54" s="34" t="str">
        <x:v>Bilibili / 中文</x:v>
      </x:c>
      <x:c r="G54" s="34" t="str">
        <x:v>3ds Max</x:v>
      </x:c>
      <x:c r="H54" s="34" t="str">
        <x:v>生物</x:v>
      </x:c>
      <x:c r="I54" s="34" t="str">
        <x:v>@张帅</x:v>
      </x:c>
      <x:c r="J54" s="34" t="str">
        <x:v>添加局部立体细节（例如腿）</x:v>
      </x:c>
      <x:c r="K54" s="29" t="str"/>
      <x:c r="L54" s="29" t="str"/>
      <x:c r="M54" s="23" t="str"/>
      <x:c r="N54" s="23" t="str"/>
      <x:c r="O54" s="23" t="str"/>
      <x:c r="P54" s="23" t="str"/>
      <x:c r="Q54" s="23" t="str"/>
      <x:c r="R54" s="23" t="str"/>
      <x:c r="S54" s="30" t="str"/>
      <x:c r="T54" s="23" t="str"/>
      <x:c r="U54" s="23" t="str">
        <x:v>Uncoded</x:v>
      </x:c>
      <x:c r="V54" s="23" t="str"/>
      <x:c r="W54" s="23" t="str"/>
      <x:c r="X54" s="23" t="str">
        <x:f>IF(AND(M54="",O54="",P54="",Q54="",R54="",S54="",T54="",V54=""),"UNCODED",IF(AND(M54&lt;&gt;"",O54&lt;&gt;"",P54&lt;&gt;"",Q54&lt;&gt;"",R54&lt;&gt;"",ISNUMBER(S54),S54&gt;=0,S54&lt;=1,T54&lt;&gt;"",U54&lt;&gt;"Uncoded",V54&lt;&gt;""),"TAXONOMY_READY","REVIEW"))</x:f>
        <x:v>UNCODED</x:v>
      </x:c>
      <x:c r="Y54" s="23" t="str">
        <x:f>IF(X54&lt;&gt;"TAXONOMY_READY","NOT_READY",IF(AND(ISNUMBER(K54),ISNUMBER(L54),L54&gt;K54,U54="Adjudicated"),"CASE_READY","NEEDS_TIME_OR_ADJUDICATION"))</x:f>
        <x:v>NOT_READY</x:v>
      </x:c>
    </x:row>
    <x:row r="55" ht="44" customHeight="1">
      <x:c r="A55" s="33" t="str">
        <x:v>B051</x:v>
      </x:c>
      <x:c r="B55" s="33" t="str">
        <x:v>T10</x:v>
      </x:c>
      <x:c r="C55" s="33" t="n">
        <x:v>4</x:v>
      </x:c>
      <x:c r="D55" s="34" t="str">
        <x:v>【3ds Max】大象游戏建模演示，动物低模制作过程演示</x:v>
      </x:c>
      <x:c r="E55" s="34" t="str">
        <x:v>http://www.bilibili.com/video/av884320784</x:v>
      </x:c>
      <x:c r="F55" s="34" t="str">
        <x:v>Bilibili / 中文</x:v>
      </x:c>
      <x:c r="G55" s="34" t="str">
        <x:v>3ds Max</x:v>
      </x:c>
      <x:c r="H55" s="34" t="str">
        <x:v>生物</x:v>
      </x:c>
      <x:c r="I55" s="34" t="str">
        <x:v>@张帅</x:v>
      </x:c>
      <x:c r="J55" s="34" t="str">
        <x:v>将平面拉伸成立体面</x:v>
      </x:c>
      <x:c r="K55" s="29" t="str"/>
      <x:c r="L55" s="29" t="str"/>
      <x:c r="M55" s="23" t="str"/>
      <x:c r="N55" s="23" t="str"/>
      <x:c r="O55" s="23" t="str"/>
      <x:c r="P55" s="23" t="str"/>
      <x:c r="Q55" s="23" t="str"/>
      <x:c r="R55" s="23" t="str"/>
      <x:c r="S55" s="30" t="str"/>
      <x:c r="T55" s="23" t="str"/>
      <x:c r="U55" s="23" t="str">
        <x:v>Uncoded</x:v>
      </x:c>
      <x:c r="V55" s="23" t="str"/>
      <x:c r="W55" s="23" t="str"/>
      <x:c r="X55" s="23" t="str">
        <x:f>IF(AND(M55="",O55="",P55="",Q55="",R55="",S55="",T55="",V55=""),"UNCODED",IF(AND(M55&lt;&gt;"",O55&lt;&gt;"",P55&lt;&gt;"",Q55&lt;&gt;"",R55&lt;&gt;"",ISNUMBER(S55),S55&gt;=0,S55&lt;=1,T55&lt;&gt;"",U55&lt;&gt;"Uncoded",V55&lt;&gt;""),"TAXONOMY_READY","REVIEW"))</x:f>
        <x:v>UNCODED</x:v>
      </x:c>
      <x:c r="Y55" s="23" t="str">
        <x:f>IF(X55&lt;&gt;"TAXONOMY_READY","NOT_READY",IF(AND(ISNUMBER(K55),ISNUMBER(L55),L55&gt;K55,U55="Adjudicated"),"CASE_READY","NEEDS_TIME_OR_ADJUDICATION"))</x:f>
        <x:v>NOT_READY</x:v>
      </x:c>
    </x:row>
    <x:row r="56" ht="44" customHeight="1">
      <x:c r="A56" s="33" t="str">
        <x:v>B052</x:v>
      </x:c>
      <x:c r="B56" s="33" t="str">
        <x:v>T10</x:v>
      </x:c>
      <x:c r="C56" s="33" t="n">
        <x:v>5</x:v>
      </x:c>
      <x:c r="D56" s="34" t="str">
        <x:v>【3ds Max】大象游戏建模演示，动物低模制作过程演示</x:v>
      </x:c>
      <x:c r="E56" s="34" t="str">
        <x:v>http://www.bilibili.com/video/av884320784</x:v>
      </x:c>
      <x:c r="F56" s="34" t="str">
        <x:v>Bilibili / 中文</x:v>
      </x:c>
      <x:c r="G56" s="34" t="str">
        <x:v>3ds Max</x:v>
      </x:c>
      <x:c r="H56" s="34" t="str">
        <x:v>生物</x:v>
      </x:c>
      <x:c r="I56" s="34" t="str">
        <x:v>@张帅</x:v>
      </x:c>
      <x:c r="J56" s="34" t="str">
        <x:v>继续调整立体细节</x:v>
      </x:c>
      <x:c r="K56" s="29" t="str"/>
      <x:c r="L56" s="29" t="str"/>
      <x:c r="M56" s="23" t="str"/>
      <x:c r="N56" s="23" t="str"/>
      <x:c r="O56" s="23" t="str"/>
      <x:c r="P56" s="23" t="str"/>
      <x:c r="Q56" s="23" t="str"/>
      <x:c r="R56" s="23" t="str"/>
      <x:c r="S56" s="30" t="str"/>
      <x:c r="T56" s="23" t="str"/>
      <x:c r="U56" s="23" t="str">
        <x:v>Uncoded</x:v>
      </x:c>
      <x:c r="V56" s="23" t="str"/>
      <x:c r="W56" s="23" t="str"/>
      <x:c r="X56" s="23" t="str">
        <x:f>IF(AND(M56="",O56="",P56="",Q56="",R56="",S56="",T56="",V56=""),"UNCODED",IF(AND(M56&lt;&gt;"",O56&lt;&gt;"",P56&lt;&gt;"",Q56&lt;&gt;"",R56&lt;&gt;"",ISNUMBER(S56),S56&gt;=0,S56&lt;=1,T56&lt;&gt;"",U56&lt;&gt;"Uncoded",V56&lt;&gt;""),"TAXONOMY_READY","REVIEW"))</x:f>
        <x:v>UNCODED</x:v>
      </x:c>
      <x:c r="Y56" s="23" t="str">
        <x:f>IF(X56&lt;&gt;"TAXONOMY_READY","NOT_READY",IF(AND(ISNUMBER(K56),ISNUMBER(L56),L56&gt;K56,U56="Adjudicated"),"CASE_READY","NEEDS_TIME_OR_ADJUDICATION"))</x:f>
        <x:v>NOT_READY</x:v>
      </x:c>
    </x:row>
    <x:row r="57" ht="44" customHeight="1">
      <x:c r="A57" s="33" t="str">
        <x:v>B053</x:v>
      </x:c>
      <x:c r="B57" s="33" t="str">
        <x:v>T10</x:v>
      </x:c>
      <x:c r="C57" s="33" t="n">
        <x:v>6</x:v>
      </x:c>
      <x:c r="D57" s="34" t="str">
        <x:v>【3ds Max】大象游戏建模演示，动物低模制作过程演示</x:v>
      </x:c>
      <x:c r="E57" s="34" t="str">
        <x:v>http://www.bilibili.com/video/av884320784</x:v>
      </x:c>
      <x:c r="F57" s="34" t="str">
        <x:v>Bilibili / 中文</x:v>
      </x:c>
      <x:c r="G57" s="34" t="str">
        <x:v>3ds Max</x:v>
      </x:c>
      <x:c r="H57" s="34" t="str">
        <x:v>生物</x:v>
      </x:c>
      <x:c r="I57" s="34" t="str">
        <x:v>@张帅</x:v>
      </x:c>
      <x:c r="J57" s="34" t="str">
        <x:v>继续添加局部立体细节</x:v>
      </x:c>
      <x:c r="K57" s="29" t="str"/>
      <x:c r="L57" s="29" t="str"/>
      <x:c r="M57" s="23" t="str"/>
      <x:c r="N57" s="23" t="str"/>
      <x:c r="O57" s="23" t="str"/>
      <x:c r="P57" s="23" t="str"/>
      <x:c r="Q57" s="23" t="str"/>
      <x:c r="R57" s="23" t="str"/>
      <x:c r="S57" s="30" t="str"/>
      <x:c r="T57" s="23" t="str"/>
      <x:c r="U57" s="23" t="str">
        <x:v>Uncoded</x:v>
      </x:c>
      <x:c r="V57" s="23" t="str"/>
      <x:c r="W57" s="23" t="str"/>
      <x:c r="X57" s="23" t="str">
        <x:f>IF(AND(M57="",O57="",P57="",Q57="",R57="",S57="",T57="",V57=""),"UNCODED",IF(AND(M57&lt;&gt;"",O57&lt;&gt;"",P57&lt;&gt;"",Q57&lt;&gt;"",R57&lt;&gt;"",ISNUMBER(S57),S57&gt;=0,S57&lt;=1,T57&lt;&gt;"",U57&lt;&gt;"Uncoded",V57&lt;&gt;""),"TAXONOMY_READY","REVIEW"))</x:f>
        <x:v>UNCODED</x:v>
      </x:c>
      <x:c r="Y57" s="23" t="str">
        <x:f>IF(X57&lt;&gt;"TAXONOMY_READY","NOT_READY",IF(AND(ISNUMBER(K57),ISNUMBER(L57),L57&gt;K57,U57="Adjudicated"),"CASE_READY","NEEDS_TIME_OR_ADJUDICATION"))</x:f>
        <x:v>NOT_READY</x:v>
      </x:c>
    </x:row>
    <x:row r="58" ht="44" customHeight="1">
      <x:c r="A58" s="33" t="str">
        <x:v>B054</x:v>
      </x:c>
      <x:c r="B58" s="33" t="str">
        <x:v>T11</x:v>
      </x:c>
      <x:c r="C58" s="33" t="n">
        <x:v>1</x:v>
      </x:c>
      <x:c r="D58" s="34" t="str">
        <x:v>3ds Max 石头建模：布线技巧与逼真石头模型效果</x:v>
      </x:c>
      <x:c r="E58" s="34" t="str">
        <x:v>http://www.bilibili.com/video/av812499033</x:v>
      </x:c>
      <x:c r="F58" s="34" t="str">
        <x:v>Bilibili / 中文</x:v>
      </x:c>
      <x:c r="G58" s="34" t="str">
        <x:v>3ds Max</x:v>
      </x:c>
      <x:c r="H58" s="34" t="str">
        <x:v>自然道具</x:v>
      </x:c>
      <x:c r="I58" s="34" t="str">
        <x:v>@Yiyun Wang</x:v>
      </x:c>
      <x:c r="J58" s="34" t="str">
        <x:v>根据石头形状新建正方体</x:v>
      </x:c>
      <x:c r="K58" s="29" t="str"/>
      <x:c r="L58" s="29" t="str"/>
      <x:c r="M58" s="23" t="str"/>
      <x:c r="N58" s="23" t="str"/>
      <x:c r="O58" s="23" t="str"/>
      <x:c r="P58" s="23" t="str"/>
      <x:c r="Q58" s="23" t="str"/>
      <x:c r="R58" s="23" t="str"/>
      <x:c r="S58" s="30" t="str"/>
      <x:c r="T58" s="23" t="str"/>
      <x:c r="U58" s="23" t="str">
        <x:v>Uncoded</x:v>
      </x:c>
      <x:c r="V58" s="23" t="str"/>
      <x:c r="W58" s="23" t="str"/>
      <x:c r="X58" s="23" t="str">
        <x:f>IF(AND(M58="",O58="",P58="",Q58="",R58="",S58="",T58="",V58=""),"UNCODED",IF(AND(M58&lt;&gt;"",O58&lt;&gt;"",P58&lt;&gt;"",Q58&lt;&gt;"",R58&lt;&gt;"",ISNUMBER(S58),S58&gt;=0,S58&lt;=1,T58&lt;&gt;"",U58&lt;&gt;"Uncoded",V58&lt;&gt;""),"TAXONOMY_READY","REVIEW"))</x:f>
        <x:v>UNCODED</x:v>
      </x:c>
      <x:c r="Y58" s="23" t="str">
        <x:f>IF(X58&lt;&gt;"TAXONOMY_READY","NOT_READY",IF(AND(ISNUMBER(K58),ISNUMBER(L58),L58&gt;K58,U58="Adjudicated"),"CASE_READY","NEEDS_TIME_OR_ADJUDICATION"))</x:f>
        <x:v>NOT_READY</x:v>
      </x:c>
    </x:row>
    <x:row r="59" ht="44" customHeight="1">
      <x:c r="A59" s="33" t="str">
        <x:v>B055</x:v>
      </x:c>
      <x:c r="B59" s="33" t="str">
        <x:v>T11</x:v>
      </x:c>
      <x:c r="C59" s="33" t="n">
        <x:v>2</x:v>
      </x:c>
      <x:c r="D59" s="34" t="str">
        <x:v>3ds Max 石头建模：布线技巧与逼真石头模型效果</x:v>
      </x:c>
      <x:c r="E59" s="34" t="str">
        <x:v>http://www.bilibili.com/video/av812499033</x:v>
      </x:c>
      <x:c r="F59" s="34" t="str">
        <x:v>Bilibili / 中文</x:v>
      </x:c>
      <x:c r="G59" s="34" t="str">
        <x:v>3ds Max</x:v>
      </x:c>
      <x:c r="H59" s="34" t="str">
        <x:v>自然道具</x:v>
      </x:c>
      <x:c r="I59" s="34" t="str">
        <x:v>@Yiyun Wang</x:v>
      </x:c>
      <x:c r="J59" s="34" t="str">
        <x:v>ctrl shift C 切角，快速对角进行切割，</x:v>
      </x:c>
      <x:c r="K59" s="29" t="str"/>
      <x:c r="L59" s="29" t="str"/>
      <x:c r="M59" s="23" t="str"/>
      <x:c r="N59" s="23" t="str"/>
      <x:c r="O59" s="23" t="str"/>
      <x:c r="P59" s="23" t="str"/>
      <x:c r="Q59" s="23" t="str"/>
      <x:c r="R59" s="23" t="str"/>
      <x:c r="S59" s="30" t="str"/>
      <x:c r="T59" s="23" t="str"/>
      <x:c r="U59" s="23" t="str">
        <x:v>Uncoded</x:v>
      </x:c>
      <x:c r="V59" s="23" t="str"/>
      <x:c r="W59" s="23" t="str"/>
      <x:c r="X59" s="23" t="str">
        <x:f>IF(AND(M59="",O59="",P59="",Q59="",R59="",S59="",T59="",V59=""),"UNCODED",IF(AND(M59&lt;&gt;"",O59&lt;&gt;"",P59&lt;&gt;"",Q59&lt;&gt;"",R59&lt;&gt;"",ISNUMBER(S59),S59&gt;=0,S59&lt;=1,T59&lt;&gt;"",U59&lt;&gt;"Uncoded",V59&lt;&gt;""),"TAXONOMY_READY","REVIEW"))</x:f>
        <x:v>UNCODED</x:v>
      </x:c>
      <x:c r="Y59" s="23" t="str">
        <x:f>IF(X59&lt;&gt;"TAXONOMY_READY","NOT_READY",IF(AND(ISNUMBER(K59),ISNUMBER(L59),L59&gt;K59,U59="Adjudicated"),"CASE_READY","NEEDS_TIME_OR_ADJUDICATION"))</x:f>
        <x:v>NOT_READY</x:v>
      </x:c>
    </x:row>
    <x:row r="60" ht="44" customHeight="1">
      <x:c r="A60" s="33" t="str">
        <x:v>B056</x:v>
      </x:c>
      <x:c r="B60" s="33" t="str">
        <x:v>T11</x:v>
      </x:c>
      <x:c r="C60" s="33" t="n">
        <x:v>3</x:v>
      </x:c>
      <x:c r="D60" s="34" t="str">
        <x:v>3ds Max 石头建模：布线技巧与逼真石头模型效果</x:v>
      </x:c>
      <x:c r="E60" s="34" t="str">
        <x:v>http://www.bilibili.com/video/av812499033</x:v>
      </x:c>
      <x:c r="F60" s="34" t="str">
        <x:v>Bilibili / 中文</x:v>
      </x:c>
      <x:c r="G60" s="34" t="str">
        <x:v>3ds Max</x:v>
      </x:c>
      <x:c r="H60" s="34" t="str">
        <x:v>自然道具</x:v>
      </x:c>
      <x:c r="I60" s="34" t="str">
        <x:v>@Yiyun Wang</x:v>
      </x:c>
      <x:c r="J60" s="34" t="str">
        <x:v>自然在中间加线，让体积鼓出，破坏原本造型</x:v>
      </x:c>
      <x:c r="K60" s="29" t="str"/>
      <x:c r="L60" s="29" t="str"/>
      <x:c r="M60" s="23" t="str"/>
      <x:c r="N60" s="23" t="str"/>
      <x:c r="O60" s="23" t="str"/>
      <x:c r="P60" s="23" t="str"/>
      <x:c r="Q60" s="23" t="str"/>
      <x:c r="R60" s="23" t="str"/>
      <x:c r="S60" s="30" t="str"/>
      <x:c r="T60" s="23" t="str"/>
      <x:c r="U60" s="23" t="str">
        <x:v>Uncoded</x:v>
      </x:c>
      <x:c r="V60" s="23" t="str"/>
      <x:c r="W60" s="23" t="str"/>
      <x:c r="X60" s="23" t="str">
        <x:f>IF(AND(M60="",O60="",P60="",Q60="",R60="",S60="",T60="",V60=""),"UNCODED",IF(AND(M60&lt;&gt;"",O60&lt;&gt;"",P60&lt;&gt;"",Q60&lt;&gt;"",R60&lt;&gt;"",ISNUMBER(S60),S60&gt;=0,S60&lt;=1,T60&lt;&gt;"",U60&lt;&gt;"Uncoded",V60&lt;&gt;""),"TAXONOMY_READY","REVIEW"))</x:f>
        <x:v>UNCODED</x:v>
      </x:c>
      <x:c r="Y60" s="23" t="str">
        <x:f>IF(X60&lt;&gt;"TAXONOMY_READY","NOT_READY",IF(AND(ISNUMBER(K60),ISNUMBER(L60),L60&gt;K60,U60="Adjudicated"),"CASE_READY","NEEDS_TIME_OR_ADJUDICATION"))</x:f>
        <x:v>NOT_READY</x:v>
      </x:c>
    </x:row>
    <x:row r="61" ht="44" customHeight="1">
      <x:c r="A61" s="33" t="str">
        <x:v>B057</x:v>
      </x:c>
      <x:c r="B61" s="33" t="str">
        <x:v>T11</x:v>
      </x:c>
      <x:c r="C61" s="33" t="n">
        <x:v>4</x:v>
      </x:c>
      <x:c r="D61" s="34" t="str">
        <x:v>3ds Max 石头建模：布线技巧与逼真石头模型效果</x:v>
      </x:c>
      <x:c r="E61" s="34" t="str">
        <x:v>http://www.bilibili.com/video/av812499033</x:v>
      </x:c>
      <x:c r="F61" s="34" t="str">
        <x:v>Bilibili / 中文</x:v>
      </x:c>
      <x:c r="G61" s="34" t="str">
        <x:v>3ds Max</x:v>
      </x:c>
      <x:c r="H61" s="34" t="str">
        <x:v>自然道具</x:v>
      </x:c>
      <x:c r="I61" s="34" t="str">
        <x:v>@Yiyun Wang</x:v>
      </x:c>
      <x:c r="J61" s="34" t="str">
        <x:v>选择整个模型，点击右上角FFD的命名</x:v>
      </x:c>
      <x:c r="K61" s="29" t="str"/>
      <x:c r="L61" s="29" t="str"/>
      <x:c r="M61" s="23" t="str"/>
      <x:c r="N61" s="23" t="str"/>
      <x:c r="O61" s="23" t="str"/>
      <x:c r="P61" s="23" t="str"/>
      <x:c r="Q61" s="23" t="str"/>
      <x:c r="R61" s="23" t="str"/>
      <x:c r="S61" s="30" t="str"/>
      <x:c r="T61" s="23" t="str"/>
      <x:c r="U61" s="23" t="str">
        <x:v>Uncoded</x:v>
      </x:c>
      <x:c r="V61" s="23" t="str"/>
      <x:c r="W61" s="23" t="str"/>
      <x:c r="X61" s="23" t="str">
        <x:f>IF(AND(M61="",O61="",P61="",Q61="",R61="",S61="",T61="",V61=""),"UNCODED",IF(AND(M61&lt;&gt;"",O61&lt;&gt;"",P61&lt;&gt;"",Q61&lt;&gt;"",R61&lt;&gt;"",ISNUMBER(S61),S61&gt;=0,S61&lt;=1,T61&lt;&gt;"",U61&lt;&gt;"Uncoded",V61&lt;&gt;""),"TAXONOMY_READY","REVIEW"))</x:f>
        <x:v>UNCODED</x:v>
      </x:c>
      <x:c r="Y61" s="23" t="str">
        <x:f>IF(X61&lt;&gt;"TAXONOMY_READY","NOT_READY",IF(AND(ISNUMBER(K61),ISNUMBER(L61),L61&gt;K61,U61="Adjudicated"),"CASE_READY","NEEDS_TIME_OR_ADJUDICATION"))</x:f>
        <x:v>NOT_READY</x:v>
      </x:c>
    </x:row>
    <x:row r="62" ht="44" customHeight="1">
      <x:c r="A62" s="33" t="str">
        <x:v>B058</x:v>
      </x:c>
      <x:c r="B62" s="33" t="str">
        <x:v>T11</x:v>
      </x:c>
      <x:c r="C62" s="33" t="n">
        <x:v>5</x:v>
      </x:c>
      <x:c r="D62" s="34" t="str">
        <x:v>3ds Max 石头建模：布线技巧与逼真石头模型效果</x:v>
      </x:c>
      <x:c r="E62" s="34" t="str">
        <x:v>http://www.bilibili.com/video/av812499033</x:v>
      </x:c>
      <x:c r="F62" s="34" t="str">
        <x:v>Bilibili / 中文</x:v>
      </x:c>
      <x:c r="G62" s="34" t="str">
        <x:v>3ds Max</x:v>
      </x:c>
      <x:c r="H62" s="34" t="str">
        <x:v>自然道具</x:v>
      </x:c>
      <x:c r="I62" s="34" t="str">
        <x:v>@Yiyun Wang</x:v>
      </x:c>
      <x:c r="J62" s="34" t="str">
        <x:v>可以对物体进行范围性调整，选择外围范围模型，然后缩小</x:v>
      </x:c>
      <x:c r="K62" s="29" t="str"/>
      <x:c r="L62" s="29" t="str"/>
      <x:c r="M62" s="23" t="str"/>
      <x:c r="N62" s="23" t="str"/>
      <x:c r="O62" s="23" t="str"/>
      <x:c r="P62" s="23" t="str"/>
      <x:c r="Q62" s="23" t="str"/>
      <x:c r="R62" s="23" t="str"/>
      <x:c r="S62" s="30" t="str"/>
      <x:c r="T62" s="23" t="str"/>
      <x:c r="U62" s="23" t="str">
        <x:v>Uncoded</x:v>
      </x:c>
      <x:c r="V62" s="23" t="str"/>
      <x:c r="W62" s="23" t="str"/>
      <x:c r="X62" s="23" t="str">
        <x:f>IF(AND(M62="",O62="",P62="",Q62="",R62="",S62="",T62="",V62=""),"UNCODED",IF(AND(M62&lt;&gt;"",O62&lt;&gt;"",P62&lt;&gt;"",Q62&lt;&gt;"",R62&lt;&gt;"",ISNUMBER(S62),S62&gt;=0,S62&lt;=1,T62&lt;&gt;"",U62&lt;&gt;"Uncoded",V62&lt;&gt;""),"TAXONOMY_READY","REVIEW"))</x:f>
        <x:v>UNCODED</x:v>
      </x:c>
      <x:c r="Y62" s="23" t="str">
        <x:f>IF(X62&lt;&gt;"TAXONOMY_READY","NOT_READY",IF(AND(ISNUMBER(K62),ISNUMBER(L62),L62&gt;K62,U62="Adjudicated"),"CASE_READY","NEEDS_TIME_OR_ADJUDICATION"))</x:f>
        <x:v>NOT_READY</x:v>
      </x:c>
    </x:row>
    <x:row r="63" ht="44" customHeight="1">
      <x:c r="A63" s="33" t="str">
        <x:v>B059</x:v>
      </x:c>
      <x:c r="B63" s="33" t="str">
        <x:v>T11</x:v>
      </x:c>
      <x:c r="C63" s="33" t="n">
        <x:v>6</x:v>
      </x:c>
      <x:c r="D63" s="34" t="str">
        <x:v>3ds Max 石头建模：布线技巧与逼真石头模型效果</x:v>
      </x:c>
      <x:c r="E63" s="34" t="str">
        <x:v>http://www.bilibili.com/video/av812499033</x:v>
      </x:c>
      <x:c r="F63" s="34" t="str">
        <x:v>Bilibili / 中文</x:v>
      </x:c>
      <x:c r="G63" s="34" t="str">
        <x:v>3ds Max</x:v>
      </x:c>
      <x:c r="H63" s="34" t="str">
        <x:v>自然道具</x:v>
      </x:c>
      <x:c r="I63" s="34" t="str">
        <x:v>@Yiyun Wang</x:v>
      </x:c>
      <x:c r="J63" s="34" t="str">
        <x:v>将所有，多边面or四边面连接成三边面</x:v>
      </x:c>
      <x:c r="K63" s="29" t="str"/>
      <x:c r="L63" s="29" t="str"/>
      <x:c r="M63" s="23" t="str"/>
      <x:c r="N63" s="23" t="str"/>
      <x:c r="O63" s="23" t="str"/>
      <x:c r="P63" s="23" t="str"/>
      <x:c r="Q63" s="23" t="str"/>
      <x:c r="R63" s="23" t="str"/>
      <x:c r="S63" s="30" t="str"/>
      <x:c r="T63" s="23" t="str"/>
      <x:c r="U63" s="23" t="str">
        <x:v>Uncoded</x:v>
      </x:c>
      <x:c r="V63" s="23" t="str"/>
      <x:c r="W63" s="23" t="str"/>
      <x:c r="X63" s="23" t="str">
        <x:f>IF(AND(M63="",O63="",P63="",Q63="",R63="",S63="",T63="",V63=""),"UNCODED",IF(AND(M63&lt;&gt;"",O63&lt;&gt;"",P63&lt;&gt;"",Q63&lt;&gt;"",R63&lt;&gt;"",ISNUMBER(S63),S63&gt;=0,S63&lt;=1,T63&lt;&gt;"",U63&lt;&gt;"Uncoded",V63&lt;&gt;""),"TAXONOMY_READY","REVIEW"))</x:f>
        <x:v>UNCODED</x:v>
      </x:c>
      <x:c r="Y63" s="23" t="str">
        <x:f>IF(X63&lt;&gt;"TAXONOMY_READY","NOT_READY",IF(AND(ISNUMBER(K63),ISNUMBER(L63),L63&gt;K63,U63="Adjudicated"),"CASE_READY","NEEDS_TIME_OR_ADJUDICATION"))</x:f>
        <x:v>NOT_READY</x:v>
      </x:c>
    </x:row>
    <x:row r="64" ht="44" customHeight="1">
      <x:c r="A64" s="33" t="str">
        <x:v>B060</x:v>
      </x:c>
      <x:c r="B64" s="33" t="str">
        <x:v>T11</x:v>
      </x:c>
      <x:c r="C64" s="33" t="n">
        <x:v>7</x:v>
      </x:c>
      <x:c r="D64" s="34" t="str">
        <x:v>3ds Max 石头建模：布线技巧与逼真石头模型效果</x:v>
      </x:c>
      <x:c r="E64" s="34" t="str">
        <x:v>http://www.bilibili.com/video/av812499033</x:v>
      </x:c>
      <x:c r="F64" s="34" t="str">
        <x:v>Bilibili / 中文</x:v>
      </x:c>
      <x:c r="G64" s="34" t="str">
        <x:v>3ds Max</x:v>
      </x:c>
      <x:c r="H64" s="34" t="str">
        <x:v>自然道具</x:v>
      </x:c>
      <x:c r="I64" s="34" t="str">
        <x:v>@Yiyun Wang</x:v>
      </x:c>
      <x:c r="J64" s="34" t="str">
        <x:v>右键切角</x:v>
      </x:c>
      <x:c r="K64" s="29" t="str"/>
      <x:c r="L64" s="29" t="str"/>
      <x:c r="M64" s="23" t="str"/>
      <x:c r="N64" s="23" t="str"/>
      <x:c r="O64" s="23" t="str"/>
      <x:c r="P64" s="23" t="str"/>
      <x:c r="Q64" s="23" t="str"/>
      <x:c r="R64" s="23" t="str"/>
      <x:c r="S64" s="30" t="str"/>
      <x:c r="T64" s="23" t="str"/>
      <x:c r="U64" s="23" t="str">
        <x:v>Uncoded</x:v>
      </x:c>
      <x:c r="V64" s="23" t="str"/>
      <x:c r="W64" s="23" t="str"/>
      <x:c r="X64" s="23" t="str">
        <x:f>IF(AND(M64="",O64="",P64="",Q64="",R64="",S64="",T64="",V64=""),"UNCODED",IF(AND(M64&lt;&gt;"",O64&lt;&gt;"",P64&lt;&gt;"",Q64&lt;&gt;"",R64&lt;&gt;"",ISNUMBER(S64),S64&gt;=0,S64&lt;=1,T64&lt;&gt;"",U64&lt;&gt;"Uncoded",V64&lt;&gt;""),"TAXONOMY_READY","REVIEW"))</x:f>
        <x:v>UNCODED</x:v>
      </x:c>
      <x:c r="Y64" s="23" t="str">
        <x:f>IF(X64&lt;&gt;"TAXONOMY_READY","NOT_READY",IF(AND(ISNUMBER(K64),ISNUMBER(L64),L64&gt;K64,U64="Adjudicated"),"CASE_READY","NEEDS_TIME_OR_ADJUDICATION"))</x:f>
        <x:v>NOT_READY</x:v>
      </x:c>
    </x:row>
    <x:row r="65" ht="44" customHeight="1">
      <x:c r="A65" s="33" t="str">
        <x:v>B061</x:v>
      </x:c>
      <x:c r="B65" s="33" t="str">
        <x:v>T12</x:v>
      </x:c>
      <x:c r="C65" s="33" t="n">
        <x:v>1</x:v>
      </x:c>
      <x:c r="D65" s="34" t="str">
        <x:v>ZBrush 服装褶皱雕刻</x:v>
      </x:c>
      <x:c r="E65" s="34" t="str">
        <x:v>https://www.youtube.com/watch?v=vw40L7LfJJM</x:v>
      </x:c>
      <x:c r="F65" s="34" t="str">
        <x:v>YouTube / 英语</x:v>
      </x:c>
      <x:c r="G65" s="34" t="str">
        <x:v>ZBrush</x:v>
      </x:c>
      <x:c r="H65" s="34" t="str">
        <x:v>角色局部</x:v>
      </x:c>
      <x:c r="I65" s="34" t="str">
        <x:v>@Yiyun Wang</x:v>
      </x:c>
      <x:c r="J65" s="34" t="str">
        <x:v>使用Dam 标准刷塑造边缘布料，将stroke选项从顶部菜单拖至右侧面板</x:v>
      </x:c>
      <x:c r="K65" s="29" t="str"/>
      <x:c r="L65" s="29" t="str"/>
      <x:c r="M65" s="23" t="str"/>
      <x:c r="N65" s="23" t="str"/>
      <x:c r="O65" s="23" t="str"/>
      <x:c r="P65" s="23" t="str"/>
      <x:c r="Q65" s="23" t="str"/>
      <x:c r="R65" s="23" t="str"/>
      <x:c r="S65" s="30" t="str"/>
      <x:c r="T65" s="23" t="str"/>
      <x:c r="U65" s="23" t="str">
        <x:v>Uncoded</x:v>
      </x:c>
      <x:c r="V65" s="23" t="str"/>
      <x:c r="W65" s="23" t="str"/>
      <x:c r="X65" s="23" t="str">
        <x:f>IF(AND(M65="",O65="",P65="",Q65="",R65="",S65="",T65="",V65=""),"UNCODED",IF(AND(M65&lt;&gt;"",O65&lt;&gt;"",P65&lt;&gt;"",Q65&lt;&gt;"",R65&lt;&gt;"",ISNUMBER(S65),S65&gt;=0,S65&lt;=1,T65&lt;&gt;"",U65&lt;&gt;"Uncoded",V65&lt;&gt;""),"TAXONOMY_READY","REVIEW"))</x:f>
        <x:v>UNCODED</x:v>
      </x:c>
      <x:c r="Y65" s="23" t="str">
        <x:f>IF(X65&lt;&gt;"TAXONOMY_READY","NOT_READY",IF(AND(ISNUMBER(K65),ISNUMBER(L65),L65&gt;K65,U65="Adjudicated"),"CASE_READY","NEEDS_TIME_OR_ADJUDICATION"))</x:f>
        <x:v>NOT_READY</x:v>
      </x:c>
    </x:row>
    <x:row r="66" ht="44" customHeight="1">
      <x:c r="A66" s="33" t="str">
        <x:v>B062</x:v>
      </x:c>
      <x:c r="B66" s="33" t="str">
        <x:v>T12</x:v>
      </x:c>
      <x:c r="C66" s="33" t="n">
        <x:v>2</x:v>
      </x:c>
      <x:c r="D66" s="34" t="str">
        <x:v>ZBrush 服装褶皱雕刻</x:v>
      </x:c>
      <x:c r="E66" s="34" t="str">
        <x:v>https://www.youtube.com/watch?v=vw40L7LfJJM</x:v>
      </x:c>
      <x:c r="F66" s="34" t="str">
        <x:v>YouTube / 英语</x:v>
      </x:c>
      <x:c r="G66" s="34" t="str">
        <x:v>ZBrush</x:v>
      </x:c>
      <x:c r="H66" s="34" t="str">
        <x:v>角色局部</x:v>
      </x:c>
      <x:c r="I66" s="34" t="str">
        <x:v>@Yiyun Wang</x:v>
      </x:c>
      <x:c r="J66" s="34" t="str">
        <x:v>启用lazy mouse功能，将步长调低一点，让看起来更像连续的线条，增加lazy radius 让笔画更流畅</x:v>
      </x:c>
      <x:c r="K66" s="29" t="str"/>
      <x:c r="L66" s="29" t="str"/>
      <x:c r="M66" s="23" t="str"/>
      <x:c r="N66" s="23" t="str"/>
      <x:c r="O66" s="23" t="str"/>
      <x:c r="P66" s="23" t="str"/>
      <x:c r="Q66" s="23" t="str"/>
      <x:c r="R66" s="23" t="str"/>
      <x:c r="S66" s="30" t="str"/>
      <x:c r="T66" s="23" t="str"/>
      <x:c r="U66" s="23" t="str">
        <x:v>Uncoded</x:v>
      </x:c>
      <x:c r="V66" s="23" t="str"/>
      <x:c r="W66" s="23" t="str"/>
      <x:c r="X66" s="23" t="str">
        <x:f>IF(AND(M66="",O66="",P66="",Q66="",R66="",S66="",T66="",V66=""),"UNCODED",IF(AND(M66&lt;&gt;"",O66&lt;&gt;"",P66&lt;&gt;"",Q66&lt;&gt;"",R66&lt;&gt;"",ISNUMBER(S66),S66&gt;=0,S66&lt;=1,T66&lt;&gt;"",U66&lt;&gt;"Uncoded",V66&lt;&gt;""),"TAXONOMY_READY","REVIEW"))</x:f>
        <x:v>UNCODED</x:v>
      </x:c>
      <x:c r="Y66" s="23" t="str">
        <x:f>IF(X66&lt;&gt;"TAXONOMY_READY","NOT_READY",IF(AND(ISNUMBER(K66),ISNUMBER(L66),L66&gt;K66,U66="Adjudicated"),"CASE_READY","NEEDS_TIME_OR_ADJUDICATION"))</x:f>
        <x:v>NOT_READY</x:v>
      </x:c>
    </x:row>
    <x:row r="67" ht="44" customHeight="1">
      <x:c r="A67" s="33" t="str">
        <x:v>B063</x:v>
      </x:c>
      <x:c r="B67" s="33" t="str">
        <x:v>T12</x:v>
      </x:c>
      <x:c r="C67" s="33" t="n">
        <x:v>3</x:v>
      </x:c>
      <x:c r="D67" s="34" t="str">
        <x:v>ZBrush 服装褶皱雕刻</x:v>
      </x:c>
      <x:c r="E67" s="34" t="str">
        <x:v>https://www.youtube.com/watch?v=vw40L7LfJJM</x:v>
      </x:c>
      <x:c r="F67" s="34" t="str">
        <x:v>YouTube / 英语</x:v>
      </x:c>
      <x:c r="G67" s="34" t="str">
        <x:v>ZBrush</x:v>
      </x:c>
      <x:c r="H67" s="34" t="str">
        <x:v>角色局部</x:v>
      </x:c>
      <x:c r="I67" s="34" t="str">
        <x:v>@Yiyun Wang</x:v>
      </x:c>
      <x:c r="J67" s="34" t="str">
        <x:v>提高对称性</x:v>
      </x:c>
      <x:c r="K67" s="29" t="str"/>
      <x:c r="L67" s="29" t="str"/>
      <x:c r="M67" s="23" t="str"/>
      <x:c r="N67" s="23" t="str"/>
      <x:c r="O67" s="23" t="str"/>
      <x:c r="P67" s="23" t="str"/>
      <x:c r="Q67" s="23" t="str"/>
      <x:c r="R67" s="23" t="str"/>
      <x:c r="S67" s="30" t="str"/>
      <x:c r="T67" s="23" t="str"/>
      <x:c r="U67" s="23" t="str">
        <x:v>Uncoded</x:v>
      </x:c>
      <x:c r="V67" s="23" t="str"/>
      <x:c r="W67" s="23" t="str"/>
      <x:c r="X67" s="23" t="str">
        <x:f>IF(AND(M67="",O67="",P67="",Q67="",R67="",S67="",T67="",V67=""),"UNCODED",IF(AND(M67&lt;&gt;"",O67&lt;&gt;"",P67&lt;&gt;"",Q67&lt;&gt;"",R67&lt;&gt;"",ISNUMBER(S67),S67&gt;=0,S67&lt;=1,T67&lt;&gt;"",U67&lt;&gt;"Uncoded",V67&lt;&gt;""),"TAXONOMY_READY","REVIEW"))</x:f>
        <x:v>UNCODED</x:v>
      </x:c>
      <x:c r="Y67" s="23" t="str">
        <x:f>IF(X67&lt;&gt;"TAXONOMY_READY","NOT_READY",IF(AND(ISNUMBER(K67),ISNUMBER(L67),L67&gt;K67,U67="Adjudicated"),"CASE_READY","NEEDS_TIME_OR_ADJUDICATION"))</x:f>
        <x:v>NOT_READY</x:v>
      </x:c>
    </x:row>
    <x:row r="68" ht="44" customHeight="1">
      <x:c r="A68" s="33" t="str">
        <x:v>B064</x:v>
      </x:c>
      <x:c r="B68" s="33" t="str">
        <x:v>T12</x:v>
      </x:c>
      <x:c r="C68" s="33" t="n">
        <x:v>4</x:v>
      </x:c>
      <x:c r="D68" s="34" t="str">
        <x:v>ZBrush 服装褶皱雕刻</x:v>
      </x:c>
      <x:c r="E68" s="34" t="str">
        <x:v>https://www.youtube.com/watch?v=vw40L7LfJJM</x:v>
      </x:c>
      <x:c r="F68" s="34" t="str">
        <x:v>YouTube / 英语</x:v>
      </x:c>
      <x:c r="G68" s="34" t="str">
        <x:v>ZBrush</x:v>
      </x:c>
      <x:c r="H68" s="34" t="str">
        <x:v>角色局部</x:v>
      </x:c>
      <x:c r="I68" s="34" t="str">
        <x:v>@Yiyun Wang</x:v>
      </x:c>
      <x:c r="J68" s="34" t="str">
        <x:v>雕刻衣服的边缘</x:v>
      </x:c>
      <x:c r="K68" s="29" t="str"/>
      <x:c r="L68" s="29" t="str"/>
      <x:c r="M68" s="23" t="str"/>
      <x:c r="N68" s="23" t="str"/>
      <x:c r="O68" s="23" t="str"/>
      <x:c r="P68" s="23" t="str"/>
      <x:c r="Q68" s="23" t="str"/>
      <x:c r="R68" s="23" t="str"/>
      <x:c r="S68" s="30" t="str"/>
      <x:c r="T68" s="23" t="str"/>
      <x:c r="U68" s="23" t="str">
        <x:v>Uncoded</x:v>
      </x:c>
      <x:c r="V68" s="23" t="str"/>
      <x:c r="W68" s="23" t="str"/>
      <x:c r="X68" s="23" t="str">
        <x:f>IF(AND(M68="",O68="",P68="",Q68="",R68="",S68="",T68="",V68=""),"UNCODED",IF(AND(M68&lt;&gt;"",O68&lt;&gt;"",P68&lt;&gt;"",Q68&lt;&gt;"",R68&lt;&gt;"",ISNUMBER(S68),S68&gt;=0,S68&lt;=1,T68&lt;&gt;"",U68&lt;&gt;"Uncoded",V68&lt;&gt;""),"TAXONOMY_READY","REVIEW"))</x:f>
        <x:v>UNCODED</x:v>
      </x:c>
      <x:c r="Y68" s="23" t="str">
        <x:f>IF(X68&lt;&gt;"TAXONOMY_READY","NOT_READY",IF(AND(ISNUMBER(K68),ISNUMBER(L68),L68&gt;K68,U68="Adjudicated"),"CASE_READY","NEEDS_TIME_OR_ADJUDICATION"))</x:f>
        <x:v>NOT_READY</x:v>
      </x:c>
    </x:row>
    <x:row r="69" ht="44" customHeight="1">
      <x:c r="A69" s="33" t="str">
        <x:v>B065</x:v>
      </x:c>
      <x:c r="B69" s="33" t="str">
        <x:v>T12</x:v>
      </x:c>
      <x:c r="C69" s="33" t="n">
        <x:v>5</x:v>
      </x:c>
      <x:c r="D69" s="34" t="str">
        <x:v>ZBrush 服装褶皱雕刻</x:v>
      </x:c>
      <x:c r="E69" s="34" t="str">
        <x:v>https://www.youtube.com/watch?v=vw40L7LfJJM</x:v>
      </x:c>
      <x:c r="F69" s="34" t="str">
        <x:v>YouTube / 英语</x:v>
      </x:c>
      <x:c r="G69" s="34" t="str">
        <x:v>ZBrush</x:v>
      </x:c>
      <x:c r="H69" s="34" t="str">
        <x:v>角色局部</x:v>
      </x:c>
      <x:c r="I69" s="34" t="str">
        <x:v>@Yiyun Wang</x:v>
      </x:c>
      <x:c r="J69" s="34" t="str">
        <x:v>使用标准刷子，关闭对称功能，制作褶皱，Alt可以在褶皱间塑造凹陷部分</x:v>
      </x:c>
      <x:c r="K69" s="29" t="str"/>
      <x:c r="L69" s="29" t="str"/>
      <x:c r="M69" s="23" t="str"/>
      <x:c r="N69" s="23" t="str"/>
      <x:c r="O69" s="23" t="str"/>
      <x:c r="P69" s="23" t="str"/>
      <x:c r="Q69" s="23" t="str"/>
      <x:c r="R69" s="23" t="str"/>
      <x:c r="S69" s="30" t="str"/>
      <x:c r="T69" s="23" t="str"/>
      <x:c r="U69" s="23" t="str">
        <x:v>Uncoded</x:v>
      </x:c>
      <x:c r="V69" s="23" t="str"/>
      <x:c r="W69" s="23" t="str"/>
      <x:c r="X69" s="23" t="str">
        <x:f>IF(AND(M69="",O69="",P69="",Q69="",R69="",S69="",T69="",V69=""),"UNCODED",IF(AND(M69&lt;&gt;"",O69&lt;&gt;"",P69&lt;&gt;"",Q69&lt;&gt;"",R69&lt;&gt;"",ISNUMBER(S69),S69&gt;=0,S69&lt;=1,T69&lt;&gt;"",U69&lt;&gt;"Uncoded",V69&lt;&gt;""),"TAXONOMY_READY","REVIEW"))</x:f>
        <x:v>UNCODED</x:v>
      </x:c>
      <x:c r="Y69" s="23" t="str">
        <x:f>IF(X69&lt;&gt;"TAXONOMY_READY","NOT_READY",IF(AND(ISNUMBER(K69),ISNUMBER(L69),L69&gt;K69,U69="Adjudicated"),"CASE_READY","NEEDS_TIME_OR_ADJUDICATION"))</x:f>
        <x:v>NOT_READY</x:v>
      </x:c>
    </x:row>
    <x:row r="70" ht="44" customHeight="1">
      <x:c r="A70" s="33" t="str">
        <x:v>B066</x:v>
      </x:c>
      <x:c r="B70" s="33" t="str">
        <x:v>T12</x:v>
      </x:c>
      <x:c r="C70" s="33" t="n">
        <x:v>6</x:v>
      </x:c>
      <x:c r="D70" s="34" t="str">
        <x:v>ZBrush 服装褶皱雕刻</x:v>
      </x:c>
      <x:c r="E70" s="34" t="str">
        <x:v>https://www.youtube.com/watch?v=vw40L7LfJJM</x:v>
      </x:c>
      <x:c r="F70" s="34" t="str">
        <x:v>YouTube / 英语</x:v>
      </x:c>
      <x:c r="G70" s="34" t="str">
        <x:v>ZBrush</x:v>
      </x:c>
      <x:c r="H70" s="34" t="str">
        <x:v>角色局部</x:v>
      </x:c>
      <x:c r="I70" s="34" t="str">
        <x:v>@Yiyun Wang</x:v>
      </x:c>
      <x:c r="J70" s="34" t="str">
        <x:v>使用宽大的笔刷涂抹，让笔触更加流畅自然</x:v>
      </x:c>
      <x:c r="K70" s="29" t="str"/>
      <x:c r="L70" s="29" t="str"/>
      <x:c r="M70" s="23" t="str"/>
      <x:c r="N70" s="23" t="str"/>
      <x:c r="O70" s="23" t="str"/>
      <x:c r="P70" s="23" t="str"/>
      <x:c r="Q70" s="23" t="str"/>
      <x:c r="R70" s="23" t="str"/>
      <x:c r="S70" s="30" t="str"/>
      <x:c r="T70" s="23" t="str"/>
      <x:c r="U70" s="23" t="str">
        <x:v>Uncoded</x:v>
      </x:c>
      <x:c r="V70" s="23" t="str"/>
      <x:c r="W70" s="23" t="str"/>
      <x:c r="X70" s="23" t="str">
        <x:f>IF(AND(M70="",O70="",P70="",Q70="",R70="",S70="",T70="",V70=""),"UNCODED",IF(AND(M70&lt;&gt;"",O70&lt;&gt;"",P70&lt;&gt;"",Q70&lt;&gt;"",R70&lt;&gt;"",ISNUMBER(S70),S70&gt;=0,S70&lt;=1,T70&lt;&gt;"",U70&lt;&gt;"Uncoded",V70&lt;&gt;""),"TAXONOMY_READY","REVIEW"))</x:f>
        <x:v>UNCODED</x:v>
      </x:c>
      <x:c r="Y70" s="23" t="str">
        <x:f>IF(X70&lt;&gt;"TAXONOMY_READY","NOT_READY",IF(AND(ISNUMBER(K70),ISNUMBER(L70),L70&gt;K70,U70="Adjudicated"),"CASE_READY","NEEDS_TIME_OR_ADJUDICATION"))</x:f>
        <x:v>NOT_READY</x:v>
      </x:c>
    </x:row>
    <x:row r="71" ht="44" customHeight="1">
      <x:c r="A71" s="33" t="str">
        <x:v>B067</x:v>
      </x:c>
      <x:c r="B71" s="33" t="str">
        <x:v>T12</x:v>
      </x:c>
      <x:c r="C71" s="33" t="n">
        <x:v>7</x:v>
      </x:c>
      <x:c r="D71" s="34" t="str">
        <x:v>ZBrush 服装褶皱雕刻</x:v>
      </x:c>
      <x:c r="E71" s="34" t="str">
        <x:v>https://www.youtube.com/watch?v=vw40L7LfJJM</x:v>
      </x:c>
      <x:c r="F71" s="34" t="str">
        <x:v>YouTube / 英语</x:v>
      </x:c>
      <x:c r="G71" s="34" t="str">
        <x:v>ZBrush</x:v>
      </x:c>
      <x:c r="H71" s="34" t="str">
        <x:v>角色局部</x:v>
      </x:c>
      <x:c r="I71" s="34" t="str">
        <x:v>@Yiyun Wang</x:v>
      </x:c>
      <x:c r="J71" s="34" t="str">
        <x:v>点击Geometry，应用ClayPolish滤镜，降低对比度</x:v>
      </x:c>
      <x:c r="K71" s="29" t="str"/>
      <x:c r="L71" s="29" t="str"/>
      <x:c r="M71" s="23" t="str"/>
      <x:c r="N71" s="23" t="str"/>
      <x:c r="O71" s="23" t="str"/>
      <x:c r="P71" s="23" t="str"/>
      <x:c r="Q71" s="23" t="str"/>
      <x:c r="R71" s="23" t="str"/>
      <x:c r="S71" s="30" t="str"/>
      <x:c r="T71" s="23" t="str"/>
      <x:c r="U71" s="23" t="str">
        <x:v>Uncoded</x:v>
      </x:c>
      <x:c r="V71" s="23" t="str"/>
      <x:c r="W71" s="23" t="str"/>
      <x:c r="X71" s="23" t="str">
        <x:f>IF(AND(M71="",O71="",P71="",Q71="",R71="",S71="",T71="",V71=""),"UNCODED",IF(AND(M71&lt;&gt;"",O71&lt;&gt;"",P71&lt;&gt;"",Q71&lt;&gt;"",R71&lt;&gt;"",ISNUMBER(S71),S71&gt;=0,S71&lt;=1,T71&lt;&gt;"",U71&lt;&gt;"Uncoded",V71&lt;&gt;""),"TAXONOMY_READY","REVIEW"))</x:f>
        <x:v>UNCODED</x:v>
      </x:c>
      <x:c r="Y71" s="23" t="str">
        <x:f>IF(X71&lt;&gt;"TAXONOMY_READY","NOT_READY",IF(AND(ISNUMBER(K71),ISNUMBER(L71),L71&gt;K71,U71="Adjudicated"),"CASE_READY","NEEDS_TIME_OR_ADJUDICATION"))</x:f>
        <x:v>NOT_READY</x:v>
      </x:c>
    </x:row>
    <x:row r="72" ht="44" customHeight="1">
      <x:c r="A72" s="33" t="str">
        <x:v>B068</x:v>
      </x:c>
      <x:c r="B72" s="33" t="str">
        <x:v>T13</x:v>
      </x:c>
      <x:c r="C72" s="33" t="n">
        <x:v>1</x:v>
      </x:c>
      <x:c r="D72" s="34" t="str">
        <x:v>【ZBrush褶皱技巧】一次性解决你90%的衣服制作问题 / ZBrush衣服/服装雕刻</x:v>
      </x:c>
      <x:c r="E72" s="34" t="str">
        <x:v>http://www.bilibili.com/video/av1704431804</x:v>
      </x:c>
      <x:c r="F72" s="34" t="str">
        <x:v>Bilibili / 中文</x:v>
      </x:c>
      <x:c r="G72" s="34" t="str">
        <x:v>ZBrush</x:v>
      </x:c>
      <x:c r="H72" s="34" t="str">
        <x:v>角色局部</x:v>
      </x:c>
      <x:c r="I72" s="34" t="str">
        <x:v>@Yiyun Wang</x:v>
      </x:c>
      <x:c r="J72" s="34" t="str">
        <x:v>西装，一定厚实的感觉，起伏不大，有想法后开始，做整体大型，再细化，大造型做好后升级细分，再稍微弱化</x:v>
      </x:c>
      <x:c r="K72" s="29" t="str"/>
      <x:c r="L72" s="29" t="str"/>
      <x:c r="M72" s="23" t="str"/>
      <x:c r="N72" s="23" t="str"/>
      <x:c r="O72" s="23" t="str"/>
      <x:c r="P72" s="23" t="str"/>
      <x:c r="Q72" s="23" t="str"/>
      <x:c r="R72" s="23" t="str"/>
      <x:c r="S72" s="30" t="str"/>
      <x:c r="T72" s="23" t="str"/>
      <x:c r="U72" s="23" t="str">
        <x:v>Uncoded</x:v>
      </x:c>
      <x:c r="V72" s="23" t="str"/>
      <x:c r="W72" s="23" t="str"/>
      <x:c r="X72" s="23" t="str">
        <x:f>IF(AND(M72="",O72="",P72="",Q72="",R72="",S72="",T72="",V72=""),"UNCODED",IF(AND(M72&lt;&gt;"",O72&lt;&gt;"",P72&lt;&gt;"",Q72&lt;&gt;"",R72&lt;&gt;"",ISNUMBER(S72),S72&gt;=0,S72&lt;=1,T72&lt;&gt;"",U72&lt;&gt;"Uncoded",V72&lt;&gt;""),"TAXONOMY_READY","REVIEW"))</x:f>
        <x:v>UNCODED</x:v>
      </x:c>
      <x:c r="Y72" s="23" t="str">
        <x:f>IF(X72&lt;&gt;"TAXONOMY_READY","NOT_READY",IF(AND(ISNUMBER(K72),ISNUMBER(L72),L72&gt;K72,U72="Adjudicated"),"CASE_READY","NEEDS_TIME_OR_ADJUDICATION"))</x:f>
        <x:v>NOT_READY</x:v>
      </x:c>
    </x:row>
    <x:row r="73" ht="44" customHeight="1">
      <x:c r="A73" s="33" t="str">
        <x:v>B069</x:v>
      </x:c>
      <x:c r="B73" s="33" t="str">
        <x:v>T13</x:v>
      </x:c>
      <x:c r="C73" s="33" t="n">
        <x:v>2</x:v>
      </x:c>
      <x:c r="D73" s="34" t="str">
        <x:v>【ZBrush褶皱技巧】一次性解决你90%的衣服制作问题 / ZBrush衣服/服装雕刻</x:v>
      </x:c>
      <x:c r="E73" s="34" t="str">
        <x:v>http://www.bilibili.com/video/av1704431804</x:v>
      </x:c>
      <x:c r="F73" s="34" t="str">
        <x:v>Bilibili / 中文</x:v>
      </x:c>
      <x:c r="G73" s="34" t="str">
        <x:v>ZBrush</x:v>
      </x:c>
      <x:c r="H73" s="34" t="str">
        <x:v>角色局部</x:v>
      </x:c>
      <x:c r="I73" s="34" t="str">
        <x:v>@Yiyun Wang</x:v>
      </x:c>
      <x:c r="J73" s="34" t="str">
        <x:v>使用刻线笔刷(更小一点的）继续细化</x:v>
      </x:c>
      <x:c r="K73" s="29" t="str"/>
      <x:c r="L73" s="29" t="str"/>
      <x:c r="M73" s="23" t="str"/>
      <x:c r="N73" s="23" t="str"/>
      <x:c r="O73" s="23" t="str"/>
      <x:c r="P73" s="23" t="str"/>
      <x:c r="Q73" s="23" t="str"/>
      <x:c r="R73" s="23" t="str"/>
      <x:c r="S73" s="30" t="str"/>
      <x:c r="T73" s="23" t="str"/>
      <x:c r="U73" s="23" t="str">
        <x:v>Uncoded</x:v>
      </x:c>
      <x:c r="V73" s="23" t="str"/>
      <x:c r="W73" s="23" t="str"/>
      <x:c r="X73" s="23" t="str">
        <x:f>IF(AND(M73="",O73="",P73="",Q73="",R73="",S73="",T73="",V73=""),"UNCODED",IF(AND(M73&lt;&gt;"",O73&lt;&gt;"",P73&lt;&gt;"",Q73&lt;&gt;"",R73&lt;&gt;"",ISNUMBER(S73),S73&gt;=0,S73&lt;=1,T73&lt;&gt;"",U73&lt;&gt;"Uncoded",V73&lt;&gt;""),"TAXONOMY_READY","REVIEW"))</x:f>
        <x:v>UNCODED</x:v>
      </x:c>
      <x:c r="Y73" s="23" t="str">
        <x:f>IF(X73&lt;&gt;"TAXONOMY_READY","NOT_READY",IF(AND(ISNUMBER(K73),ISNUMBER(L73),L73&gt;K73,U73="Adjudicated"),"CASE_READY","NEEDS_TIME_OR_ADJUDICATION"))</x:f>
        <x:v>NOT_READY</x:v>
      </x:c>
    </x:row>
    <x:row r="74" ht="44" customHeight="1">
      <x:c r="A74" s="33" t="str">
        <x:v>B070</x:v>
      </x:c>
      <x:c r="B74" s="33" t="str">
        <x:v>T13</x:v>
      </x:c>
      <x:c r="C74" s="33" t="n">
        <x:v>3</x:v>
      </x:c>
      <x:c r="D74" s="34" t="str">
        <x:v>【ZBrush褶皱技巧】一次性解决你90%的衣服制作问题 / ZBrush衣服/服装雕刻</x:v>
      </x:c>
      <x:c r="E74" s="34" t="str">
        <x:v>http://www.bilibili.com/video/av1704431804</x:v>
      </x:c>
      <x:c r="F74" s="34" t="str">
        <x:v>Bilibili / 中文</x:v>
      </x:c>
      <x:c r="G74" s="34" t="str">
        <x:v>ZBrush</x:v>
      </x:c>
      <x:c r="H74" s="34" t="str">
        <x:v>角色局部</x:v>
      </x:c>
      <x:c r="I74" s="34" t="str">
        <x:v>@Yiyun Wang</x:v>
      </x:c>
      <x:c r="J74" s="34" t="str">
        <x:v>不同种类的褶皱笔刷</x:v>
      </x:c>
      <x:c r="K74" s="29" t="str"/>
      <x:c r="L74" s="29" t="str"/>
      <x:c r="M74" s="23" t="str"/>
      <x:c r="N74" s="23" t="str"/>
      <x:c r="O74" s="23" t="str"/>
      <x:c r="P74" s="23" t="str"/>
      <x:c r="Q74" s="23" t="str"/>
      <x:c r="R74" s="23" t="str"/>
      <x:c r="S74" s="30" t="str"/>
      <x:c r="T74" s="23" t="str"/>
      <x:c r="U74" s="23" t="str">
        <x:v>Uncoded</x:v>
      </x:c>
      <x:c r="V74" s="23" t="str"/>
      <x:c r="W74" s="23" t="str"/>
      <x:c r="X74" s="23" t="str">
        <x:f>IF(AND(M74="",O74="",P74="",Q74="",R74="",S74="",T74="",V74=""),"UNCODED",IF(AND(M74&lt;&gt;"",O74&lt;&gt;"",P74&lt;&gt;"",Q74&lt;&gt;"",R74&lt;&gt;"",ISNUMBER(S74),S74&gt;=0,S74&lt;=1,T74&lt;&gt;"",U74&lt;&gt;"Uncoded",V74&lt;&gt;""),"TAXONOMY_READY","REVIEW"))</x:f>
        <x:v>UNCODED</x:v>
      </x:c>
      <x:c r="Y74" s="23" t="str">
        <x:f>IF(X74&lt;&gt;"TAXONOMY_READY","NOT_READY",IF(AND(ISNUMBER(K74),ISNUMBER(L74),L74&gt;K74,U74="Adjudicated"),"CASE_READY","NEEDS_TIME_OR_ADJUDICATION"))</x:f>
        <x:v>NOT_READY</x:v>
      </x:c>
    </x:row>
    <x:row r="75" ht="44" customHeight="1">
      <x:c r="A75" s="33" t="str">
        <x:v>B071</x:v>
      </x:c>
      <x:c r="B75" s="33" t="str">
        <x:v>T13</x:v>
      </x:c>
      <x:c r="C75" s="33" t="n">
        <x:v>4</x:v>
      </x:c>
      <x:c r="D75" s="34" t="str">
        <x:v>【ZBrush褶皱技巧】一次性解决你90%的衣服制作问题 / ZBrush衣服/服装雕刻</x:v>
      </x:c>
      <x:c r="E75" s="34" t="str">
        <x:v>http://www.bilibili.com/video/av1704431804</x:v>
      </x:c>
      <x:c r="F75" s="34" t="str">
        <x:v>Bilibili / 中文</x:v>
      </x:c>
      <x:c r="G75" s="34" t="str">
        <x:v>ZBrush</x:v>
      </x:c>
      <x:c r="H75" s="34" t="str">
        <x:v>角色局部</x:v>
      </x:c>
      <x:c r="I75" s="34" t="str">
        <x:v>@Yiyun Wang</x:v>
      </x:c>
      <x:c r="J75" s="34" t="str">
        <x:v>使用Marvelous designer，布料解算，套到模特身上模拟褶皱</x:v>
      </x:c>
      <x:c r="K75" s="29" t="str"/>
      <x:c r="L75" s="29" t="str"/>
      <x:c r="M75" s="23" t="str"/>
      <x:c r="N75" s="23" t="str"/>
      <x:c r="O75" s="23" t="str"/>
      <x:c r="P75" s="23" t="str"/>
      <x:c r="Q75" s="23" t="str"/>
      <x:c r="R75" s="23" t="str"/>
      <x:c r="S75" s="30" t="str"/>
      <x:c r="T75" s="23" t="str"/>
      <x:c r="U75" s="23" t="str">
        <x:v>Uncoded</x:v>
      </x:c>
      <x:c r="V75" s="23" t="str"/>
      <x:c r="W75" s="23" t="str"/>
      <x:c r="X75" s="23" t="str">
        <x:f>IF(AND(M75="",O75="",P75="",Q75="",R75="",S75="",T75="",V75=""),"UNCODED",IF(AND(M75&lt;&gt;"",O75&lt;&gt;"",P75&lt;&gt;"",Q75&lt;&gt;"",R75&lt;&gt;"",ISNUMBER(S75),S75&gt;=0,S75&lt;=1,T75&lt;&gt;"",U75&lt;&gt;"Uncoded",V75&lt;&gt;""),"TAXONOMY_READY","REVIEW"))</x:f>
        <x:v>UNCODED</x:v>
      </x:c>
      <x:c r="Y75" s="23" t="str">
        <x:f>IF(X75&lt;&gt;"TAXONOMY_READY","NOT_READY",IF(AND(ISNUMBER(K75),ISNUMBER(L75),L75&gt;K75,U75="Adjudicated"),"CASE_READY","NEEDS_TIME_OR_ADJUDICATION"))</x:f>
        <x:v>NOT_READY</x:v>
      </x:c>
    </x:row>
    <x:row r="76" ht="44" customHeight="1">
      <x:c r="A76" s="33" t="str">
        <x:v>B072</x:v>
      </x:c>
      <x:c r="B76" s="33" t="str">
        <x:v>T13</x:v>
      </x:c>
      <x:c r="C76" s="33" t="n">
        <x:v>5</x:v>
      </x:c>
      <x:c r="D76" s="34" t="str">
        <x:v>【ZBrush褶皱技巧】一次性解决你90%的衣服制作问题 / ZBrush衣服/服装雕刻</x:v>
      </x:c>
      <x:c r="E76" s="34" t="str">
        <x:v>http://www.bilibili.com/video/av1704431804</x:v>
      </x:c>
      <x:c r="F76" s="34" t="str">
        <x:v>Bilibili / 中文</x:v>
      </x:c>
      <x:c r="G76" s="34" t="str">
        <x:v>ZBrush</x:v>
      </x:c>
      <x:c r="H76" s="34" t="str">
        <x:v>角色局部</x:v>
      </x:c>
      <x:c r="I76" s="34" t="str">
        <x:v>@Yiyun Wang</x:v>
      </x:c>
      <x:c r="J76" s="34" t="str">
        <x:v>套简单的板片，空格，进行解算</x:v>
      </x:c>
      <x:c r="K76" s="29" t="str"/>
      <x:c r="L76" s="29" t="str"/>
      <x:c r="M76" s="23" t="str"/>
      <x:c r="N76" s="23" t="str"/>
      <x:c r="O76" s="23" t="str"/>
      <x:c r="P76" s="23" t="str"/>
      <x:c r="Q76" s="23" t="str"/>
      <x:c r="R76" s="23" t="str"/>
      <x:c r="S76" s="30" t="str"/>
      <x:c r="T76" s="23" t="str"/>
      <x:c r="U76" s="23" t="str">
        <x:v>Uncoded</x:v>
      </x:c>
      <x:c r="V76" s="23" t="str"/>
      <x:c r="W76" s="23" t="str"/>
      <x:c r="X76" s="23" t="str">
        <x:f>IF(AND(M76="",O76="",P76="",Q76="",R76="",S76="",T76="",V76=""),"UNCODED",IF(AND(M76&lt;&gt;"",O76&lt;&gt;"",P76&lt;&gt;"",Q76&lt;&gt;"",R76&lt;&gt;"",ISNUMBER(S76),S76&gt;=0,S76&lt;=1,T76&lt;&gt;"",U76&lt;&gt;"Uncoded",V76&lt;&gt;""),"TAXONOMY_READY","REVIEW"))</x:f>
        <x:v>UNCODED</x:v>
      </x:c>
      <x:c r="Y76" s="23" t="str">
        <x:f>IF(X76&lt;&gt;"TAXONOMY_READY","NOT_READY",IF(AND(ISNUMBER(K76),ISNUMBER(L76),L76&gt;K76,U76="Adjudicated"),"CASE_READY","NEEDS_TIME_OR_ADJUDICATION"))</x:f>
        <x:v>NOT_READY</x:v>
      </x:c>
    </x:row>
    <x:row r="77" ht="44" customHeight="1">
      <x:c r="A77" s="33" t="str">
        <x:v>B073</x:v>
      </x:c>
      <x:c r="B77" s="33" t="str">
        <x:v>T13</x:v>
      </x:c>
      <x:c r="C77" s="33" t="n">
        <x:v>6</x:v>
      </x:c>
      <x:c r="D77" s="34" t="str">
        <x:v>【ZBrush褶皱技巧】一次性解决你90%的衣服制作问题 / ZBrush衣服/服装雕刻</x:v>
      </x:c>
      <x:c r="E77" s="34" t="str">
        <x:v>http://www.bilibili.com/video/av1704431804</x:v>
      </x:c>
      <x:c r="F77" s="34" t="str">
        <x:v>Bilibili / 中文</x:v>
      </x:c>
      <x:c r="G77" s="34" t="str">
        <x:v>ZBrush</x:v>
      </x:c>
      <x:c r="H77" s="34" t="str">
        <x:v>角色局部</x:v>
      </x:c>
      <x:c r="I77" s="34" t="str">
        <x:v>@Yiyun Wang</x:v>
      </x:c>
      <x:c r="J77" s="34" t="str">
        <x:v>觉得合适，导出obj，再进入zbrush</x:v>
      </x:c>
      <x:c r="K77" s="29" t="str"/>
      <x:c r="L77" s="29" t="str"/>
      <x:c r="M77" s="23" t="str"/>
      <x:c r="N77" s="23" t="str"/>
      <x:c r="O77" s="23" t="str"/>
      <x:c r="P77" s="23" t="str"/>
      <x:c r="Q77" s="23" t="str"/>
      <x:c r="R77" s="23" t="str"/>
      <x:c r="S77" s="30" t="str"/>
      <x:c r="T77" s="23" t="str"/>
      <x:c r="U77" s="23" t="str">
        <x:v>Uncoded</x:v>
      </x:c>
      <x:c r="V77" s="23" t="str"/>
      <x:c r="W77" s="23" t="str"/>
      <x:c r="X77" s="23" t="str">
        <x:f>IF(AND(M77="",O77="",P77="",Q77="",R77="",S77="",T77="",V77=""),"UNCODED",IF(AND(M77&lt;&gt;"",O77&lt;&gt;"",P77&lt;&gt;"",Q77&lt;&gt;"",R77&lt;&gt;"",ISNUMBER(S77),S77&gt;=0,S77&lt;=1,T77&lt;&gt;"",U77&lt;&gt;"Uncoded",V77&lt;&gt;""),"TAXONOMY_READY","REVIEW"))</x:f>
        <x:v>UNCODED</x:v>
      </x:c>
      <x:c r="Y77" s="23" t="str">
        <x:f>IF(X77&lt;&gt;"TAXONOMY_READY","NOT_READY",IF(AND(ISNUMBER(K77),ISNUMBER(L77),L77&gt;K77,U77="Adjudicated"),"CASE_READY","NEEDS_TIME_OR_ADJUDICATION"))</x:f>
        <x:v>NOT_READY</x:v>
      </x:c>
    </x:row>
    <x:row r="78" ht="44" customHeight="1">
      <x:c r="A78" s="33" t="str">
        <x:v>B074</x:v>
      </x:c>
      <x:c r="B78" s="33" t="str">
        <x:v>T14</x:v>
      </x:c>
      <x:c r="C78" s="33" t="n">
        <x:v>1</x:v>
      </x:c>
      <x:c r="D78" s="34" t="str">
        <x:v>Nomad Sculpt 风格化角色雕刻教程</x:v>
      </x:c>
      <x:c r="E78" s="34" t="str">
        <x:v>https://www.youtube.com/watch?v=G_IHhCIOgfg</x:v>
      </x:c>
      <x:c r="F78" s="34" t="str">
        <x:v>YouTube / 英语</x:v>
      </x:c>
      <x:c r="G78" s="34" t="str">
        <x:v>Nomad Sculpt</x:v>
      </x:c>
      <x:c r="H78" s="34" t="str">
        <x:v>完整角色</x:v>
      </x:c>
      <x:c r="I78" s="34" t="str">
        <x:v>@Yiyun Wang</x:v>
      </x:c>
      <x:c r="J78" s="34" t="str">
        <x:v>放置体积，拖拽</x:v>
      </x:c>
      <x:c r="K78" s="29" t="str"/>
      <x:c r="L78" s="29" t="str"/>
      <x:c r="M78" s="23" t="str"/>
      <x:c r="N78" s="23" t="str"/>
      <x:c r="O78" s="23" t="str"/>
      <x:c r="P78" s="23" t="str"/>
      <x:c r="Q78" s="23" t="str"/>
      <x:c r="R78" s="23" t="str"/>
      <x:c r="S78" s="30" t="str"/>
      <x:c r="T78" s="23" t="str"/>
      <x:c r="U78" s="23" t="str">
        <x:v>Uncoded</x:v>
      </x:c>
      <x:c r="V78" s="23" t="str"/>
      <x:c r="W78" s="23" t="str"/>
      <x:c r="X78" s="23" t="str">
        <x:f>IF(AND(M78="",O78="",P78="",Q78="",R78="",S78="",T78="",V78=""),"UNCODED",IF(AND(M78&lt;&gt;"",O78&lt;&gt;"",P78&lt;&gt;"",Q78&lt;&gt;"",R78&lt;&gt;"",ISNUMBER(S78),S78&gt;=0,S78&lt;=1,T78&lt;&gt;"",U78&lt;&gt;"Uncoded",V78&lt;&gt;""),"TAXONOMY_READY","REVIEW"))</x:f>
        <x:v>UNCODED</x:v>
      </x:c>
      <x:c r="Y78" s="23" t="str">
        <x:f>IF(X78&lt;&gt;"TAXONOMY_READY","NOT_READY",IF(AND(ISNUMBER(K78),ISNUMBER(L78),L78&gt;K78,U78="Adjudicated"),"CASE_READY","NEEDS_TIME_OR_ADJUDICATION"))</x:f>
        <x:v>NOT_READY</x:v>
      </x:c>
    </x:row>
    <x:row r="79" ht="44" customHeight="1">
      <x:c r="A79" s="33" t="str">
        <x:v>B075</x:v>
      </x:c>
      <x:c r="B79" s="33" t="str">
        <x:v>T14</x:v>
      </x:c>
      <x:c r="C79" s="33" t="n">
        <x:v>2</x:v>
      </x:c>
      <x:c r="D79" s="34" t="str">
        <x:v>Nomad Sculpt 风格化角色雕刻教程</x:v>
      </x:c>
      <x:c r="E79" s="34" t="str">
        <x:v>https://www.youtube.com/watch?v=G_IHhCIOgfg</x:v>
      </x:c>
      <x:c r="F79" s="34" t="str">
        <x:v>YouTube / 英语</x:v>
      </x:c>
      <x:c r="G79" s="34" t="str">
        <x:v>Nomad Sculpt</x:v>
      </x:c>
      <x:c r="H79" s="34" t="str">
        <x:v>完整角色</x:v>
      </x:c>
      <x:c r="I79" s="34" t="str">
        <x:v>@Yiyun Wang</x:v>
      </x:c>
      <x:c r="J79" s="34" t="str">
        <x:v>挤压出下巴，耳朵，制作眼睛，鼻子的褶皱</x:v>
      </x:c>
      <x:c r="K79" s="29" t="str"/>
      <x:c r="L79" s="29" t="str"/>
      <x:c r="M79" s="23" t="str"/>
      <x:c r="N79" s="23" t="str"/>
      <x:c r="O79" s="23" t="str"/>
      <x:c r="P79" s="23" t="str"/>
      <x:c r="Q79" s="23" t="str"/>
      <x:c r="R79" s="23" t="str"/>
      <x:c r="S79" s="30" t="str"/>
      <x:c r="T79" s="23" t="str"/>
      <x:c r="U79" s="23" t="str">
        <x:v>Uncoded</x:v>
      </x:c>
      <x:c r="V79" s="23" t="str"/>
      <x:c r="W79" s="23" t="str"/>
      <x:c r="X79" s="23" t="str">
        <x:f>IF(AND(M79="",O79="",P79="",Q79="",R79="",S79="",T79="",V79=""),"UNCODED",IF(AND(M79&lt;&gt;"",O79&lt;&gt;"",P79&lt;&gt;"",Q79&lt;&gt;"",R79&lt;&gt;"",ISNUMBER(S79),S79&gt;=0,S79&lt;=1,T79&lt;&gt;"",U79&lt;&gt;"Uncoded",V79&lt;&gt;""),"TAXONOMY_READY","REVIEW"))</x:f>
        <x:v>UNCODED</x:v>
      </x:c>
      <x:c r="Y79" s="23" t="str">
        <x:f>IF(X79&lt;&gt;"TAXONOMY_READY","NOT_READY",IF(AND(ISNUMBER(K79),ISNUMBER(L79),L79&gt;K79,U79="Adjudicated"),"CASE_READY","NEEDS_TIME_OR_ADJUDICATION"))</x:f>
        <x:v>NOT_READY</x:v>
      </x:c>
    </x:row>
    <x:row r="80" ht="44" customHeight="1">
      <x:c r="A80" s="33" t="str">
        <x:v>B076</x:v>
      </x:c>
      <x:c r="B80" s="33" t="str">
        <x:v>T14</x:v>
      </x:c>
      <x:c r="C80" s="33" t="n">
        <x:v>3</x:v>
      </x:c>
      <x:c r="D80" s="34" t="str">
        <x:v>Nomad Sculpt 风格化角色雕刻教程</x:v>
      </x:c>
      <x:c r="E80" s="34" t="str">
        <x:v>https://www.youtube.com/watch?v=G_IHhCIOgfg</x:v>
      </x:c>
      <x:c r="F80" s="34" t="str">
        <x:v>YouTube / 英语</x:v>
      </x:c>
      <x:c r="G80" s="34" t="str">
        <x:v>Nomad Sculpt</x:v>
      </x:c>
      <x:c r="H80" s="34" t="str">
        <x:v>完整角色</x:v>
      </x:c>
      <x:c r="I80" s="34" t="str">
        <x:v>@Yiyun Wang</x:v>
      </x:c>
      <x:c r="J80" s="34" t="str">
        <x:v>制作眼部凹槽，添加鼻子球体，制作耳朵凹槽,放置眼部球体</x:v>
      </x:c>
      <x:c r="K80" s="29" t="str"/>
      <x:c r="L80" s="29" t="str"/>
      <x:c r="M80" s="23" t="str"/>
      <x:c r="N80" s="23" t="str"/>
      <x:c r="O80" s="23" t="str"/>
      <x:c r="P80" s="23" t="str"/>
      <x:c r="Q80" s="23" t="str"/>
      <x:c r="R80" s="23" t="str"/>
      <x:c r="S80" s="30" t="str"/>
      <x:c r="T80" s="23" t="str"/>
      <x:c r="U80" s="23" t="str">
        <x:v>Uncoded</x:v>
      </x:c>
      <x:c r="V80" s="23" t="str"/>
      <x:c r="W80" s="23" t="str"/>
      <x:c r="X80" s="23" t="str">
        <x:f>IF(AND(M80="",O80="",P80="",Q80="",R80="",S80="",T80="",V80=""),"UNCODED",IF(AND(M80&lt;&gt;"",O80&lt;&gt;"",P80&lt;&gt;"",Q80&lt;&gt;"",R80&lt;&gt;"",ISNUMBER(S80),S80&gt;=0,S80&lt;=1,T80&lt;&gt;"",U80&lt;&gt;"Uncoded",V80&lt;&gt;""),"TAXONOMY_READY","REVIEW"))</x:f>
        <x:v>UNCODED</x:v>
      </x:c>
      <x:c r="Y80" s="23" t="str">
        <x:f>IF(X80&lt;&gt;"TAXONOMY_READY","NOT_READY",IF(AND(ISNUMBER(K80),ISNUMBER(L80),L80&gt;K80,U80="Adjudicated"),"CASE_READY","NEEDS_TIME_OR_ADJUDICATION"))</x:f>
        <x:v>NOT_READY</x:v>
      </x:c>
    </x:row>
    <x:row r="81" ht="44" customHeight="1">
      <x:c r="A81" s="33" t="str">
        <x:v>B077</x:v>
      </x:c>
      <x:c r="B81" s="33" t="str">
        <x:v>T14</x:v>
      </x:c>
      <x:c r="C81" s="33" t="n">
        <x:v>4</x:v>
      </x:c>
      <x:c r="D81" s="34" t="str">
        <x:v>Nomad Sculpt 风格化角色雕刻教程</x:v>
      </x:c>
      <x:c r="E81" s="34" t="str">
        <x:v>https://www.youtube.com/watch?v=G_IHhCIOgfg</x:v>
      </x:c>
      <x:c r="F81" s="34" t="str">
        <x:v>YouTube / 英语</x:v>
      </x:c>
      <x:c r="G81" s="34" t="str">
        <x:v>Nomad Sculpt</x:v>
      </x:c>
      <x:c r="H81" s="34" t="str">
        <x:v>完整角色</x:v>
      </x:c>
      <x:c r="I81" s="34" t="str">
        <x:v>@Yiyun Wang</x:v>
      </x:c>
      <x:c r="J81" s="34" t="str">
        <x:v>画线，remesh 4000 target quads,unwrap，subdivide，project form higher</x:v>
      </x:c>
      <x:c r="K81" s="29" t="str"/>
      <x:c r="L81" s="29" t="str"/>
      <x:c r="M81" s="23" t="str"/>
      <x:c r="N81" s="23" t="str"/>
      <x:c r="O81" s="23" t="str"/>
      <x:c r="P81" s="23" t="str"/>
      <x:c r="Q81" s="23" t="str"/>
      <x:c r="R81" s="23" t="str"/>
      <x:c r="S81" s="30" t="str"/>
      <x:c r="T81" s="23" t="str"/>
      <x:c r="U81" s="23" t="str">
        <x:v>Uncoded</x:v>
      </x:c>
      <x:c r="V81" s="23" t="str"/>
      <x:c r="W81" s="23" t="str"/>
      <x:c r="X81" s="23" t="str">
        <x:f>IF(AND(M81="",O81="",P81="",Q81="",R81="",S81="",T81="",V81=""),"UNCODED",IF(AND(M81&lt;&gt;"",O81&lt;&gt;"",P81&lt;&gt;"",Q81&lt;&gt;"",R81&lt;&gt;"",ISNUMBER(S81),S81&gt;=0,S81&lt;=1,T81&lt;&gt;"",U81&lt;&gt;"Uncoded",V81&lt;&gt;""),"TAXONOMY_READY","REVIEW"))</x:f>
        <x:v>UNCODED</x:v>
      </x:c>
      <x:c r="Y81" s="23" t="str">
        <x:f>IF(X81&lt;&gt;"TAXONOMY_READY","NOT_READY",IF(AND(ISNUMBER(K81),ISNUMBER(L81),L81&gt;K81,U81="Adjudicated"),"CASE_READY","NEEDS_TIME_OR_ADJUDICATION"))</x:f>
        <x:v>NOT_READY</x:v>
      </x:c>
    </x:row>
    <x:row r="82" ht="44" customHeight="1">
      <x:c r="A82" s="33" t="str">
        <x:v>B078</x:v>
      </x:c>
      <x:c r="B82" s="33" t="str">
        <x:v>T14</x:v>
      </x:c>
      <x:c r="C82" s="33" t="n">
        <x:v>5</x:v>
      </x:c>
      <x:c r="D82" s="34" t="str">
        <x:v>Nomad Sculpt 风格化角色雕刻教程</x:v>
      </x:c>
      <x:c r="E82" s="34" t="str">
        <x:v>https://www.youtube.com/watch?v=G_IHhCIOgfg</x:v>
      </x:c>
      <x:c r="F82" s="34" t="str">
        <x:v>YouTube / 英语</x:v>
      </x:c>
      <x:c r="G82" s="34" t="str">
        <x:v>Nomad Sculpt</x:v>
      </x:c>
      <x:c r="H82" s="34" t="str">
        <x:v>完整角色</x:v>
      </x:c>
      <x:c r="I82" s="34" t="str">
        <x:v>@Yiyun Wang</x:v>
      </x:c>
      <x:c r="J82" s="34" t="str">
        <x:v>制作眼线，眉毛，调整眼线profile B-spline</x:v>
      </x:c>
      <x:c r="K82" s="29" t="str"/>
      <x:c r="L82" s="29" t="str"/>
      <x:c r="M82" s="23" t="str"/>
      <x:c r="N82" s="23" t="str"/>
      <x:c r="O82" s="23" t="str"/>
      <x:c r="P82" s="23" t="str"/>
      <x:c r="Q82" s="23" t="str"/>
      <x:c r="R82" s="23" t="str"/>
      <x:c r="S82" s="30" t="str"/>
      <x:c r="T82" s="23" t="str"/>
      <x:c r="U82" s="23" t="str">
        <x:v>Uncoded</x:v>
      </x:c>
      <x:c r="V82" s="23" t="str"/>
      <x:c r="W82" s="23" t="str"/>
      <x:c r="X82" s="23" t="str">
        <x:f>IF(AND(M82="",O82="",P82="",Q82="",R82="",S82="",T82="",V82=""),"UNCODED",IF(AND(M82&lt;&gt;"",O82&lt;&gt;"",P82&lt;&gt;"",Q82&lt;&gt;"",R82&lt;&gt;"",ISNUMBER(S82),S82&gt;=0,S82&lt;=1,T82&lt;&gt;"",U82&lt;&gt;"Uncoded",V82&lt;&gt;""),"TAXONOMY_READY","REVIEW"))</x:f>
        <x:v>UNCODED</x:v>
      </x:c>
      <x:c r="Y82" s="23" t="str">
        <x:f>IF(X82&lt;&gt;"TAXONOMY_READY","NOT_READY",IF(AND(ISNUMBER(K82),ISNUMBER(L82),L82&gt;K82,U82="Adjudicated"),"CASE_READY","NEEDS_TIME_OR_ADJUDICATION"))</x:f>
        <x:v>NOT_READY</x:v>
      </x:c>
    </x:row>
    <x:row r="83" ht="44" customHeight="1">
      <x:c r="A83" s="33" t="str">
        <x:v>B079</x:v>
      </x:c>
      <x:c r="B83" s="33" t="str">
        <x:v>T14</x:v>
      </x:c>
      <x:c r="C83" s="33" t="n">
        <x:v>6</x:v>
      </x:c>
      <x:c r="D83" s="34" t="str">
        <x:v>Nomad Sculpt 风格化角色雕刻教程</x:v>
      </x:c>
      <x:c r="E83" s="34" t="str">
        <x:v>https://www.youtube.com/watch?v=G_IHhCIOgfg</x:v>
      </x:c>
      <x:c r="F83" s="34" t="str">
        <x:v>YouTube / 英语</x:v>
      </x:c>
      <x:c r="G83" s="34" t="str">
        <x:v>Nomad Sculpt</x:v>
      </x:c>
      <x:c r="H83" s="34" t="str">
        <x:v>完整角色</x:v>
      </x:c>
      <x:c r="I83" s="34" t="str">
        <x:v>@Yiyun Wang</x:v>
      </x:c>
      <x:c r="J83" s="34" t="str">
        <x:v>制作眼部凹陷</x:v>
      </x:c>
      <x:c r="K83" s="29" t="str"/>
      <x:c r="L83" s="29" t="str"/>
      <x:c r="M83" s="23" t="str"/>
      <x:c r="N83" s="23" t="str"/>
      <x:c r="O83" s="23" t="str"/>
      <x:c r="P83" s="23" t="str"/>
      <x:c r="Q83" s="23" t="str"/>
      <x:c r="R83" s="23" t="str"/>
      <x:c r="S83" s="30" t="str"/>
      <x:c r="T83" s="23" t="str"/>
      <x:c r="U83" s="23" t="str">
        <x:v>Uncoded</x:v>
      </x:c>
      <x:c r="V83" s="23" t="str"/>
      <x:c r="W83" s="23" t="str"/>
      <x:c r="X83" s="23" t="str">
        <x:f>IF(AND(M83="",O83="",P83="",Q83="",R83="",S83="",T83="",V83=""),"UNCODED",IF(AND(M83&lt;&gt;"",O83&lt;&gt;"",P83&lt;&gt;"",Q83&lt;&gt;"",R83&lt;&gt;"",ISNUMBER(S83),S83&gt;=0,S83&lt;=1,T83&lt;&gt;"",U83&lt;&gt;"Uncoded",V83&lt;&gt;""),"TAXONOMY_READY","REVIEW"))</x:f>
        <x:v>UNCODED</x:v>
      </x:c>
      <x:c r="Y83" s="23" t="str">
        <x:f>IF(X83&lt;&gt;"TAXONOMY_READY","NOT_READY",IF(AND(ISNUMBER(K83),ISNUMBER(L83),L83&gt;K83,U83="Adjudicated"),"CASE_READY","NEEDS_TIME_OR_ADJUDICATION"))</x:f>
        <x:v>NOT_READY</x:v>
      </x:c>
    </x:row>
    <x:row r="84" ht="44" customHeight="1">
      <x:c r="A84" s="33" t="str">
        <x:v>B080</x:v>
      </x:c>
      <x:c r="B84" s="33" t="str">
        <x:v>T14</x:v>
      </x:c>
      <x:c r="C84" s="33" t="n">
        <x:v>7</x:v>
      </x:c>
      <x:c r="D84" s="34" t="str">
        <x:v>Nomad Sculpt 风格化角色雕刻教程</x:v>
      </x:c>
      <x:c r="E84" s="34" t="str">
        <x:v>https://www.youtube.com/watch?v=G_IHhCIOgfg</x:v>
      </x:c>
      <x:c r="F84" s="34" t="str">
        <x:v>YouTube / 英语</x:v>
      </x:c>
      <x:c r="G84" s="34" t="str">
        <x:v>Nomad Sculpt</x:v>
      </x:c>
      <x:c r="H84" s="34" t="str">
        <x:v>完整角色</x:v>
      </x:c>
      <x:c r="I84" s="34" t="str">
        <x:v>@Yiyun Wang</x:v>
      </x:c>
      <x:c r="J84" s="34" t="str">
        <x:v>使用tube里profile B-spline，添加刘海的纹路，使它贴合脑门</x:v>
      </x:c>
      <x:c r="K84" s="29" t="str"/>
      <x:c r="L84" s="29" t="str"/>
      <x:c r="M84" s="23" t="str"/>
      <x:c r="N84" s="23" t="str"/>
      <x:c r="O84" s="23" t="str"/>
      <x:c r="P84" s="23" t="str"/>
      <x:c r="Q84" s="23" t="str"/>
      <x:c r="R84" s="23" t="str"/>
      <x:c r="S84" s="30" t="str"/>
      <x:c r="T84" s="23" t="str"/>
      <x:c r="U84" s="23" t="str">
        <x:v>Uncoded</x:v>
      </x:c>
      <x:c r="V84" s="23" t="str"/>
      <x:c r="W84" s="23" t="str"/>
      <x:c r="X84" s="23" t="str">
        <x:f>IF(AND(M84="",O84="",P84="",Q84="",R84="",S84="",T84="",V84=""),"UNCODED",IF(AND(M84&lt;&gt;"",O84&lt;&gt;"",P84&lt;&gt;"",Q84&lt;&gt;"",R84&lt;&gt;"",ISNUMBER(S84),S84&gt;=0,S84&lt;=1,T84&lt;&gt;"",U84&lt;&gt;"Uncoded",V84&lt;&gt;""),"TAXONOMY_READY","REVIEW"))</x:f>
        <x:v>UNCODED</x:v>
      </x:c>
      <x:c r="Y84" s="23" t="str">
        <x:f>IF(X84&lt;&gt;"TAXONOMY_READY","NOT_READY",IF(AND(ISNUMBER(K84),ISNUMBER(L84),L84&gt;K84,U84="Adjudicated"),"CASE_READY","NEEDS_TIME_OR_ADJUDICATION"))</x:f>
        <x:v>NOT_READY</x:v>
      </x:c>
    </x:row>
    <x:row r="85" ht="44" customHeight="1">
      <x:c r="A85" s="33" t="str">
        <x:v>B081</x:v>
      </x:c>
      <x:c r="B85" s="33" t="str">
        <x:v>T15</x:v>
      </x:c>
      <x:c r="C85" s="33" t="n">
        <x:v>1</x:v>
      </x:c>
      <x:c r="D85" s="34" t="str">
        <x:v>Nomad Sculpt 剑柄雕刻第一部分</x:v>
      </x:c>
      <x:c r="E85" s="34" t="str">
        <x:v>https://www.youtube.com/watch?v=EraY-tIphtQ</x:v>
      </x:c>
      <x:c r="F85" s="34" t="str">
        <x:v>YouTube / 英语</x:v>
      </x:c>
      <x:c r="G85" s="34" t="str">
        <x:v>Nomad Sculpt</x:v>
      </x:c>
      <x:c r="H85" s="34" t="str">
        <x:v>武器道具</x:v>
      </x:c>
      <x:c r="I85" s="34" t="str">
        <x:v>@Yiyun Wang</x:v>
      </x:c>
      <x:c r="J85" s="34" t="str">
        <x:v>导入两个体积</x:v>
      </x:c>
      <x:c r="K85" s="29" t="str"/>
      <x:c r="L85" s="29" t="str"/>
      <x:c r="M85" s="23" t="str"/>
      <x:c r="N85" s="23" t="str"/>
      <x:c r="O85" s="23" t="str"/>
      <x:c r="P85" s="23" t="str"/>
      <x:c r="Q85" s="23" t="str"/>
      <x:c r="R85" s="23" t="str"/>
      <x:c r="S85" s="30" t="str"/>
      <x:c r="T85" s="23" t="str"/>
      <x:c r="U85" s="23" t="str">
        <x:v>Uncoded</x:v>
      </x:c>
      <x:c r="V85" s="23" t="str"/>
      <x:c r="W85" s="23" t="str"/>
      <x:c r="X85" s="23" t="str">
        <x:f>IF(AND(M85="",O85="",P85="",Q85="",R85="",S85="",T85="",V85=""),"UNCODED",IF(AND(M85&lt;&gt;"",O85&lt;&gt;"",P85&lt;&gt;"",Q85&lt;&gt;"",R85&lt;&gt;"",ISNUMBER(S85),S85&gt;=0,S85&lt;=1,T85&lt;&gt;"",U85&lt;&gt;"Uncoded",V85&lt;&gt;""),"TAXONOMY_READY","REVIEW"))</x:f>
        <x:v>UNCODED</x:v>
      </x:c>
      <x:c r="Y85" s="23" t="str">
        <x:f>IF(X85&lt;&gt;"TAXONOMY_READY","NOT_READY",IF(AND(ISNUMBER(K85),ISNUMBER(L85),L85&gt;K85,U85="Adjudicated"),"CASE_READY","NEEDS_TIME_OR_ADJUDICATION"))</x:f>
        <x:v>NOT_READY</x:v>
      </x:c>
    </x:row>
    <x:row r="86" ht="44" customHeight="1">
      <x:c r="A86" s="33" t="str">
        <x:v>B082</x:v>
      </x:c>
      <x:c r="B86" s="33" t="str">
        <x:v>T15</x:v>
      </x:c>
      <x:c r="C86" s="33" t="n">
        <x:v>2</x:v>
      </x:c>
      <x:c r="D86" s="34" t="str">
        <x:v>Nomad Sculpt 剑柄雕刻第一部分</x:v>
      </x:c>
      <x:c r="E86" s="34" t="str">
        <x:v>https://www.youtube.com/watch?v=EraY-tIphtQ</x:v>
      </x:c>
      <x:c r="F86" s="34" t="str">
        <x:v>YouTube / 英语</x:v>
      </x:c>
      <x:c r="G86" s="34" t="str">
        <x:v>Nomad Sculpt</x:v>
      </x:c>
      <x:c r="H86" s="34" t="str">
        <x:v>武器道具</x:v>
      </x:c>
      <x:c r="I86" s="34" t="str">
        <x:v>@Yiyun Wang</x:v>
      </x:c>
      <x:c r="J86" s="34" t="str">
        <x:v>使用修剪trim，减去下方圆锥底部</x:v>
      </x:c>
      <x:c r="K86" s="29" t="str"/>
      <x:c r="L86" s="29" t="str"/>
      <x:c r="M86" s="23" t="str"/>
      <x:c r="N86" s="23" t="str"/>
      <x:c r="O86" s="23" t="str"/>
      <x:c r="P86" s="23" t="str"/>
      <x:c r="Q86" s="23" t="str"/>
      <x:c r="R86" s="23" t="str"/>
      <x:c r="S86" s="30" t="str"/>
      <x:c r="T86" s="23" t="str"/>
      <x:c r="U86" s="23" t="str">
        <x:v>Uncoded</x:v>
      </x:c>
      <x:c r="V86" s="23" t="str"/>
      <x:c r="W86" s="23" t="str"/>
      <x:c r="X86" s="23" t="str">
        <x:f>IF(AND(M86="",O86="",P86="",Q86="",R86="",S86="",T86="",V86=""),"UNCODED",IF(AND(M86&lt;&gt;"",O86&lt;&gt;"",P86&lt;&gt;"",Q86&lt;&gt;"",R86&lt;&gt;"",ISNUMBER(S86),S86&gt;=0,S86&lt;=1,T86&lt;&gt;"",U86&lt;&gt;"Uncoded",V86&lt;&gt;""),"TAXONOMY_READY","REVIEW"))</x:f>
        <x:v>UNCODED</x:v>
      </x:c>
      <x:c r="Y86" s="23" t="str">
        <x:f>IF(X86&lt;&gt;"TAXONOMY_READY","NOT_READY",IF(AND(ISNUMBER(K86),ISNUMBER(L86),L86&gt;K86,U86="Adjudicated"),"CASE_READY","NEEDS_TIME_OR_ADJUDICATION"))</x:f>
        <x:v>NOT_READY</x:v>
      </x:c>
    </x:row>
    <x:row r="87" ht="44" customHeight="1">
      <x:c r="A87" s="33" t="str">
        <x:v>B083</x:v>
      </x:c>
      <x:c r="B87" s="33" t="str">
        <x:v>T15</x:v>
      </x:c>
      <x:c r="C87" s="33" t="n">
        <x:v>3</x:v>
      </x:c>
      <x:c r="D87" s="34" t="str">
        <x:v>Nomad Sculpt 剑柄雕刻第一部分</x:v>
      </x:c>
      <x:c r="E87" s="34" t="str">
        <x:v>https://www.youtube.com/watch?v=EraY-tIphtQ</x:v>
      </x:c>
      <x:c r="F87" s="34" t="str">
        <x:v>YouTube / 英语</x:v>
      </x:c>
      <x:c r="G87" s="34" t="str">
        <x:v>Nomad Sculpt</x:v>
      </x:c>
      <x:c r="H87" s="34" t="str">
        <x:v>武器道具</x:v>
      </x:c>
      <x:c r="I87" s="34" t="str">
        <x:v>@Yiyun Wang</x:v>
      </x:c>
      <x:c r="J87" s="34" t="str">
        <x:v>使用Gizmo三维线框，新建一Scene，</x:v>
      </x:c>
      <x:c r="K87" s="29" t="str"/>
      <x:c r="L87" s="29" t="str"/>
      <x:c r="M87" s="23" t="str"/>
      <x:c r="N87" s="23" t="str"/>
      <x:c r="O87" s="23" t="str"/>
      <x:c r="P87" s="23" t="str"/>
      <x:c r="Q87" s="23" t="str"/>
      <x:c r="R87" s="23" t="str"/>
      <x:c r="S87" s="30" t="str"/>
      <x:c r="T87" s="23" t="str"/>
      <x:c r="U87" s="23" t="str">
        <x:v>Uncoded</x:v>
      </x:c>
      <x:c r="V87" s="23" t="str"/>
      <x:c r="W87" s="23" t="str"/>
      <x:c r="X87" s="23" t="str">
        <x:f>IF(AND(M87="",O87="",P87="",Q87="",R87="",S87="",T87="",V87=""),"UNCODED",IF(AND(M87&lt;&gt;"",O87&lt;&gt;"",P87&lt;&gt;"",Q87&lt;&gt;"",R87&lt;&gt;"",ISNUMBER(S87),S87&gt;=0,S87&lt;=1,T87&lt;&gt;"",U87&lt;&gt;"Uncoded",V87&lt;&gt;""),"TAXONOMY_READY","REVIEW"))</x:f>
        <x:v>UNCODED</x:v>
      </x:c>
      <x:c r="Y87" s="23" t="str">
        <x:f>IF(X87&lt;&gt;"TAXONOMY_READY","NOT_READY",IF(AND(ISNUMBER(K87),ISNUMBER(L87),L87&gt;K87,U87="Adjudicated"),"CASE_READY","NEEDS_TIME_OR_ADJUDICATION"))</x:f>
        <x:v>NOT_READY</x:v>
      </x:c>
    </x:row>
    <x:row r="88" ht="44" customHeight="1">
      <x:c r="A88" s="33" t="str">
        <x:v>B084</x:v>
      </x:c>
      <x:c r="B88" s="33" t="str">
        <x:v>T15</x:v>
      </x:c>
      <x:c r="C88" s="33" t="n">
        <x:v>4</x:v>
      </x:c>
      <x:c r="D88" s="34" t="str">
        <x:v>Nomad Sculpt 剑柄雕刻第一部分</x:v>
      </x:c>
      <x:c r="E88" s="34" t="str">
        <x:v>https://www.youtube.com/watch?v=EraY-tIphtQ</x:v>
      </x:c>
      <x:c r="F88" s="34" t="str">
        <x:v>YouTube / 英语</x:v>
      </x:c>
      <x:c r="G88" s="34" t="str">
        <x:v>Nomad Sculpt</x:v>
      </x:c>
      <x:c r="H88" s="34" t="str">
        <x:v>武器道具</x:v>
      </x:c>
      <x:c r="I88" s="34" t="str">
        <x:v>@Yiyun Wang</x:v>
      </x:c>
      <x:c r="J88" s="34" t="str">
        <x:v>倒置放到圆锥底部，对齐</x:v>
      </x:c>
      <x:c r="K88" s="29" t="str"/>
      <x:c r="L88" s="29" t="str"/>
      <x:c r="M88" s="23" t="str"/>
      <x:c r="N88" s="23" t="str"/>
      <x:c r="O88" s="23" t="str"/>
      <x:c r="P88" s="23" t="str"/>
      <x:c r="Q88" s="23" t="str"/>
      <x:c r="R88" s="23" t="str"/>
      <x:c r="S88" s="30" t="str"/>
      <x:c r="T88" s="23" t="str"/>
      <x:c r="U88" s="23" t="str">
        <x:v>Uncoded</x:v>
      </x:c>
      <x:c r="V88" s="23" t="str"/>
      <x:c r="W88" s="23" t="str"/>
      <x:c r="X88" s="23" t="str">
        <x:f>IF(AND(M88="",O88="",P88="",Q88="",R88="",S88="",T88="",V88=""),"UNCODED",IF(AND(M88&lt;&gt;"",O88&lt;&gt;"",P88&lt;&gt;"",Q88&lt;&gt;"",R88&lt;&gt;"",ISNUMBER(S88),S88&gt;=0,S88&lt;=1,T88&lt;&gt;"",U88&lt;&gt;"Uncoded",V88&lt;&gt;""),"TAXONOMY_READY","REVIEW"))</x:f>
        <x:v>UNCODED</x:v>
      </x:c>
      <x:c r="Y88" s="23" t="str">
        <x:f>IF(X88&lt;&gt;"TAXONOMY_READY","NOT_READY",IF(AND(ISNUMBER(K88),ISNUMBER(L88),L88&gt;K88,U88="Adjudicated"),"CASE_READY","NEEDS_TIME_OR_ADJUDICATION"))</x:f>
        <x:v>NOT_READY</x:v>
      </x:c>
    </x:row>
    <x:row r="89" ht="44" customHeight="1">
      <x:c r="A89" s="33" t="str">
        <x:v>B085</x:v>
      </x:c>
      <x:c r="B89" s="33" t="str">
        <x:v>T15</x:v>
      </x:c>
      <x:c r="C89" s="33" t="n">
        <x:v>5</x:v>
      </x:c>
      <x:c r="D89" s="34" t="str">
        <x:v>Nomad Sculpt 剑柄雕刻第一部分</x:v>
      </x:c>
      <x:c r="E89" s="34" t="str">
        <x:v>https://www.youtube.com/watch?v=EraY-tIphtQ</x:v>
      </x:c>
      <x:c r="F89" s="34" t="str">
        <x:v>YouTube / 英语</x:v>
      </x:c>
      <x:c r="G89" s="34" t="str">
        <x:v>Nomad Sculpt</x:v>
      </x:c>
      <x:c r="H89" s="34" t="str">
        <x:v>武器道具</x:v>
      </x:c>
      <x:c r="I89" s="34" t="str">
        <x:v>@Yiyun Wang</x:v>
      </x:c>
      <x:c r="J89" s="34" t="str">
        <x:v>减去刚复制的圆锥的上端部分，remesh，smooth光滑</x:v>
      </x:c>
      <x:c r="K89" s="29" t="str"/>
      <x:c r="L89" s="29" t="str"/>
      <x:c r="M89" s="23" t="str"/>
      <x:c r="N89" s="23" t="str"/>
      <x:c r="O89" s="23" t="str"/>
      <x:c r="P89" s="23" t="str"/>
      <x:c r="Q89" s="23" t="str"/>
      <x:c r="R89" s="23" t="str"/>
      <x:c r="S89" s="30" t="str"/>
      <x:c r="T89" s="23" t="str"/>
      <x:c r="U89" s="23" t="str">
        <x:v>Uncoded</x:v>
      </x:c>
      <x:c r="V89" s="23" t="str"/>
      <x:c r="W89" s="23" t="str"/>
      <x:c r="X89" s="23" t="str">
        <x:f>IF(AND(M89="",O89="",P89="",Q89="",R89="",S89="",T89="",V89=""),"UNCODED",IF(AND(M89&lt;&gt;"",O89&lt;&gt;"",P89&lt;&gt;"",Q89&lt;&gt;"",R89&lt;&gt;"",ISNUMBER(S89),S89&gt;=0,S89&lt;=1,T89&lt;&gt;"",U89&lt;&gt;"Uncoded",V89&lt;&gt;""),"TAXONOMY_READY","REVIEW"))</x:f>
        <x:v>UNCODED</x:v>
      </x:c>
      <x:c r="Y89" s="23" t="str">
        <x:f>IF(X89&lt;&gt;"TAXONOMY_READY","NOT_READY",IF(AND(ISNUMBER(K89),ISNUMBER(L89),L89&gt;K89,U89="Adjudicated"),"CASE_READY","NEEDS_TIME_OR_ADJUDICATION"))</x:f>
        <x:v>NOT_READY</x:v>
      </x:c>
    </x:row>
    <x:row r="90" ht="44" customHeight="1">
      <x:c r="A90" s="33" t="str">
        <x:v>B086</x:v>
      </x:c>
      <x:c r="B90" s="33" t="str">
        <x:v>T15</x:v>
      </x:c>
      <x:c r="C90" s="33" t="n">
        <x:v>6</x:v>
      </x:c>
      <x:c r="D90" s="34" t="str">
        <x:v>Nomad Sculpt 剑柄雕刻第一部分</x:v>
      </x:c>
      <x:c r="E90" s="34" t="str">
        <x:v>https://www.youtube.com/watch?v=EraY-tIphtQ</x:v>
      </x:c>
      <x:c r="F90" s="34" t="str">
        <x:v>YouTube / 英语</x:v>
      </x:c>
      <x:c r="G90" s="34" t="str">
        <x:v>Nomad Sculpt</x:v>
      </x:c>
      <x:c r="H90" s="34" t="str">
        <x:v>武器道具</x:v>
      </x:c>
      <x:c r="I90" s="34" t="str">
        <x:v>@Yiyun Wang</x:v>
      </x:c>
      <x:c r="J90" s="34" t="str">
        <x:v>画笔画叉叉，选择z，镜像，连接</x:v>
      </x:c>
      <x:c r="K90" s="29" t="str"/>
      <x:c r="L90" s="29" t="str"/>
      <x:c r="M90" s="23" t="str"/>
      <x:c r="N90" s="23" t="str"/>
      <x:c r="O90" s="23" t="str"/>
      <x:c r="P90" s="23" t="str"/>
      <x:c r="Q90" s="23" t="str"/>
      <x:c r="R90" s="23" t="str"/>
      <x:c r="S90" s="30" t="str"/>
      <x:c r="T90" s="23" t="str"/>
      <x:c r="U90" s="23" t="str">
        <x:v>Uncoded</x:v>
      </x:c>
      <x:c r="V90" s="23" t="str"/>
      <x:c r="W90" s="23" t="str"/>
      <x:c r="X90" s="23" t="str">
        <x:f>IF(AND(M90="",O90="",P90="",Q90="",R90="",S90="",T90="",V90=""),"UNCODED",IF(AND(M90&lt;&gt;"",O90&lt;&gt;"",P90&lt;&gt;"",Q90&lt;&gt;"",R90&lt;&gt;"",ISNUMBER(S90),S90&gt;=0,S90&lt;=1,T90&lt;&gt;"",U90&lt;&gt;"Uncoded",V90&lt;&gt;""),"TAXONOMY_READY","REVIEW"))</x:f>
        <x:v>UNCODED</x:v>
      </x:c>
      <x:c r="Y90" s="23" t="str">
        <x:f>IF(X90&lt;&gt;"TAXONOMY_READY","NOT_READY",IF(AND(ISNUMBER(K90),ISNUMBER(L90),L90&gt;K90,U90="Adjudicated"),"CASE_READY","NEEDS_TIME_OR_ADJUDICATION"))</x:f>
        <x:v>NOT_READY</x:v>
      </x:c>
    </x:row>
    <x:row r="91" ht="44" customHeight="1">
      <x:c r="A91" s="33" t="str">
        <x:v>B087</x:v>
      </x:c>
      <x:c r="B91" s="33" t="str">
        <x:v>T15</x:v>
      </x:c>
      <x:c r="C91" s="33" t="n">
        <x:v>7</x:v>
      </x:c>
      <x:c r="D91" s="34" t="str">
        <x:v>Nomad Sculpt 剑柄雕刻第一部分</x:v>
      </x:c>
      <x:c r="E91" s="34" t="str">
        <x:v>https://www.youtube.com/watch?v=EraY-tIphtQ</x:v>
      </x:c>
      <x:c r="F91" s="34" t="str">
        <x:v>YouTube / 英语</x:v>
      </x:c>
      <x:c r="G91" s="34" t="str">
        <x:v>Nomad Sculpt</x:v>
      </x:c>
      <x:c r="H91" s="34" t="str">
        <x:v>武器道具</x:v>
      </x:c>
      <x:c r="I91" s="34" t="str">
        <x:v>@Yiyun Wang</x:v>
      </x:c>
      <x:c r="J91" s="34" t="str">
        <x:v>simple merge</x:v>
      </x:c>
      <x:c r="K91" s="29" t="str"/>
      <x:c r="L91" s="29" t="str"/>
      <x:c r="M91" s="23" t="str"/>
      <x:c r="N91" s="23" t="str"/>
      <x:c r="O91" s="23" t="str"/>
      <x:c r="P91" s="23" t="str"/>
      <x:c r="Q91" s="23" t="str"/>
      <x:c r="R91" s="23" t="str"/>
      <x:c r="S91" s="30" t="str"/>
      <x:c r="T91" s="23" t="str"/>
      <x:c r="U91" s="23" t="str">
        <x:v>Uncoded</x:v>
      </x:c>
      <x:c r="V91" s="23" t="str"/>
      <x:c r="W91" s="23" t="str"/>
      <x:c r="X91" s="23" t="str">
        <x:f>IF(AND(M91="",O91="",P91="",Q91="",R91="",S91="",T91="",V91=""),"UNCODED",IF(AND(M91&lt;&gt;"",O91&lt;&gt;"",P91&lt;&gt;"",Q91&lt;&gt;"",R91&lt;&gt;"",ISNUMBER(S91),S91&gt;=0,S91&lt;=1,T91&lt;&gt;"",U91&lt;&gt;"Uncoded",V91&lt;&gt;""),"TAXONOMY_READY","REVIEW"))</x:f>
        <x:v>UNCODED</x:v>
      </x:c>
      <x:c r="Y91" s="23" t="str">
        <x:f>IF(X91&lt;&gt;"TAXONOMY_READY","NOT_READY",IF(AND(ISNUMBER(K91),ISNUMBER(L91),L91&gt;K91,U91="Adjudicated"),"CASE_READY","NEEDS_TIME_OR_ADJUDICATION"))</x:f>
        <x:v>NOT_READY</x:v>
      </x:c>
    </x:row>
    <x:row r="92" ht="44" customHeight="1">
      <x:c r="A92" s="33" t="str">
        <x:v>B088</x:v>
      </x:c>
      <x:c r="B92" s="33" t="str">
        <x:v>case</x:v>
      </x:c>
      <x:c r="C92" s="33" t="n">
        <x:v>1</x:v>
      </x:c>
      <x:c r="D92" s="34" t="str">
        <x:v>【Maya建模】超帅机甲头盔模型制作，次世代硬表面布线基础教学</x:v>
      </x:c>
      <x:c r="E92" s="34" t="str">
        <x:v>http://www.bilibili.com/video/av115105257954495</x:v>
      </x:c>
      <x:c r="F92" s="34" t="str">
        <x:v>Bilibili / 中文</x:v>
      </x:c>
      <x:c r="G92" s="34" t="str">
        <x:v>Maya</x:v>
      </x:c>
      <x:c r="H92" s="34" t="str">
        <x:v>头部 / 硬表面</x:v>
      </x:c>
      <x:c r="I92" s="34" t="str">
        <x:v>@李雪琛</x:v>
      </x:c>
      <x:c r="J92" s="34" t="str">
        <x:v>新建大致轮廓</x:v>
      </x:c>
      <x:c r="K92" s="29" t="str"/>
      <x:c r="L92" s="29" t="str"/>
      <x:c r="M92" s="23" t="str"/>
      <x:c r="N92" s="23" t="str"/>
      <x:c r="O92" s="23" t="str"/>
      <x:c r="P92" s="23" t="str"/>
      <x:c r="Q92" s="23" t="str"/>
      <x:c r="R92" s="23" t="str"/>
      <x:c r="S92" s="30" t="str"/>
      <x:c r="T92" s="23" t="str"/>
      <x:c r="U92" s="23" t="str">
        <x:v>Uncoded</x:v>
      </x:c>
      <x:c r="V92" s="23" t="str"/>
      <x:c r="W92" s="23" t="str"/>
      <x:c r="X92" s="23" t="str">
        <x:f>IF(AND(M92="",O92="",P92="",Q92="",R92="",S92="",T92="",V92=""),"UNCODED",IF(AND(M92&lt;&gt;"",O92&lt;&gt;"",P92&lt;&gt;"",Q92&lt;&gt;"",R92&lt;&gt;"",ISNUMBER(S92),S92&gt;=0,S92&lt;=1,T92&lt;&gt;"",U92&lt;&gt;"Uncoded",V92&lt;&gt;""),"TAXONOMY_READY","REVIEW"))</x:f>
        <x:v>UNCODED</x:v>
      </x:c>
      <x:c r="Y92" s="23" t="str">
        <x:f>IF(X92&lt;&gt;"TAXONOMY_READY","NOT_READY",IF(AND(ISNUMBER(K92),ISNUMBER(L92),L92&gt;K92,U92="Adjudicated"),"CASE_READY","NEEDS_TIME_OR_ADJUDICATION"))</x:f>
        <x:v>NOT_READY</x:v>
      </x:c>
    </x:row>
    <x:row r="93" ht="44" customHeight="1">
      <x:c r="A93" s="33" t="str">
        <x:v>B089</x:v>
      </x:c>
      <x:c r="B93" s="33" t="str">
        <x:v>case</x:v>
      </x:c>
      <x:c r="C93" s="33" t="n">
        <x:v>2</x:v>
      </x:c>
      <x:c r="D93" s="34" t="str">
        <x:v>【Maya建模】超帅机甲头盔模型制作，次世代硬表面布线基础教学</x:v>
      </x:c>
      <x:c r="E93" s="34" t="str">
        <x:v>http://www.bilibili.com/video/av115105257954495</x:v>
      </x:c>
      <x:c r="F93" s="34" t="str">
        <x:v>Bilibili / 中文</x:v>
      </x:c>
      <x:c r="G93" s="34" t="str">
        <x:v>Maya</x:v>
      </x:c>
      <x:c r="H93" s="34" t="str">
        <x:v>头部 / 硬表面</x:v>
      </x:c>
      <x:c r="I93" s="34" t="str">
        <x:v>@李雪琛</x:v>
      </x:c>
      <x:c r="J93" s="34" t="str">
        <x:v>修改轮廓，让面片符合流形，符合水密要求</x:v>
      </x:c>
      <x:c r="K93" s="29" t="str"/>
      <x:c r="L93" s="29" t="str"/>
      <x:c r="M93" s="23" t="str"/>
      <x:c r="N93" s="23" t="str"/>
      <x:c r="O93" s="23" t="str"/>
      <x:c r="P93" s="23" t="str"/>
      <x:c r="Q93" s="23" t="str"/>
      <x:c r="R93" s="23" t="str"/>
      <x:c r="S93" s="30" t="str"/>
      <x:c r="T93" s="23" t="str"/>
      <x:c r="U93" s="23" t="str">
        <x:v>Uncoded</x:v>
      </x:c>
      <x:c r="V93" s="23" t="str"/>
      <x:c r="W93" s="23" t="str"/>
      <x:c r="X93" s="23" t="str">
        <x:f>IF(AND(M93="",O93="",P93="",Q93="",R93="",S93="",T93="",V93=""),"UNCODED",IF(AND(M93&lt;&gt;"",O93&lt;&gt;"",P93&lt;&gt;"",Q93&lt;&gt;"",R93&lt;&gt;"",ISNUMBER(S93),S93&gt;=0,S93&lt;=1,T93&lt;&gt;"",U93&lt;&gt;"Uncoded",V93&lt;&gt;""),"TAXONOMY_READY","REVIEW"))</x:f>
        <x:v>UNCODED</x:v>
      </x:c>
      <x:c r="Y93" s="23" t="str">
        <x:f>IF(X93&lt;&gt;"TAXONOMY_READY","NOT_READY",IF(AND(ISNUMBER(K93),ISNUMBER(L93),L93&gt;K93,U93="Adjudicated"),"CASE_READY","NEEDS_TIME_OR_ADJUDICATION"))</x:f>
        <x:v>NOT_READY</x:v>
      </x:c>
    </x:row>
    <x:row r="94" ht="44" customHeight="1">
      <x:c r="A94" s="33" t="str">
        <x:v>B090</x:v>
      </x:c>
      <x:c r="B94" s="33" t="str">
        <x:v>case</x:v>
      </x:c>
      <x:c r="C94" s="33" t="n">
        <x:v>3</x:v>
      </x:c>
      <x:c r="D94" s="34" t="str">
        <x:v>【Maya建模】超帅机甲头盔模型制作，次世代硬表面布线基础教学</x:v>
      </x:c>
      <x:c r="E94" s="34" t="str">
        <x:v>http://www.bilibili.com/video/av115105257954495</x:v>
      </x:c>
      <x:c r="F94" s="34" t="str">
        <x:v>Bilibili / 中文</x:v>
      </x:c>
      <x:c r="G94" s="34" t="str">
        <x:v>Maya</x:v>
      </x:c>
      <x:c r="H94" s="34" t="str">
        <x:v>头部 / 硬表面</x:v>
      </x:c>
      <x:c r="I94" s="34" t="str">
        <x:v>@李雪琛</x:v>
      </x:c>
      <x:c r="J94" s="34" t="str">
        <x:v>添加细节上的结构纹理，结构上的雕刻和面结构</x:v>
      </x:c>
      <x:c r="K94" s="29" t="str"/>
      <x:c r="L94" s="29" t="str"/>
      <x:c r="M94" s="23" t="str"/>
      <x:c r="N94" s="23" t="str"/>
      <x:c r="O94" s="23" t="str"/>
      <x:c r="P94" s="23" t="str"/>
      <x:c r="Q94" s="23" t="str"/>
      <x:c r="R94" s="23" t="str"/>
      <x:c r="S94" s="30" t="str"/>
      <x:c r="T94" s="23" t="str"/>
      <x:c r="U94" s="23" t="str">
        <x:v>Uncoded</x:v>
      </x:c>
      <x:c r="V94" s="23" t="str"/>
      <x:c r="W94" s="23" t="str"/>
      <x:c r="X94" s="23" t="str">
        <x:f>IF(AND(M94="",O94="",P94="",Q94="",R94="",S94="",T94="",V94=""),"UNCODED",IF(AND(M94&lt;&gt;"",O94&lt;&gt;"",P94&lt;&gt;"",Q94&lt;&gt;"",R94&lt;&gt;"",ISNUMBER(S94),S94&gt;=0,S94&lt;=1,T94&lt;&gt;"",U94&lt;&gt;"Uncoded",V94&lt;&gt;""),"TAXONOMY_READY","REVIEW"))</x:f>
        <x:v>UNCODED</x:v>
      </x:c>
      <x:c r="Y94" s="23" t="str">
        <x:f>IF(X94&lt;&gt;"TAXONOMY_READY","NOT_READY",IF(AND(ISNUMBER(K94),ISNUMBER(L94),L94&gt;K94,U94="Adjudicated"),"CASE_READY","NEEDS_TIME_OR_ADJUDICATION"))</x:f>
        <x:v>NOT_READY</x:v>
      </x:c>
    </x:row>
    <x:row r="95" ht="44" customHeight="1">
      <x:c r="A95" s="33" t="str">
        <x:v>B091</x:v>
      </x:c>
      <x:c r="B95" s="33" t="str">
        <x:v>case</x:v>
      </x:c>
      <x:c r="C95" s="33" t="n">
        <x:v>4</x:v>
      </x:c>
      <x:c r="D95" s="34" t="str">
        <x:v>【Maya建模】超帅机甲头盔模型制作，次世代硬表面布线基础教学</x:v>
      </x:c>
      <x:c r="E95" s="34" t="str">
        <x:v>http://www.bilibili.com/video/av115105257954495</x:v>
      </x:c>
      <x:c r="F95" s="34" t="str">
        <x:v>Bilibili / 中文</x:v>
      </x:c>
      <x:c r="G95" s="34" t="str">
        <x:v>Maya</x:v>
      </x:c>
      <x:c r="H95" s="34" t="str">
        <x:v>头部 / 硬表面</x:v>
      </x:c>
      <x:c r="I95" s="34" t="str">
        <x:v>@李雪琛</x:v>
      </x:c>
      <x:c r="J95" s="34" t="str">
        <x:v>结构风格改变，从坚硬到圆形倒角</x:v>
      </x:c>
      <x:c r="K95" s="29" t="str"/>
      <x:c r="L95" s="29" t="str"/>
      <x:c r="M95" s="23" t="str"/>
      <x:c r="N95" s="23" t="str"/>
      <x:c r="O95" s="23" t="str"/>
      <x:c r="P95" s="23" t="str"/>
      <x:c r="Q95" s="23" t="str"/>
      <x:c r="R95" s="23" t="str"/>
      <x:c r="S95" s="30" t="str"/>
      <x:c r="T95" s="23" t="str"/>
      <x:c r="U95" s="23" t="str">
        <x:v>Uncoded</x:v>
      </x:c>
      <x:c r="V95" s="23" t="str"/>
      <x:c r="W95" s="23" t="str"/>
      <x:c r="X95" s="23" t="str">
        <x:f>IF(AND(M95="",O95="",P95="",Q95="",R95="",S95="",T95="",V95=""),"UNCODED",IF(AND(M95&lt;&gt;"",O95&lt;&gt;"",P95&lt;&gt;"",Q95&lt;&gt;"",R95&lt;&gt;"",ISNUMBER(S95),S95&gt;=0,S95&lt;=1,T95&lt;&gt;"",U95&lt;&gt;"Uncoded",V95&lt;&gt;""),"TAXONOMY_READY","REVIEW"))</x:f>
        <x:v>UNCODED</x:v>
      </x:c>
      <x:c r="Y95" s="23" t="str">
        <x:f>IF(X95&lt;&gt;"TAXONOMY_READY","NOT_READY",IF(AND(ISNUMBER(K95),ISNUMBER(L95),L95&gt;K95,U95="Adjudicated"),"CASE_READY","NEEDS_TIME_OR_ADJUDICATION"))</x:f>
        <x:v>NOT_READY</x:v>
      </x:c>
    </x:row>
    <x:row r="96" ht="44" customHeight="1">
      <x:c r="A96" s="33" t="str">
        <x:v>B092</x:v>
      </x:c>
      <x:c r="B96" s="33" t="str">
        <x:v>case</x:v>
      </x:c>
      <x:c r="C96" s="33" t="n">
        <x:v>5</x:v>
      </x:c>
      <x:c r="D96" s="34" t="str">
        <x:v>【Maya建模】超帅机甲头盔模型制作，次世代硬表面布线基础教学</x:v>
      </x:c>
      <x:c r="E96" s="34" t="str">
        <x:v>http://www.bilibili.com/video/av115105257954495</x:v>
      </x:c>
      <x:c r="F96" s="34" t="str">
        <x:v>Bilibili / 中文</x:v>
      </x:c>
      <x:c r="G96" s="34" t="str">
        <x:v>Maya</x:v>
      </x:c>
      <x:c r="H96" s="34" t="str">
        <x:v>头部 / 硬表面</x:v>
      </x:c>
      <x:c r="I96" s="34" t="str">
        <x:v>@李雪琛</x:v>
      </x:c>
      <x:c r="J96" s="34" t="str">
        <x:v>依旧是结构上的视觉调整，这些行为可以在未来的ai工具中保留，但是不是主体</x:v>
      </x:c>
      <x:c r="K96" s="29" t="str"/>
      <x:c r="L96" s="29" t="str"/>
      <x:c r="M96" s="23" t="str"/>
      <x:c r="N96" s="23" t="str"/>
      <x:c r="O96" s="23" t="str"/>
      <x:c r="P96" s="23" t="str"/>
      <x:c r="Q96" s="23" t="str"/>
      <x:c r="R96" s="23" t="str"/>
      <x:c r="S96" s="30" t="str"/>
      <x:c r="T96" s="23" t="str"/>
      <x:c r="U96" s="23" t="str">
        <x:v>Uncoded</x:v>
      </x:c>
      <x:c r="V96" s="23" t="str"/>
      <x:c r="W96" s="23" t="str"/>
      <x:c r="X96" s="23" t="str">
        <x:f>IF(AND(M96="",O96="",P96="",Q96="",R96="",S96="",T96="",V96=""),"UNCODED",IF(AND(M96&lt;&gt;"",O96&lt;&gt;"",P96&lt;&gt;"",Q96&lt;&gt;"",R96&lt;&gt;"",ISNUMBER(S96),S96&gt;=0,S96&lt;=1,T96&lt;&gt;"",U96&lt;&gt;"Uncoded",V96&lt;&gt;""),"TAXONOMY_READY","REVIEW"))</x:f>
        <x:v>UNCODED</x:v>
      </x:c>
      <x:c r="Y96" s="23" t="str">
        <x:f>IF(X96&lt;&gt;"TAXONOMY_READY","NOT_READY",IF(AND(ISNUMBER(K96),ISNUMBER(L96),L96&gt;K96,U96="Adjudicated"),"CASE_READY","NEEDS_TIME_OR_ADJUDICATION"))</x:f>
        <x:v>NOT_READY</x:v>
      </x:c>
    </x:row>
    <x:row r="97" ht="44" customHeight="1">
      <x:c r="A97" s="33" t="str">
        <x:v>B093</x:v>
      </x:c>
      <x:c r="B97" s="33" t="str">
        <x:v>case</x:v>
      </x:c>
      <x:c r="C97" s="33" t="n">
        <x:v>6</x:v>
      </x:c>
      <x:c r="D97" s="34" t="str">
        <x:v>【Maya建模】超帅机甲头盔模型制作，次世代硬表面布线基础教学</x:v>
      </x:c>
      <x:c r="E97" s="34" t="str">
        <x:v>http://www.bilibili.com/video/av115105257954495</x:v>
      </x:c>
      <x:c r="F97" s="34" t="str">
        <x:v>Bilibili / 中文</x:v>
      </x:c>
      <x:c r="G97" s="34" t="str">
        <x:v>Maya</x:v>
      </x:c>
      <x:c r="H97" s="34" t="str">
        <x:v>头部 / 硬表面</x:v>
      </x:c>
      <x:c r="I97" s="34" t="str">
        <x:v>@李雪琛</x:v>
      </x:c>
      <x:c r="J97" s="34" t="str">
        <x:v>布线调整（在ai-nativede工具里应该调用其他算法来调整布线）</x:v>
      </x:c>
      <x:c r="K97" s="29" t="str"/>
      <x:c r="L97" s="29" t="str"/>
      <x:c r="M97" s="23" t="str"/>
      <x:c r="N97" s="23" t="str"/>
      <x:c r="O97" s="23" t="str"/>
      <x:c r="P97" s="23" t="str"/>
      <x:c r="Q97" s="23" t="str"/>
      <x:c r="R97" s="23" t="str"/>
      <x:c r="S97" s="30" t="str"/>
      <x:c r="T97" s="23" t="str"/>
      <x:c r="U97" s="23" t="str">
        <x:v>Uncoded</x:v>
      </x:c>
      <x:c r="V97" s="23" t="str"/>
      <x:c r="W97" s="23" t="str"/>
      <x:c r="X97" s="23" t="str">
        <x:f>IF(AND(M97="",O97="",P97="",Q97="",R97="",S97="",T97="",V97=""),"UNCODED",IF(AND(M97&lt;&gt;"",O97&lt;&gt;"",P97&lt;&gt;"",Q97&lt;&gt;"",R97&lt;&gt;"",ISNUMBER(S97),S97&gt;=0,S97&lt;=1,T97&lt;&gt;"",U97&lt;&gt;"Uncoded",V97&lt;&gt;""),"TAXONOMY_READY","REVIEW"))</x:f>
        <x:v>UNCODED</x:v>
      </x:c>
      <x:c r="Y97" s="23" t="str">
        <x:f>IF(X97&lt;&gt;"TAXONOMY_READY","NOT_READY",IF(AND(ISNUMBER(K97),ISNUMBER(L97),L97&gt;K97,U97="Adjudicated"),"CASE_READY","NEEDS_TIME_OR_ADJUDICATION"))</x:f>
        <x:v>NOT_READY</x:v>
      </x:c>
    </x:row>
    <x:row r="98" ht="44" customHeight="1">
      <x:c r="A98" s="35" t="str">
        <x:v>B094</x:v>
      </x:c>
      <x:c r="B98" s="35" t="str">
        <x:v>case</x:v>
      </x:c>
      <x:c r="C98" s="35" t="n">
        <x:v>7</x:v>
      </x:c>
      <x:c r="D98" s="36" t="str">
        <x:v>【Maya建模】超帅机甲头盔模型制作，次世代硬表面布线基础教学</x:v>
      </x:c>
      <x:c r="E98" s="36" t="str">
        <x:v>http://www.bilibili.com/video/av115105257954495</x:v>
      </x:c>
      <x:c r="F98" s="36" t="str">
        <x:v>Bilibili / 中文</x:v>
      </x:c>
      <x:c r="G98" s="36" t="str">
        <x:v>Maya</x:v>
      </x:c>
      <x:c r="H98" s="36" t="str">
        <x:v>头部 / 硬表面</x:v>
      </x:c>
      <x:c r="I98" s="36" t="str">
        <x:v>@李雪琛</x:v>
      </x:c>
      <x:c r="J98" s="36" t="str">
        <x:v>局部细节</x:v>
      </x:c>
      <x:c r="K98" s="31" t="str"/>
      <x:c r="L98" s="31" t="str"/>
      <x:c r="M98" s="24" t="str"/>
      <x:c r="N98" s="24" t="str"/>
      <x:c r="O98" s="24" t="str"/>
      <x:c r="P98" s="24" t="str"/>
      <x:c r="Q98" s="24" t="str"/>
      <x:c r="R98" s="24" t="str"/>
      <x:c r="S98" s="32" t="str"/>
      <x:c r="T98" s="24" t="str"/>
      <x:c r="U98" s="24" t="str">
        <x:v>Uncoded</x:v>
      </x:c>
      <x:c r="V98" s="24" t="str"/>
      <x:c r="W98" s="24" t="str"/>
      <x:c r="X98" s="24" t="str">
        <x:f>IF(AND(M98="",O98="",P98="",Q98="",R98="",S98="",T98="",V98=""),"UNCODED",IF(AND(M98&lt;&gt;"",O98&lt;&gt;"",P98&lt;&gt;"",Q98&lt;&gt;"",R98&lt;&gt;"",ISNUMBER(S98),S98&gt;=0,S98&lt;=1,T98&lt;&gt;"",U98&lt;&gt;"Uncoded",V98&lt;&gt;""),"TAXONOMY_READY","REVIEW"))</x:f>
        <x:v>UNCODED</x:v>
      </x:c>
      <x:c r="Y98" s="24" t="str">
        <x:f>IF(X98&lt;&gt;"TAXONOMY_READY","NOT_READY",IF(AND(ISNUMBER(K98),ISNUMBER(L98),L98&gt;K98,U98="Adjudicated"),"CASE_READY","NEEDS_TIME_OR_ADJUDICATION"))</x:f>
        <x:v>NOT_READY</x:v>
      </x:c>
    </x:row>
  </x:sheetData>
  <x:mergeCells>
    <x:mergeCell ref="A1:Y1"/>
    <x:mergeCell ref="A2:Y2"/>
  </x:mergeCells>
  <x:conditionalFormatting sqref="X5:X98">
    <x:cfRule type="containsText" dxfId="0" priority="1" operator="containsText" text="TAXONOMY_READY"/>
    <x:cfRule type="containsText" dxfId="1" priority="2" operator="containsText" text="REVIEW"/>
  </x:conditionalFormatting>
  <x:conditionalFormatting sqref="Y5:Y98">
    <x:cfRule type="containsText" dxfId="2" priority="3" operator="containsText" text="CASE_READY"/>
  </x:conditionalFormatting>
  <x:dataValidations count="7">
    <x:dataValidation type="list" sqref="M5:M98">
      <x:formula1>"CREATE_BLOCK,TRANSFORM_SHAPE,SCULPT_DETAIL,TOPOLOGY_REMESH,EXTRUDE_CUT_BOOLEAN,DUPLICATE_ASSEMBLE,MATERIAL_UV_RENDER,INSPECT_COMPARE,RIG_PRESENT,PIPELINE_TRANSITION,OTHER"</x:formula1>
    </x:dataValidation>
    <x:dataValidation type="list" sqref="N5:N98">
      <x:formula1>"none,CREATE_BLOCK,TRANSFORM_SHAPE,SCULPT_DETAIL,TOPOLOGY_REMESH,EXTRUDE_CUT_BOOLEAN,DUPLICATE_ASSEMBLE,MATERIAL_UV_RENDER,INSPECT_COMPARE,RIG_PRESENT,PIPELINE_TRANSITION,OTHER"</x:formula1>
    </x:dataValidation>
    <x:dataValidation type="list" sqref="Q5:Q98">
      <x:formula1>"explore,construct,refine,compare,repair,commit,transition,unknown"</x:formula1>
    </x:dataValidation>
    <x:dataValidation type="list" sqref="R5:R98">
      <x:formula1>"epistemic,pragmatic,repair,mixed,unknown"</x:formula1>
    </x:dataValidation>
    <x:dataValidation type="decimal" operator="between" sqref="S5:S98">
      <x:formula1>0</x:formula1>
      <x:formula2>1</x:formula2>
    </x:dataValidation>
    <x:dataValidation type="list" sqref="T5:T98">
      <x:formula1>"Yes,No"</x:formula1>
    </x:dataValidation>
    <x:dataValidation type="list" sqref="U5:U98">
      <x:formula1>"Uncoded,VLM_suggested,Human_A,Human_B,Adjudicated"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b522141051b4a5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6" hidden="0" customWidth="1"/>
    <x:col min="4" max="4" width="62" hidden="0" customWidth="1"/>
    <x:col min="5" max="5" width="44" hidden="0" customWidth="1"/>
    <x:col min="6" max="6" width="22" hidden="0" customWidth="1"/>
    <x:col min="7" max="7" width="18" hidden="0" customWidth="1"/>
    <x:col min="8" max="8" width="22" hidden="0" customWidth="1"/>
    <x:col min="9" max="9" width="40" hidden="0" customWidth="1"/>
    <x:col min="10" max="10" width="50" hidden="0" customWidth="1"/>
    <x:col min="11" max="11" width="42" hidden="0" customWidth="1"/>
    <x:col min="12" max="12" width="18" hidden="0" customWidth="1"/>
    <x:col min="13" max="13" width="18" hidden="0" customWidth="1"/>
  </x:cols>
  <x:sheetData>
    <x:row r="1" ht="30" customHeight="1">
      <x:c r="A1" s="2" t="str">
        <x:v>视频索引（16 条）</x:v>
      </x:c>
    </x:row>
    <x:row r="2" ht="32" customHeight="1">
      <x:c r="A2" s="5" t="str">
        <x:v>原始来源元数据和每条视频展开后的行为数量；T07 暂无行为描述，case 为非标准 ID。</x:v>
      </x:c>
    </x:row>
    <x:row r="4" ht="34" customHeight="1">
      <x:c r="A4" s="13" t="str">
        <x:v>source_row</x:v>
      </x:c>
      <x:c r="B4" s="13" t="str">
        <x:v>video_id</x:v>
      </x:c>
      <x:c r="C4" s="13" t="str">
        <x:v>duration</x:v>
      </x:c>
      <x:c r="D4" s="13" t="str">
        <x:v>title</x:v>
      </x:c>
      <x:c r="E4" s="13" t="str">
        <x:v>url</x:v>
      </x:c>
      <x:c r="F4" s="13" t="str">
        <x:v>platform_language</x:v>
      </x:c>
      <x:c r="G4" s="13" t="str">
        <x:v>software</x:v>
      </x:c>
      <x:c r="H4" s="13" t="str">
        <x:v>content_object</x:v>
      </x:c>
      <x:c r="I4" s="13" t="str">
        <x:v>production_summary</x:v>
      </x:c>
      <x:c r="J4" s="13" t="str">
        <x:v>selection_reason</x:v>
      </x:c>
      <x:c r="K4" s="13" t="str">
        <x:v>coding_focus</x:v>
      </x:c>
      <x:c r="L4" s="13" t="str">
        <x:v>owner</x:v>
      </x:c>
      <x:c r="M4" s="13" t="str">
        <x:v>behavior_count</x:v>
      </x:c>
    </x:row>
    <x:row r="5" ht="44" customHeight="1">
      <x:c r="A5" s="14" t="n">
        <x:v>3</x:v>
      </x:c>
      <x:c r="B5" s="14" t="str">
        <x:v>T01</x:v>
      </x:c>
      <x:c r="C5" s="14" t="str">
        <x:v>9分18秒</x:v>
      </x:c>
      <x:c r="D5" s="23" t="str">
        <x:v>风格化头部雕刻延时：从球体到角色（Blender）</x:v>
      </x:c>
      <x:c r="E5" s="23" t="str">
        <x:v>https://www.youtube.com/watch?v=SRgc3sBkHjY</x:v>
      </x:c>
      <x:c r="F5" s="23" t="str">
        <x:v>YouTube / 英语</x:v>
      </x:c>
      <x:c r="G5" s="23" t="str">
        <x:v>Blender</x:v>
      </x:c>
      <x:c r="H5" s="23" t="str">
        <x:v>头部 / 脸</x:v>
      </x:c>
      <x:c r="I5" s="23" t="str">
        <x:v>从球体开始的风格化头部雕刻</x:v>
      </x:c>
      <x:c r="J5" s="23" t="str">
        <x:v>短时长 Blender 头部案例，适合观察从基础体到角色头部轮廓的快速变化。</x:v>
      </x:c>
      <x:c r="K5" s="23" t="str">
        <x:v>球体起步、头部比例、轮廓拉伸、五官粗定位</x:v>
      </x:c>
      <x:c r="L5" s="23" t="str">
        <x:v>@李依桐</x:v>
      </x:c>
      <x:c r="M5" s="23" t="n">
        <x:v>7</x:v>
      </x:c>
    </x:row>
    <x:row r="6" ht="44" customHeight="1">
      <x:c r="A6" s="14" t="n">
        <x:v>4</x:v>
      </x:c>
      <x:c r="B6" s="14" t="str">
        <x:v>T02</x:v>
      </x:c>
      <x:c r="C6" s="14" t="str">
        <x:v>1分01秒</x:v>
      </x:c>
      <x:c r="D6" s="23" t="str">
        <x:v>如何在 1 分钟内创建低面数岩石</x:v>
      </x:c>
      <x:c r="E6" s="23" t="str">
        <x:v>https://www.youtube.com/watch?v=4EqLyGsu3AA</x:v>
      </x:c>
      <x:c r="F6" s="23" t="str">
        <x:v>YouTube / 英语</x:v>
      </x:c>
      <x:c r="G6" s="23" t="str">
        <x:v>Blender</x:v>
      </x:c>
      <x:c r="H6" s="23" t="str">
        <x:v>自然道具</x:v>
      </x:c>
      <x:c r="I6" s="23" t="str">
        <x:v>低面数自然道具快速建模</x:v>
      </x:c>
      <x:c r="J6" s="23" t="str">
        <x:v>非常短，适合作为道具生成和 low-poly 风格的快速案例。</x:v>
      </x:c>
      <x:c r="K6" s="23" t="str">
        <x:v>岩石轮廓、低面化简、快速道具变体</x:v>
      </x:c>
      <x:c r="L6" s="23" t="str">
        <x:v>@李依桐</x:v>
      </x:c>
      <x:c r="M6" s="23" t="n">
        <x:v>5</x:v>
      </x:c>
    </x:row>
    <x:row r="7" ht="44" customHeight="1">
      <x:c r="A7" s="14" t="n">
        <x:v>5</x:v>
      </x:c>
      <x:c r="B7" s="14" t="str">
        <x:v>T03</x:v>
      </x:c>
      <x:c r="C7" s="14" t="str">
        <x:v>10分47秒</x:v>
      </x:c>
      <x:c r="D7" s="23" t="str">
        <x:v>Blender 2.91 硬表面裂缝雕刻</x:v>
      </x:c>
      <x:c r="E7" s="23" t="str">
        <x:v>https://www.youtube.com/watch?v=fHGDeNKFzM4</x:v>
      </x:c>
      <x:c r="F7" s="23" t="str">
        <x:v>YouTube / 英语</x:v>
      </x:c>
      <x:c r="G7" s="23" t="str">
        <x:v>Blender</x:v>
      </x:c>
      <x:c r="H7" s="23" t="str">
        <x:v>头部 / 硬表面</x:v>
      </x:c>
      <x:c r="I7" s="23" t="str">
        <x:v>硬表面裂缝与局部细节</x:v>
      </x:c>
      <x:c r="J7" s="23" t="str">
        <x:v>较短的 Blender 硬表面/裂缝细节案例，可补充非有机局部操作。</x:v>
      </x:c>
      <x:c r="K7" s="23" t="str">
        <x:v>裂缝切割、局部细节、表面整理</x:v>
      </x:c>
      <x:c r="L7" s="23" t="str">
        <x:v>@李依桐</x:v>
      </x:c>
      <x:c r="M7" s="23" t="n">
        <x:v>5</x:v>
      </x:c>
    </x:row>
    <x:row r="8" ht="44" customHeight="1">
      <x:c r="A8" s="14" t="n">
        <x:v>6</x:v>
      </x:c>
      <x:c r="B8" s="14" t="str">
        <x:v>T04</x:v>
      </x:c>
      <x:c r="C8" s="14" t="str">
        <x:v>9分36秒</x:v>
      </x:c>
      <x:c r="D8" s="23" t="str">
        <x:v>动漫角色三维建模教程：服装雕刻</x:v>
      </x:c>
      <x:c r="E8" s="23" t="str">
        <x:v>https://www.youtube.com/watch?v=2qGMGXF2lVg</x:v>
      </x:c>
      <x:c r="F8" s="23" t="str">
        <x:v>YouTube / 英语</x:v>
      </x:c>
      <x:c r="G8" s="23" t="str">
        <x:v>ZBrush</x:v>
      </x:c>
      <x:c r="H8" s="23" t="str">
        <x:v>完整角色</x:v>
      </x:c>
      <x:c r="I8" s="23" t="str">
        <x:v>角色服装雕刻 / 建模</x:v>
      </x:c>
      <x:c r="J8" s="23" t="str">
        <x:v>Maya 高分短视频，覆盖服装褶皱而不是只看脸部拓扑。</x:v>
      </x:c>
      <x:c r="K8" s="23" t="str">
        <x:v>服装形体、褶皱/刻痕、角色局部细化</x:v>
      </x:c>
      <x:c r="L8" s="23" t="str">
        <x:v>@李依桐</x:v>
      </x:c>
      <x:c r="M8" s="23" t="n">
        <x:v>6</x:v>
      </x:c>
    </x:row>
    <x:row r="9" ht="44" customHeight="1">
      <x:c r="A9" s="14" t="n">
        <x:v>7</x:v>
      </x:c>
      <x:c r="B9" s="14" t="str">
        <x:v>T05</x:v>
      </x:c>
      <x:c r="C9" s="14" t="str">
        <x:v>8分54秒</x:v>
      </x:c>
      <x:c r="D9" s="23" t="str">
        <x:v>在 Maya 中制作低面数岩石：简单岩石与石块</x:v>
      </x:c>
      <x:c r="E9" s="23" t="str">
        <x:v>https://www.youtube.com/watch?v=8LUTku3AN50</x:v>
      </x:c>
      <x:c r="F9" s="23" t="str">
        <x:v>YouTube / 英语</x:v>
      </x:c>
      <x:c r="G9" s="23" t="str">
        <x:v>Maya</x:v>
      </x:c>
      <x:c r="H9" s="23" t="str">
        <x:v>自然道具</x:v>
      </x:c>
      <x:c r="I9" s="23" t="str">
        <x:v>风格化自然道具建模</x:v>
      </x:c>
      <x:c r="J9" s="23" t="str">
        <x:v>覆盖非角色创意道具与低面风格，时长适中。</x:v>
      </x:c>
      <x:c r="K9" s="23" t="str">
        <x:v>岩石轮廓、低面化简、道具变体</x:v>
      </x:c>
      <x:c r="L9" s="23" t="str">
        <x:v>@李依桐</x:v>
      </x:c>
      <x:c r="M9" s="23" t="n">
        <x:v>6</x:v>
      </x:c>
    </x:row>
    <x:row r="10" ht="44" customHeight="1">
      <x:c r="A10" s="14" t="n">
        <x:v>8</x:v>
      </x:c>
      <x:c r="B10" s="14" t="str">
        <x:v>T06</x:v>
      </x:c>
      <x:c r="C10" s="14" t="str">
        <x:v>9分32秒</x:v>
      </x:c>
      <x:c r="D10" s="23" t="str">
        <x:v>3D风格化角色《考古学家》制作全流程！</x:v>
      </x:c>
      <x:c r="E10" s="23" t="str">
        <x:v>http://www.bilibili.com/video/av460852040</x:v>
      </x:c>
      <x:c r="F10" s="23" t="str">
        <x:v>Bilibili / 中文</x:v>
      </x:c>
      <x:c r="G10" s="23" t="str">
        <x:v>Maya</x:v>
      </x:c>
      <x:c r="H10" s="23" t="str">
        <x:v>完整角色</x:v>
      </x:c>
      <x:c r="I10" s="23" t="str">
        <x:v>风格化角色制作流程</x:v>
      </x:c>
      <x:c r="J10" s="23" t="str">
        <x:v>短时长中文 Maya 角色案例，保留中文平台覆盖。</x:v>
      </x:c>
      <x:c r="K10" s="23" t="str">
        <x:v>角色比例、风格化部件、流程推进</x:v>
      </x:c>
      <x:c r="L10" s="23" t="str">
        <x:v>@张帅</x:v>
      </x:c>
      <x:c r="M10" s="23" t="n">
        <x:v>7</x:v>
      </x:c>
    </x:row>
    <x:row r="11" ht="44" customHeight="1">
      <x:c r="A11" s="14" t="n">
        <x:v>9</x:v>
      </x:c>
      <x:c r="B11" s="14" t="str">
        <x:v>T07</x:v>
      </x:c>
      <x:c r="C11" s="14" t="str">
        <x:v>1分13秒</x:v>
      </x:c>
      <x:c r="D11" s="23" t="str">
        <x:v>Cinema 4D 三维角色创建：机器人建模</x:v>
      </x:c>
      <x:c r="E11" s="23" t="str">
        <x:v>https://www.youtube.com/watch?v=deu7IuUYeiU</x:v>
      </x:c>
      <x:c r="F11" s="23" t="str">
        <x:v>YouTube / 英语</x:v>
      </x:c>
      <x:c r="G11" s="23" t="str">
        <x:v>Cinema 4D</x:v>
      </x:c>
      <x:c r="H11" s="23" t="str">
        <x:v>完整角色</x:v>
      </x:c>
      <x:c r="I11" s="23" t="str">
        <x:v>机器人角色快速建模</x:v>
      </x:c>
      <x:c r="J11" s="23" t="str">
        <x:v>极短 C4D 角色/机器人案例，适合快速初筛。</x:v>
      </x:c>
      <x:c r="K11" s="23" t="str">
        <x:v>基础体拼装、机器人比例、硬表面组件</x:v>
      </x:c>
      <x:c r="L11" s="23" t="str">
        <x:v>@张帅</x:v>
      </x:c>
      <x:c r="M11" s="23" t="n">
        <x:v>0</x:v>
      </x:c>
    </x:row>
    <x:row r="12" ht="44" customHeight="1">
      <x:c r="A12" s="14" t="n">
        <x:v>10</x:v>
      </x:c>
      <x:c r="B12" s="14" t="str">
        <x:v>T08</x:v>
      </x:c>
      <x:c r="C12" s="14" t="str">
        <x:v>10分50秒</x:v>
      </x:c>
      <x:c r="D12" s="23" t="str">
        <x:v>如何制作真实服装褶皱：三维建模教程</x:v>
      </x:c>
      <x:c r="E12" s="23" t="str">
        <x:v>https://www.youtube.com/watch?v=gonaSjFkukM</x:v>
      </x:c>
      <x:c r="F12" s="23" t="str">
        <x:v>YouTube / 英语</x:v>
      </x:c>
      <x:c r="G12" s="23" t="str">
        <x:v>Cinema 4D</x:v>
      </x:c>
      <x:c r="H12" s="23" t="str">
        <x:v>角色局部</x:v>
      </x:c>
      <x:c r="I12" s="23" t="str">
        <x:v>服装褶皱建模</x:v>
      </x:c>
      <x:c r="J12" s="23" t="str">
        <x:v>C4D 服装局部案例，补充角色部件和表面细节。</x:v>
      </x:c>
      <x:c r="K12" s="23" t="str">
        <x:v>褶皱建构、局部细节、表面整理</x:v>
      </x:c>
      <x:c r="L12" s="23" t="str">
        <x:v>@张帅</x:v>
      </x:c>
      <x:c r="M12" s="23" t="n">
        <x:v>6</x:v>
      </x:c>
    </x:row>
    <x:row r="13" ht="44" customHeight="1">
      <x:c r="A13" s="14" t="n">
        <x:v>11</x:v>
      </x:c>
      <x:c r="B13" s="14" t="str">
        <x:v>T09</x:v>
      </x:c>
      <x:c r="C13" s="14" t="str">
        <x:v>1分47秒</x:v>
      </x:c>
      <x:c r="D13" s="23" t="str">
        <x:v>创建卡通角色：三维建模工作流</x:v>
      </x:c>
      <x:c r="E13" s="23" t="str">
        <x:v>https://www.youtube.com/watch?v=2HVmxpO5ol4</x:v>
      </x:c>
      <x:c r="F13" s="23" t="str">
        <x:v>YouTube / 英语</x:v>
      </x:c>
      <x:c r="G13" s="23" t="str">
        <x:v>3ds Max</x:v>
      </x:c>
      <x:c r="H13" s="23" t="str">
        <x:v>完整角色</x:v>
      </x:c>
      <x:c r="I13" s="23" t="str">
        <x:v>卡通角色工作流</x:v>
      </x:c>
      <x:c r="J13" s="23" t="str">
        <x:v>非常短的 3ds Max 角色工作流，可快速标记主要行为。</x:v>
      </x:c>
      <x:c r="K13" s="23" t="str">
        <x:v>低面/风格化角色流程、轮廓简化</x:v>
      </x:c>
      <x:c r="L13" s="23" t="str">
        <x:v>@张帅</x:v>
      </x:c>
      <x:c r="M13" s="23" t="n">
        <x:v>5</x:v>
      </x:c>
    </x:row>
    <x:row r="14" ht="44" customHeight="1">
      <x:c r="A14" s="14" t="n">
        <x:v>12</x:v>
      </x:c>
      <x:c r="B14" s="14" t="str">
        <x:v>T10</x:v>
      </x:c>
      <x:c r="C14" s="14" t="str">
        <x:v>4分28秒</x:v>
      </x:c>
      <x:c r="D14" s="23" t="str">
        <x:v>【3ds Max】大象游戏建模演示，动物低模制作过程演示</x:v>
      </x:c>
      <x:c r="E14" s="23" t="str">
        <x:v>http://www.bilibili.com/video/av884320784</x:v>
      </x:c>
      <x:c r="F14" s="23" t="str">
        <x:v>Bilibili / 中文</x:v>
      </x:c>
      <x:c r="G14" s="23" t="str">
        <x:v>3ds Max</x:v>
      </x:c>
      <x:c r="H14" s="23" t="str">
        <x:v>生物</x:v>
      </x:c>
      <x:c r="I14" s="23" t="str">
        <x:v>动物低模建模</x:v>
      </x:c>
      <x:c r="J14" s="23" t="str">
        <x:v>中文 3ds Max 生物/动物案例，时长短，适合观察低模创作。</x:v>
      </x:c>
      <x:c r="K14" s="23" t="str">
        <x:v>动物轮廓、低模体块、局部形体调整</x:v>
      </x:c>
      <x:c r="L14" s="23" t="str">
        <x:v>@张帅</x:v>
      </x:c>
      <x:c r="M14" s="23" t="n">
        <x:v>6</x:v>
      </x:c>
    </x:row>
    <x:row r="15" ht="44" customHeight="1">
      <x:c r="A15" s="14" t="n">
        <x:v>13</x:v>
      </x:c>
      <x:c r="B15" s="14" t="str">
        <x:v>T11</x:v>
      </x:c>
      <x:c r="C15" s="14" t="str">
        <x:v>9分13秒</x:v>
      </x:c>
      <x:c r="D15" s="23" t="str">
        <x:v>3ds Max 石头建模：布线技巧与逼真石头模型效果</x:v>
      </x:c>
      <x:c r="E15" s="23" t="str">
        <x:v>http://www.bilibili.com/video/av812499033</x:v>
      </x:c>
      <x:c r="F15" s="23" t="str">
        <x:v>Bilibili / 中文</x:v>
      </x:c>
      <x:c r="G15" s="23" t="str">
        <x:v>3ds Max</x:v>
      </x:c>
      <x:c r="H15" s="23" t="str">
        <x:v>自然道具</x:v>
      </x:c>
      <x:c r="I15" s="23" t="str">
        <x:v>石头道具建模</x:v>
      </x:c>
      <x:c r="J15" s="23" t="str">
        <x:v>中文 3ds Max 道具案例，补充自然道具与布线技巧。</x:v>
      </x:c>
      <x:c r="K15" s="23" t="str">
        <x:v>石头轮廓、布线、表面细节、道具变化</x:v>
      </x:c>
      <x:c r="L15" s="23" t="str">
        <x:v>@Yiyun Wang</x:v>
      </x:c>
      <x:c r="M15" s="23" t="n">
        <x:v>7</x:v>
      </x:c>
    </x:row>
    <x:row r="16" ht="44" customHeight="1">
      <x:c r="A16" s="14" t="n">
        <x:v>14</x:v>
      </x:c>
      <x:c r="B16" s="14" t="str">
        <x:v>T12</x:v>
      </x:c>
      <x:c r="C16" s="14" t="str">
        <x:v>2分25秒</x:v>
      </x:c>
      <x:c r="D16" s="23" t="str">
        <x:v>ZBrush 服装褶皱雕刻</x:v>
      </x:c>
      <x:c r="E16" s="23" t="str">
        <x:v>https://www.youtube.com/watch?v=vw40L7LfJJM</x:v>
      </x:c>
      <x:c r="F16" s="23" t="str">
        <x:v>YouTube / 英语</x:v>
      </x:c>
      <x:c r="G16" s="23" t="str">
        <x:v>ZBrush</x:v>
      </x:c>
      <x:c r="H16" s="23" t="str">
        <x:v>角色局部</x:v>
      </x:c>
      <x:c r="I16" s="23" t="str">
        <x:v>服装褶皱与局部细节</x:v>
      </x:c>
      <x:c r="J16" s="23" t="str">
        <x:v>短而聚焦的 ZBrush 局部细节案例，适合分析意图歧义。</x:v>
      </x:c>
      <x:c r="K16" s="23" t="str">
        <x:v>褶皱/刻痕雕刻、局部细节添加、表面整理</x:v>
      </x:c>
      <x:c r="L16" s="23" t="str">
        <x:v>@Yiyun Wang</x:v>
      </x:c>
      <x:c r="M16" s="23" t="n">
        <x:v>7</x:v>
      </x:c>
    </x:row>
    <x:row r="17" ht="44" customHeight="1">
      <x:c r="A17" s="14" t="n">
        <x:v>15</x:v>
      </x:c>
      <x:c r="B17" s="14" t="str">
        <x:v>T13</x:v>
      </x:c>
      <x:c r="C17" s="14" t="str">
        <x:v>4分21秒</x:v>
      </x:c>
      <x:c r="D17" s="23" t="str">
        <x:v>【ZBrush褶皱技巧】一次性解决你90%的衣服制作问题 / ZBrush衣服/服装雕刻</x:v>
      </x:c>
      <x:c r="E17" s="23" t="str">
        <x:v>http://www.bilibili.com/video/av1704431804</x:v>
      </x:c>
      <x:c r="F17" s="23" t="str">
        <x:v>Bilibili / 中文</x:v>
      </x:c>
      <x:c r="G17" s="23" t="str">
        <x:v>ZBrush</x:v>
      </x:c>
      <x:c r="H17" s="23" t="str">
        <x:v>角色局部</x:v>
      </x:c>
      <x:c r="I17" s="23" t="str">
        <x:v>中文服装褶皱技巧</x:v>
      </x:c>
      <x:c r="J17" s="23" t="str">
        <x:v>中文 ZBrush 服装局部案例，适合和英文 ZBrush 褶皱案例对照。</x:v>
      </x:c>
      <x:c r="K17" s="23" t="str">
        <x:v>布褶、刻痕、表面整理、细节强化</x:v>
      </x:c>
      <x:c r="L17" s="23" t="str">
        <x:v>@Yiyun Wang</x:v>
      </x:c>
      <x:c r="M17" s="23" t="n">
        <x:v>6</x:v>
      </x:c>
    </x:row>
    <x:row r="18" ht="44" customHeight="1">
      <x:c r="A18" s="14" t="n">
        <x:v>16</x:v>
      </x:c>
      <x:c r="B18" s="14" t="str">
        <x:v>T14</x:v>
      </x:c>
      <x:c r="C18" s="14" t="str">
        <x:v>9分37秒</x:v>
      </x:c>
      <x:c r="D18" s="23" t="str">
        <x:v>Nomad Sculpt 风格化角色雕刻教程</x:v>
      </x:c>
      <x:c r="E18" s="23" t="str">
        <x:v>https://www.youtube.com/watch?v=G_IHhCIOgfg</x:v>
      </x:c>
      <x:c r="F18" s="23" t="str">
        <x:v>YouTube / 英语</x:v>
      </x:c>
      <x:c r="G18" s="23" t="str">
        <x:v>Nomad Sculpt</x:v>
      </x:c>
      <x:c r="H18" s="23" t="str">
        <x:v>完整角色</x:v>
      </x:c>
      <x:c r="I18" s="23" t="str">
        <x:v>移动端风格化角色雕刻</x:v>
      </x:c>
      <x:c r="J18" s="23" t="str">
        <x:v>短时长 Nomad 完整角色案例，覆盖移动端雕刻流程。</x:v>
      </x:c>
      <x:c r="K18" s="23" t="str">
        <x:v>触控/移动端雕刻、身体/脸部比例、细节细化</x:v>
      </x:c>
      <x:c r="L18" s="23" t="str">
        <x:v>@Yiyun Wang</x:v>
      </x:c>
      <x:c r="M18" s="23" t="n">
        <x:v>7</x:v>
      </x:c>
    </x:row>
    <x:row r="19" ht="44" customHeight="1">
      <x:c r="A19" s="14" t="n">
        <x:v>17</x:v>
      </x:c>
      <x:c r="B19" s="14" t="str">
        <x:v>T15</x:v>
      </x:c>
      <x:c r="C19" s="14" t="str">
        <x:v>2分41秒</x:v>
      </x:c>
      <x:c r="D19" s="23" t="str">
        <x:v>Nomad Sculpt 剑柄雕刻第一部分</x:v>
      </x:c>
      <x:c r="E19" s="23" t="str">
        <x:v>https://www.youtube.com/watch?v=EraY-tIphtQ</x:v>
      </x:c>
      <x:c r="F19" s="23" t="str">
        <x:v>YouTube / 英语</x:v>
      </x:c>
      <x:c r="G19" s="23" t="str">
        <x:v>Nomad Sculpt</x:v>
      </x:c>
      <x:c r="H19" s="23" t="str">
        <x:v>武器道具</x:v>
      </x:c>
      <x:c r="I19" s="23" t="str">
        <x:v>移动端武器道具建模</x:v>
      </x:c>
      <x:c r="J19" s="23" t="str">
        <x:v>Nomad 道具案例，补充角色之外的创意对象。</x:v>
      </x:c>
      <x:c r="K19" s="23" t="str">
        <x:v>剑柄体块、局部装饰、道具比例</x:v>
      </x:c>
      <x:c r="L19" s="23" t="str">
        <x:v>@Yiyun Wang</x:v>
      </x:c>
      <x:c r="M19" s="23" t="n">
        <x:v>7</x:v>
      </x:c>
    </x:row>
    <x:row r="20" ht="44" customHeight="1">
      <x:c r="A20" s="15" t="n">
        <x:v>18</x:v>
      </x:c>
      <x:c r="B20" s="15" t="str">
        <x:v>case</x:v>
      </x:c>
      <x:c r="C20" s="15" t="str"/>
      <x:c r="D20" s="24" t="str">
        <x:v>【Maya建模】超帅机甲头盔模型制作，次世代硬表面布线基础教学</x:v>
      </x:c>
      <x:c r="E20" s="24" t="str">
        <x:v>http://www.bilibili.com/video/av115105257954495</x:v>
      </x:c>
      <x:c r="F20" s="24" t="str">
        <x:v>Bilibili / 中文</x:v>
      </x:c>
      <x:c r="G20" s="24" t="str">
        <x:v>Maya</x:v>
      </x:c>
      <x:c r="H20" s="24" t="str">
        <x:v>头部 / 硬表面</x:v>
      </x:c>
      <x:c r="I20" s="24" t="str">
        <x:v>硬表面裂缝与局部细节</x:v>
      </x:c>
      <x:c r="J20" s="24" t="str">
        <x:v>Maya建模，机甲头盔模型制作</x:v>
      </x:c>
      <x:c r="K20" s="24" t="str"/>
      <x:c r="L20" s="24" t="str">
        <x:v>@李雪琛</x:v>
      </x:c>
      <x:c r="M20" s="24" t="n">
        <x:v>7</x:v>
      </x:c>
    </x:row>
  </x:sheetData>
  <x:mergeCells>
    <x:mergeCell ref="A1:M1"/>
    <x:mergeCell ref="A2:M2"/>
  </x:mergeCells>
  <x:conditionalFormatting sqref="M5:M20">
    <x:cfRule type="cellIs" dxfId="3" priority="1" operator="equal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dc871d11f74496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20" hidden="0" customWidth="1"/>
    <x:col min="4" max="4" width="46" hidden="0" customWidth="1"/>
  </x:cols>
  <x:sheetData>
    <x:row r="1" ht="30" customHeight="1">
      <x:c r="A1" s="2" t="str">
        <x:v>展开与编码 QA</x:v>
      </x:c>
    </x:row>
    <x:row r="2" ht="32" customHeight="1">
      <x:c r="A2" s="5" t="str">
        <x:v>用于确认 94 条原始描述没有遗漏，并跟踪 taxonomy 与案例库就绪度。</x:v>
      </x:c>
    </x:row>
    <x:row r="4">
      <x:c r="A4" s="16" t="str">
        <x:v>检查</x:v>
      </x:c>
      <x:c r="B4" s="16" t="str">
        <x:v>值</x:v>
      </x:c>
      <x:c r="C4" s="16" t="str">
        <x:v>标准</x:v>
      </x:c>
      <x:c r="D4" s="16" t="str">
        <x:v>解释</x:v>
      </x:c>
    </x:row>
    <x:row r="5" ht="32" customHeight="1">
      <x:c r="A5" s="20" t="str">
        <x:v>源视频行</x:v>
      </x:c>
      <x:c r="B5" s="20" t="n">
        <x:v>16</x:v>
      </x:c>
      <x:c r="C5" s="20" t="str">
        <x:v>16</x:v>
      </x:c>
      <x:c r="D5" s="20" t="str">
        <x:v>保留全部源行</x:v>
      </x:c>
    </x:row>
    <x:row r="6" ht="32" customHeight="1">
      <x:c r="A6" s="21" t="str">
        <x:v>展开行为行</x:v>
      </x:c>
      <x:c r="B6" s="21" t="n">
        <x:f>COUNTA('Behavior_Coding_94'!A5:A98)</x:f>
        <x:v>94</x:v>
      </x:c>
      <x:c r="C6" s="21" t="str">
        <x:v>94</x:v>
      </x:c>
      <x:c r="D6" s="21" t="str">
        <x:v>一条自然语言行为一行</x:v>
      </x:c>
    </x:row>
    <x:row r="7" ht="32" customHeight="1">
      <x:c r="A7" s="21" t="str">
        <x:v>非空且唯一 behavior_id</x:v>
      </x:c>
      <x:c r="B7" s="21" t="n">
        <x:f>COUNTA('Behavior_Coding_94'!A5:A98)</x:f>
        <x:v>94</x:v>
      </x:c>
      <x:c r="C7" s="21" t="str">
        <x:v>94</x:v>
      </x:c>
      <x:c r="D7" s="21" t="str">
        <x:v>工作簿公式计数非空；构建时另用 Set 核验唯一</x:v>
      </x:c>
    </x:row>
    <x:row r="8" ht="32" customHeight="1">
      <x:c r="A8" s="21" t="str">
        <x:v>空 raw_behavior_text</x:v>
      </x:c>
      <x:c r="B8" s="21" t="n">
        <x:f>COUNTBLANK('Behavior_Coding_94'!J5:J98)</x:f>
        <x:v>0</x:v>
      </x:c>
      <x:c r="C8" s="21" t="str">
        <x:v>0</x:v>
      </x:c>
      <x:c r="D8" s="21" t="str">
        <x:v>不应出现</x:v>
      </x:c>
    </x:row>
    <x:row r="9" ht="32" customHeight="1">
      <x:c r="A9" s="21" t="str">
        <x:v>无行为视频</x:v>
      </x:c>
      <x:c r="B9" s="21" t="n">
        <x:f>COUNTIF('Video_Index_16'!M5:M20,0)</x:f>
        <x:v>1</x:v>
      </x:c>
      <x:c r="C9" s="21" t="str">
        <x:v>1</x:v>
      </x:c>
      <x:c r="D9" s="21" t="str">
        <x:v>T07 暂无描述</x:v>
      </x:c>
    </x:row>
    <x:row r="10" ht="32" customHeight="1">
      <x:c r="A10" s="21" t="str">
        <x:v>Taxonomy ready</x:v>
      </x:c>
      <x:c r="B10" s="21" t="n">
        <x:f>COUNTIF('Behavior_Coding_94'!X5:X98,"TAXONOMY_READY")</x:f>
        <x:v>0</x:v>
      </x:c>
      <x:c r="C10" s="21" t="str">
        <x:v>初始 0</x:v>
      </x:c>
      <x:c r="D10" s="21" t="str">
        <x:v>填写并复核后增加</x:v>
      </x:c>
    </x:row>
    <x:row r="11" ht="32" customHeight="1">
      <x:c r="A11" s="21" t="str">
        <x:v>Needs review</x:v>
      </x:c>
      <x:c r="B11" s="21" t="n">
        <x:f>COUNTIF('Behavior_Coding_94'!X5:X98,"REVIEW")</x:f>
        <x:v>0</x:v>
      </x:c>
      <x:c r="C11" s="21" t="str">
        <x:v>动态</x:v>
      </x:c>
      <x:c r="D11" s="21" t="str">
        <x:v>部分字段缺失或无效</x:v>
      </x:c>
    </x:row>
    <x:row r="12" ht="32" customHeight="1">
      <x:c r="A12" s="21" t="str">
        <x:v>Case ready</x:v>
      </x:c>
      <x:c r="B12" s="21" t="n">
        <x:f>COUNTIF('Behavior_Coding_94'!Y5:Y98,"CASE_READY")</x:f>
        <x:v>0</x:v>
      </x:c>
      <x:c r="C12" s="21" t="str">
        <x:v>初始 0</x:v>
      </x:c>
      <x:c r="D12" s="21" t="str">
        <x:v>需时间边界 + Adjudicated</x:v>
      </x:c>
    </x:row>
    <x:row r="13" ht="32" customHeight="1">
      <x:c r="A13" s="22" t="str">
        <x:v>源截图非空</x:v>
      </x:c>
      <x:c r="B13" s="22" t="n">
        <x:v>0</x:v>
      </x:c>
      <x:c r="C13" s="22" t="str">
        <x:v>0</x:v>
      </x:c>
      <x:c r="D13" s="22" t="str">
        <x:v>原表截图列均为空</x:v>
      </x:c>
    </x:row>
  </x:sheetData>
  <x:mergeCells>
    <x:mergeCell ref="A1:D1"/>
    <x:mergeCell ref="A2:D2"/>
  </x:mergeCells>
  <x:pageMargins left="0.7" right="0.7" top="0.75" bottom="0.75" header="0.3" footer="0.3"/>
</x:worksheet>
</file>