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48ee7ff4e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执行方案" sheetId="1" r:id="R0c86557b9aca445b"/>
    <x:sheet xmlns:r="http://schemas.openxmlformats.org/officeDocument/2006/relationships" name="Video_Index_200" sheetId="2" r:id="R221b0d7ec5d64db0"/>
    <x:sheet xmlns:r="http://schemas.openxmlformats.org/officeDocument/2006/relationships" name="Pilot_6" sheetId="3" r:id="Rf4b2b8e053a74701"/>
    <x:sheet xmlns:r="http://schemas.openxmlformats.org/officeDocument/2006/relationships" name="Taxonomy" sheetId="4" r:id="R4e3dfe85ff4f4ed7"/>
    <x:sheet xmlns:r="http://schemas.openxmlformats.org/officeDocument/2006/relationships" name="Episode_Coding" sheetId="5" r:id="R5ca5e53056f442af"/>
    <x:sheet xmlns:r="http://schemas.openxmlformats.org/officeDocument/2006/relationships" name="示例_3" sheetId="6" r:id="R36d4eaea54e547c8"/>
    <x:sheet xmlns:r="http://schemas.openxmlformats.org/officeDocument/2006/relationships" name="Data_QA" sheetId="7" r:id="R6df8c39109c7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2"/>
      <x:color rgb="FF17324D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F2B134"/>
      </x:patternFill>
    </x:fill>
    <x:fill>
      <x:patternFill patternType="solid">
        <x:fgColor rgb="FF007C83"/>
      </x:patternFill>
    </x:fill>
  </x:fills>
  <x:borders count="4">
    <x:border/>
    <x:border>
      <x:bottom style="thin">
        <x:color rgb="FFD7E2E8"/>
      </x:bottom>
    </x:border>
    <x:border>
      <x:top style="thin">
        <x:color rgb="FFD7E2E8"/>
      </x:top>
      <x:bottom style="thin">
        <x:color rgb="FFD7E2E8"/>
      </x:bottom>
    </x:border>
    <x:border>
      <x:top style="thin">
        <x:color rgb="FFD7E2E8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5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5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7324D"/>
      </x:font>
      <x:fill>
        <x:patternFill patternType="solid">
          <x:bgColor rgb="FFF2B134"/>
        </x:patternFill>
      </x:fill>
    </x:dxf>
    <x:dxf>
      <x:font>
        <x:b/>
        <x:color rgb="FFB23A48"/>
      </x:font>
      <x:fill>
        <x:patternFill patternType="solid">
          <x:bgColor rgb="FFFADBD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B23A48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505668a394845" /><Relationship Type="http://schemas.openxmlformats.org/officeDocument/2006/relationships/theme" Target="/xl/theme/theme1.xml" Id="Rd0dd47f7b4c8467e" /><Relationship Type="http://schemas.openxmlformats.org/officeDocument/2006/relationships/sharedStrings" Target="/xl/sharedStrings.xml" Id="R28aacc0a42a24afe" /><Relationship Type="http://schemas.openxmlformats.org/officeDocument/2006/relationships/worksheet" Target="/xl/worksheets/sheet1.xml" Id="R0c86557b9aca445b" /><Relationship Type="http://schemas.openxmlformats.org/officeDocument/2006/relationships/worksheet" Target="/xl/worksheets/sheet2.xml" Id="R221b0d7ec5d64db0" /><Relationship Type="http://schemas.openxmlformats.org/officeDocument/2006/relationships/worksheet" Target="/xl/worksheets/sheet3.xml" Id="Rf4b2b8e053a74701" /><Relationship Type="http://schemas.openxmlformats.org/officeDocument/2006/relationships/worksheet" Target="/xl/worksheets/sheet4.xml" Id="R4e3dfe85ff4f4ed7" /><Relationship Type="http://schemas.openxmlformats.org/officeDocument/2006/relationships/worksheet" Target="/xl/worksheets/sheet5.xml" Id="R5ca5e53056f442af" /><Relationship Type="http://schemas.openxmlformats.org/officeDocument/2006/relationships/worksheet" Target="/xl/worksheets/sheet6.xml" Id="R36d4eaea54e547c8" /><Relationship Type="http://schemas.openxmlformats.org/officeDocument/2006/relationships/worksheet" Target="/xl/worksheets/sheet7.xml" Id="R6df8c39109c74110" /></Relationships>
</file>

<file path=xl/tables/table1.xml><?xml version="1.0" encoding="utf-8"?>
<x:table xmlns:x="http://schemas.openxmlformats.org/spreadsheetml/2006/main" id="1" name="ProtocolSteps" displayName="ProtocolSteps" ref="A5:D12" headerRowCount="1" totalsRowCount="0" totalsRowShown="0">
  <x:tableColumns count="4">
    <x:tableColumn id="1" name="步骤"/>
    <x:tableColumn id="2" name="动作"/>
    <x:tableColumn id="3" name="怎么做"/>
    <x:tableColumn id="4" name="通过标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deoIndex" displayName="VideoIndex" ref="A4:K204" headerRowCount="1" totalsRowCount="0" totalsRowShown="0">
  <x:tableColumns count="11">
    <x:tableColumn id="1" name="source_row"/>
    <x:tableColumn id="2" name="video_id"/>
    <x:tableColumn id="3" name="platform"/>
    <x:tableColumn id="4" name="software"/>
    <x:tableColumn id="5" name="title"/>
    <x:tableColumn id="6" name="url"/>
    <x:tableColumn id="7" name="content_object"/>
    <x:tableColumn id="8" name="query"/>
    <x:tableColumn id="9" name="selected_pilot"/>
    <x:tableColumn id="10" name="metadata_QA"/>
    <x:tableColumn id="11" name="QA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Queue" displayName="PilotQueue" ref="A4:K10" headerRowCount="1" totalsRowCount="0" totalsRowShown="0">
  <x:tableColumns count="11">
    <x:tableColumn id="1" name="video_id"/>
    <x:tableColumn id="2" name="platform"/>
    <x:tableColumn id="3" name="software"/>
    <x:tableColumn id="4" name="content_object"/>
    <x:tableColumn id="5" name="title"/>
    <x:tableColumn id="6" name="url"/>
    <x:tableColumn id="7" name="selection_reason"/>
    <x:tableColumn id="8" name="feasibility_status"/>
    <x:tableColumn id="9" name="coders"/>
    <x:tableColumn id="10" name="target_episodes"/>
    <x:tableColumn id="11" name="screening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xonomyRules" displayName="TaxonomyRules" ref="A4:E17" headerRowCount="1" totalsRowCount="0" totalsRowShown="0">
  <x:tableColumns count="5">
    <x:tableColumn id="1" name="field"/>
    <x:tableColumn id="2" name="how_to_label"/>
    <x:tableColumn id="3" name="allowed_value_or_example"/>
    <x:tableColumn id="4" name="case_library_role"/>
    <x:tableColumn id="5" name="responsi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pisodeCoding" displayName="EpisodeCoding" ref="A4:T124" headerRowCount="1" totalsRowCount="0" totalsRowShown="0">
  <x:tableColumns count="20">
    <x:tableColumn id="1" name="annotation_id"/>
    <x:tableColumn id="2" name="episode_id"/>
    <x:tableColumn id="3" name="video_id"/>
    <x:tableColumn id="4" name="coder_id"/>
    <x:tableColumn id="5" name="start_s"/>
    <x:tableColumn id="6" name="end_s"/>
    <x:tableColumn id="7" name="duration_s"/>
    <x:tableColumn id="8" name="observable_action_sequence"/>
    <x:tableColumn id="9" name="target"/>
    <x:tableColumn id="10" name="scene_change"/>
    <x:tableColumn id="11" name="goal"/>
    <x:tableColumn id="12" name="desired_effect"/>
    <x:tableColumn id="13" name="interaction_function"/>
    <x:tableColumn id="14" name="preserve_constraint"/>
    <x:tableColumn id="15" name="alternative_intent"/>
    <x:tableColumn id="16" name="confidence"/>
    <x:tableColumn id="17" name="outcome_repair"/>
    <x:tableColumn id="18" name="evidence_note"/>
    <x:tableColumn id="19" name="provenance"/>
    <x:tableColumn id="20" name="QA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dingExamples" displayName="CodingExamples" ref="A4:T7" headerRowCount="1" totalsRowCount="0" totalsRowShown="0">
  <x:tableColumns count="20">
    <x:tableColumn id="1" name="annotation_id"/>
    <x:tableColumn id="2" name="episode_id"/>
    <x:tableColumn id="3" name="video_id"/>
    <x:tableColumn id="4" name="coder_id"/>
    <x:tableColumn id="5" name="start_s"/>
    <x:tableColumn id="6" name="end_s"/>
    <x:tableColumn id="7" name="duration_s"/>
    <x:tableColumn id="8" name="observable_action_sequence"/>
    <x:tableColumn id="9" name="target"/>
    <x:tableColumn id="10" name="scene_change"/>
    <x:tableColumn id="11" name="goal"/>
    <x:tableColumn id="12" name="desired_effect"/>
    <x:tableColumn id="13" name="interaction_function"/>
    <x:tableColumn id="14" name="preserve_constraint"/>
    <x:tableColumn id="15" name="alternative_intent"/>
    <x:tableColumn id="16" name="confidence"/>
    <x:tableColumn id="17" name="outcome_repair"/>
    <x:tableColumn id="18" name="evidence_note"/>
    <x:tableColumn id="19" name="provenance"/>
    <x:tableColumn id="20" name="Q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d3815b0aa542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9f30e1c6cc49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47aa80b93544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56bdb62f7045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36c8d9560e41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e422d75709f4b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意图案例库：6 视频 Pilot 执行方案</x:v>
      </x:c>
    </x:row>
    <x:row r="2" ht="32" customHeight="1">
      <x:c r="A2" s="7" t="str">
        <x:v>源 CSV 保持不变；本工作簿将视频索引、连续 episode 标注、taxonomy、示例与质控分开。</x:v>
      </x:c>
    </x:row>
    <x:row r="4">
      <x:c r="A4" s="9" t="str">
        <x:v>本周可直接执行的 7 步</x:v>
      </x:c>
    </x:row>
    <x:row r="5" ht="32" customHeight="1">
      <x:c r="A5" s="16" t="str">
        <x:v>步骤</x:v>
      </x:c>
      <x:c r="B5" s="16" t="str">
        <x:v>动作</x:v>
      </x:c>
      <x:c r="C5" s="16" t="str">
        <x:v>怎么做</x:v>
      </x:c>
      <x:c r="D5" s="16" t="str">
        <x:v>通过标准</x:v>
      </x:c>
    </x:row>
    <x:row r="6">
      <x:c r="A6" s="17" t="n">
        <x:v>1</x:v>
      </x:c>
      <x:c r="B6" s="17" t="str">
        <x:v>筛视频</x:v>
      </x:c>
      <x:c r="C6" s="17" t="str">
        <x:v>打开 Pilot_6 的 6 条视频；只保留画面清晰、操作可见、时长可处理的条目。</x:v>
      </x:c>
      <x:c r="D6" s="17" t="str">
        <x:v>如不可访问/纯 timelapse/严重剪辑，替换同软件同对象视频。</x:v>
      </x:c>
    </x:row>
    <x:row r="7">
      <x:c r="A7" s="17" t="n">
        <x:v>2</x:v>
      </x:c>
      <x:c r="B7" s="17" t="str">
        <x:v>统一培训</x:v>
      </x:c>
      <x:c r="C7" s="17" t="str">
        <x:v>3 名编码者共同看同一段 2–3 分钟视频，学习 Taxonomy 和 示例_3。</x:v>
      </x:c>
      <x:c r="D7" s="17" t="str">
        <x:v>不要讨论其余正式 pilot。</x:v>
      </x:c>
    </x:row>
    <x:row r="8">
      <x:c r="A8" s="17" t="n">
        <x:v>3</x:v>
      </x:c>
      <x:c r="B8" s="17" t="str">
        <x:v>先切边界</x:v>
      </x:c>
      <x:c r="C8" s="17" t="str">
        <x:v>A/B/C 独立确定 episode start/end；目标或 desired effect 改变、undo/reject、明确接受、Agent介入时切分。</x:v>
      </x:c>
      <x:c r="D8" s="17" t="str">
        <x:v>单次点击不是 episode；连续操作服务同一局部效果时合并。</x:v>
      </x:c>
    </x:row>
    <x:row r="9">
      <x:c r="A9" s="17" t="n">
        <x:v>4</x:v>
      </x:c>
      <x:c r="B9" s="17" t="str">
        <x:v>再标语义</x:v>
      </x:c>
      <x:c r="C9" s="17" t="str">
        <x:v>逐 episode 填 action sequence、target、scene change、goal、desired effect、function、constraint、alternative。</x:v>
      </x:c>
      <x:c r="D9" s="17" t="str">
        <x:v>可见事实和推测意图必须分栏。</x:v>
      </x:c>
    </x:row>
    <x:row r="10">
      <x:c r="A10" s="17" t="n">
        <x:v>5</x:v>
      </x:c>
      <x:c r="B10" s="17" t="str">
        <x:v>保留不确定性</x:v>
      </x:c>
      <x:c r="C10" s="17" t="str">
        <x:v>没有证据就写 unknown；alternative_intent 必填；confidence 是编码者置信，不是意图真值。</x:v>
      </x:c>
      <x:c r="D10" s="17" t="str">
        <x:v>教程语境不能自动升级为 creator-confirmed。</x:v>
      </x:c>
    </x:row>
    <x:row r="11">
      <x:c r="A11" s="17" t="n">
        <x:v>6</x:v>
      </x:c>
      <x:c r="B11" s="17" t="str">
        <x:v>检查一致性</x:v>
      </x:c>
      <x:c r="C11" s="17" t="str">
        <x:v>先比较边界，再比较 goal/function/target；C 仅仲裁 A/B 分歧，并保留原始编码。</x:v>
      </x:c>
      <x:c r="D11" s="17" t="str">
        <x:v>先做每视频约 8–12 个 episode，共约 50–70 个。</x:v>
      </x:c>
    </x:row>
    <x:row r="12">
      <x:c r="A12" s="18" t="n">
        <x:v>7</x:v>
      </x:c>
      <x:c r="B12" s="18" t="str">
        <x:v>入案例库</x:v>
      </x:c>
      <x:c r="C12" s="18" t="str">
        <x:v>只有 QA=READY 且完成复核的 episode 才生成 case；accepted/adjusted/undone 分别保留成功、修复和失败角色。</x:v>
      </x:c>
      <x:c r="D12" s="18" t="str">
        <x:v>案例用于检索先验，不直接授予 Agent 执行权限。</x:v>
      </x:c>
    </x:row>
    <x:row r="14">
      <x:c r="A14" s="19" t="str">
        <x:v>有效案例的最小定义</x:v>
      </x:c>
    </x:row>
    <x:row r="15" ht="34" customHeight="1">
      <x:c r="A15" s="21" t="str">
        <x:v>输入</x:v>
      </x:c>
      <x:c r="B15" s="21" t="str">
        <x:v>连续事件序列 + target + scene change</x:v>
      </x:c>
      <x:c r="C15" s="21" t="str"/>
      <x:c r="D15" s="21" t="str"/>
      <x:c r="E15" s="21" t="str"/>
      <x:c r="F15" s="21" t="str"/>
      <x:c r="G15" s="21" t="str"/>
      <x:c r="H15" s="21" t="str"/>
    </x:row>
    <x:row r="16" ht="34" customHeight="1">
      <x:c r="A16" s="22" t="str">
        <x:v>输出</x:v>
      </x:c>
      <x:c r="B16" s="22" t="str">
        <x:v>goal + desired effect + interaction function + alternative intent</x:v>
      </x:c>
      <x:c r="C16" s="22" t="str"/>
      <x:c r="D16" s="22" t="str"/>
      <x:c r="E16" s="22" t="str"/>
      <x:c r="F16" s="22" t="str"/>
      <x:c r="G16" s="22" t="str"/>
      <x:c r="H16" s="22" t="str"/>
    </x:row>
    <x:row r="17" ht="34" customHeight="1">
      <x:c r="A17" s="22" t="str">
        <x:v>安全上下文</x:v>
      </x:c>
      <x:c r="B17" s="22" t="str">
        <x:v>preserve constraint + outcome/repair + provenance</x:v>
      </x:c>
      <x:c r="C17" s="22" t="str"/>
      <x:c r="D17" s="22" t="str"/>
      <x:c r="E17" s="22" t="str"/>
      <x:c r="F17" s="22" t="str"/>
      <x:c r="G17" s="22" t="str"/>
      <x:c r="H17" s="22" t="str"/>
    </x:row>
    <x:row r="18" ht="34" customHeight="1">
      <x:c r="A18" s="23" t="str">
        <x:v>不纳入</x:v>
      </x:c>
      <x:c r="B18" s="23" t="str">
        <x:v>只有标题推断、无可见状态变化、无法定位时间、无替代解释或 provenance 的行</x:v>
      </x:c>
      <x:c r="C18" s="23" t="str"/>
      <x:c r="D18" s="23" t="str"/>
      <x:c r="E18" s="23" t="str"/>
      <x:c r="F18" s="23" t="str"/>
      <x:c r="G18" s="23" t="str"/>
      <x:c r="H18" s="23" t="str"/>
    </x:row>
  </x:sheetData>
  <x:mergeCells>
    <x:mergeCell ref="A1:H1"/>
    <x:mergeCell ref="A2:H2"/>
    <x:mergeCell ref="A4:H4"/>
    <x:mergeCell ref="A14:H14"/>
    <x:mergeCell ref="B15:H15"/>
    <x:mergeCell ref="B16:H16"/>
    <x:mergeCell ref="B17:H17"/>
    <x:mergeCell ref="B18:H18"/>
  </x:mergeCells>
  <x:pageMargins left="0.7" right="0.7" top="0.75" bottom="0.75" header="0.3" footer="0.3"/>
  <x:tableParts count="1">
    <x:tablePart xmlns:r="http://schemas.openxmlformats.org/officeDocument/2006/relationships" r:id="R47d3815b0aa542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68" hidden="0" customWidth="1"/>
    <x:col min="6" max="6" width="46" hidden="0" customWidth="1"/>
    <x:col min="7" max="7" width="20" hidden="0" customWidth="1"/>
    <x:col min="8" max="8" width="40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 ht="30" customHeight="1">
      <x:c r="A1" s="3" t="str">
        <x:v>原始视频索引（200 条）</x:v>
      </x:c>
    </x:row>
    <x:row r="2" ht="32" customHeight="1">
      <x:c r="A2" s="7" t="str">
        <x:v>原 CSV 的六个已填字段完整；预留的 8 个编码列全部为空。selected_pilot=Yes 的条目进入首轮。</x:v>
      </x:c>
    </x:row>
    <x:row r="4" ht="32" customHeight="1">
      <x:c r="A4" s="16" t="str">
        <x:v>source_row</x:v>
      </x:c>
      <x:c r="B4" s="16" t="str">
        <x:v>video_id</x:v>
      </x:c>
      <x:c r="C4" s="16" t="str">
        <x:v>platform</x:v>
      </x:c>
      <x:c r="D4" s="16" t="str">
        <x:v>software</x:v>
      </x:c>
      <x:c r="E4" s="16" t="str">
        <x:v>title</x:v>
      </x:c>
      <x:c r="F4" s="16" t="str">
        <x:v>url</x:v>
      </x:c>
      <x:c r="G4" s="16" t="str">
        <x:v>content_object</x:v>
      </x:c>
      <x:c r="H4" s="16" t="str">
        <x:v>query</x:v>
      </x:c>
      <x:c r="I4" s="16" t="str">
        <x:v>selected_pilot</x:v>
      </x:c>
      <x:c r="J4" s="16" t="str">
        <x:v>metadata_QA</x:v>
      </x:c>
      <x:c r="K4" s="16" t="str">
        <x:v>QA_note</x:v>
      </x:c>
    </x:row>
    <x:row r="5" ht="36" customHeight="1">
      <x:c r="A5" s="17" t="n">
        <x:v>2</x:v>
      </x:c>
      <x:c r="B5" s="17" t="str">
        <x:v>V001</x:v>
      </x:c>
      <x:c r="C5" s="17" t="str">
        <x:v>bilibili</x:v>
      </x:c>
      <x:c r="D5" s="17" t="str">
        <x:v>Maya</x:v>
      </x:c>
      <x:c r="E5" s="24" t="str">
        <x:v>【MAYA人头建模】人物五官布线详细建模教程，100%成功角色头部布线方法（眼睛，鼻子，嘴巴，耳朵MAYA零基础五官布线建模教学）</x:v>
      </x:c>
      <x:c r="F5" s="24" t="str">
        <x:v>http://www.bilibili.com/video/av998707807</x:v>
      </x:c>
      <x:c r="G5" s="24" t="str">
        <x:v>头脸</x:v>
      </x:c>
      <x:c r="H5" s="24" t="str">
        <x:v>Maya 人脸 五官 雕刻 全流程</x:v>
      </x:c>
      <x:c r="I5" s="24" t="str">
        <x:v>Yes</x:v>
      </x:c>
      <x:c r="J5" s="24" t="str">
        <x:v>PASS</x:v>
      </x:c>
      <x:c r="K5" s="24" t="str"/>
    </x:row>
    <x:row r="6" ht="36" customHeight="1">
      <x:c r="A6" s="17" t="n">
        <x:v>3</x:v>
      </x:c>
      <x:c r="B6" s="17" t="str">
        <x:v>V002</x:v>
      </x:c>
      <x:c r="C6" s="17" t="str">
        <x:v>bilibili</x:v>
      </x:c>
      <x:c r="D6" s="17" t="str">
        <x:v>ZBrush</x:v>
      </x:c>
      <x:c r="E6" s="24" t="str">
        <x:v>【zbrush新手教程】超适合零基础新手的五官雕刻技巧！包含眼睛，鼻子，嘴巴，耳朵建模学不会你来找我！</x:v>
      </x:c>
      <x:c r="F6" s="24" t="str">
        <x:v>http://www.bilibili.com/video/av114459519491882</x:v>
      </x:c>
      <x:c r="G6" s="24" t="str">
        <x:v>头脸</x:v>
      </x:c>
      <x:c r="H6" s="24" t="str">
        <x:v>ZBrush 人脸 五官 雕刻 全流程</x:v>
      </x:c>
      <x:c r="I6" s="24" t="str">
        <x:v>No</x:v>
      </x:c>
      <x:c r="J6" s="24" t="str">
        <x:v>PASS</x:v>
      </x:c>
      <x:c r="K6" s="24" t="str"/>
    </x:row>
    <x:row r="7" ht="36" customHeight="1">
      <x:c r="A7" s="17" t="n">
        <x:v>4</x:v>
      </x:c>
      <x:c r="B7" s="17" t="str">
        <x:v>V003</x:v>
      </x:c>
      <x:c r="C7" s="17" t="str">
        <x:v>bilibili</x:v>
      </x:c>
      <x:c r="D7" s="17" t="str">
        <x:v>3ds Max</x:v>
      </x:c>
      <x:c r="E7" s="24" t="str">
        <x:v>【3dmax角色建模】简单的卡通机器人建模全流程制作，适合初学者的3dmax入门案例！</x:v>
      </x:c>
      <x:c r="F7" s="24" t="str">
        <x:v>http://www.bilibili.com/video/av115037427533203</x:v>
      </x:c>
      <x:c r="G7" s="24" t="str">
        <x:v>角色-全身</x:v>
      </x:c>
      <x:c r="H7" s="24" t="str">
        <x:v>3ds Max 机器人 角色 建模</x:v>
      </x:c>
      <x:c r="I7" s="24" t="str">
        <x:v>No</x:v>
      </x:c>
      <x:c r="J7" s="24" t="str">
        <x:v>PASS</x:v>
      </x:c>
      <x:c r="K7" s="24" t="str"/>
    </x:row>
    <x:row r="8" ht="36" customHeight="1">
      <x:c r="A8" s="17" t="n">
        <x:v>5</x:v>
      </x:c>
      <x:c r="B8" s="17" t="str">
        <x:v>V004</x:v>
      </x:c>
      <x:c r="C8" s="17" t="str">
        <x:v>bilibili</x:v>
      </x:c>
      <x:c r="D8" s="17" t="str">
        <x:v>ZBrush</x:v>
      </x:c>
      <x:c r="E8" s="24" t="str">
        <x:v>【Zbrush雕刻】从球开始教你福瑞手办模型制作，zbrush角色建模教学，zbrush手办建模全流程</x:v>
      </x:c>
      <x:c r="F8" s="24" t="str">
        <x:v>http://www.bilibili.com/video/av115280629996040</x:v>
      </x:c>
      <x:c r="G8" s="24" t="str">
        <x:v>角色-全身</x:v>
      </x:c>
      <x:c r="H8" s="24" t="str">
        <x:v>ZBrush 兽人 角色 雕刻</x:v>
      </x:c>
      <x:c r="I8" s="24" t="str">
        <x:v>No</x:v>
      </x:c>
      <x:c r="J8" s="24" t="str">
        <x:v>PASS</x:v>
      </x:c>
      <x:c r="K8" s="24" t="str"/>
    </x:row>
    <x:row r="9" ht="36" customHeight="1">
      <x:c r="A9" s="17" t="n">
        <x:v>6</x:v>
      </x:c>
      <x:c r="B9" s="17" t="str">
        <x:v>V005</x:v>
      </x:c>
      <x:c r="C9" s="17" t="str">
        <x:v>bilibili</x:v>
      </x:c>
      <x:c r="D9" s="17" t="str">
        <x:v>Maya</x:v>
      </x:c>
      <x:c r="E9" s="24" t="str">
        <x:v>【Maya零基础建模】嘴巴、鼻子、眼睛、耳朵细节布线教学，零基础学习Maya人物建模教程</x:v>
      </x:c>
      <x:c r="F9" s="24" t="str">
        <x:v>http://www.bilibili.com/video/av213206989</x:v>
      </x:c>
      <x:c r="G9" s="24" t="str">
        <x:v>头脸</x:v>
      </x:c>
      <x:c r="H9" s="24" t="str">
        <x:v>Maya 人脸 五官 雕刻 全流程</x:v>
      </x:c>
      <x:c r="I9" s="24" t="str">
        <x:v>No</x:v>
      </x:c>
      <x:c r="J9" s="24" t="str">
        <x:v>PASS</x:v>
      </x:c>
      <x:c r="K9" s="24" t="str"/>
    </x:row>
    <x:row r="10" ht="36" customHeight="1">
      <x:c r="A10" s="17" t="n">
        <x:v>7</x:v>
      </x:c>
      <x:c r="B10" s="17" t="str">
        <x:v>V006</x:v>
      </x:c>
      <x:c r="C10" s="17" t="str">
        <x:v>bilibili</x:v>
      </x:c>
      <x:c r="D10" s="17" t="str">
        <x:v>Blender</x:v>
      </x:c>
      <x:c r="E10" s="24" t="str">
        <x:v>Blender | 风格化卡通男主角色建模全流程</x:v>
      </x:c>
      <x:c r="F10" s="24" t="str">
        <x:v>http://www.bilibili.com/video/av116695368731300</x:v>
      </x:c>
      <x:c r="G10" s="24" t="str">
        <x:v>角色-全身</x:v>
      </x:c>
      <x:c r="H10" s="24" t="str">
        <x:v>Blender 风格化 角色 建模 流程</x:v>
      </x:c>
      <x:c r="I10" s="24" t="str">
        <x:v>No</x:v>
      </x:c>
      <x:c r="J10" s="24" t="str">
        <x:v>PASS</x:v>
      </x:c>
      <x:c r="K10" s="24" t="str"/>
    </x:row>
    <x:row r="11" ht="36" customHeight="1">
      <x:c r="A11" s="17" t="n">
        <x:v>8</x:v>
      </x:c>
      <x:c r="B11" s="17" t="str">
        <x:v>V007</x:v>
      </x:c>
      <x:c r="C11" s="17" t="str">
        <x:v>youtube</x:v>
      </x:c>
      <x:c r="D11" s="17" t="str">
        <x:v>Maya</x:v>
      </x:c>
      <x:c r="E11" s="24" t="str">
        <x:v>[#06] Anime Character 3D Modeling Tutorial 2020 – Cloth Sculpting</x:v>
      </x:c>
      <x:c r="F11" s="24" t="str">
        <x:v>https://www.youtube.com/watch?v=2qGMGXF2lVg</x:v>
      </x:c>
      <x:c r="G11" s="24" t="str">
        <x:v>角色-全身</x:v>
      </x:c>
      <x:c r="H11" s="24" t="str">
        <x:v>Maya sculpt clothing folds character</x:v>
      </x:c>
      <x:c r="I11" s="24" t="str">
        <x:v>No</x:v>
      </x:c>
      <x:c r="J11" s="24" t="str">
        <x:v>PASS</x:v>
      </x:c>
      <x:c r="K11" s="24" t="str"/>
    </x:row>
    <x:row r="12" ht="36" customHeight="1">
      <x:c r="A12" s="17" t="n">
        <x:v>9</x:v>
      </x:c>
      <x:c r="B12" s="17" t="str">
        <x:v>V008</x:v>
      </x:c>
      <x:c r="C12" s="17" t="str">
        <x:v>bilibili</x:v>
      </x:c>
      <x:c r="D12" s="17" t="str">
        <x:v>3ds Max</x:v>
      </x:c>
      <x:c r="E12" s="24" t="str">
        <x:v>【3Dmax人物建模】童年经典卡通角色“猪猪侠”之小呆呆制作全流程讲解，零基础卡通角色形象教学！</x:v>
      </x:c>
      <x:c r="F12" s="24" t="str">
        <x:v>http://www.bilibili.com/video/av116685788945006</x:v>
      </x:c>
      <x:c r="G12" s="24" t="str">
        <x:v>角色-全身</x:v>
      </x:c>
      <x:c r="H12" s="24" t="str">
        <x:v>3ds Max 卡通 角色 建模 制作</x:v>
      </x:c>
      <x:c r="I12" s="24" t="str">
        <x:v>No</x:v>
      </x:c>
      <x:c r="J12" s="24" t="str">
        <x:v>PASS</x:v>
      </x:c>
      <x:c r="K12" s="24" t="str"/>
    </x:row>
    <x:row r="13" ht="36" customHeight="1">
      <x:c r="A13" s="17" t="n">
        <x:v>10</x:v>
      </x:c>
      <x:c r="B13" s="17" t="str">
        <x:v>V009</x:v>
      </x:c>
      <x:c r="C13" s="17" t="str">
        <x:v>bilibili</x:v>
      </x:c>
      <x:c r="D13" s="17" t="str">
        <x:v>ZBrush</x:v>
      </x:c>
      <x:c r="E13" s="24" t="str">
        <x:v>生物模型制作全流程，如何快速掌握雕刻技巧？zbrush怪物角色雕刻</x:v>
      </x:c>
      <x:c r="F13" s="24" t="str">
        <x:v>http://www.bilibili.com/video/av116611197438124</x:v>
      </x:c>
      <x:c r="G13" s="24" t="str">
        <x:v>生物</x:v>
      </x:c>
      <x:c r="H13" s="24" t="str">
        <x:v>ZBrush 生物 角色 雕刻 制作</x:v>
      </x:c>
      <x:c r="I13" s="24" t="str">
        <x:v>Yes</x:v>
      </x:c>
      <x:c r="J13" s="24" t="str">
        <x:v>PASS</x:v>
      </x:c>
      <x:c r="K13" s="24" t="str"/>
    </x:row>
    <x:row r="14" ht="36" customHeight="1">
      <x:c r="A14" s="17" t="n">
        <x:v>11</x:v>
      </x:c>
      <x:c r="B14" s="17" t="str">
        <x:v>V010</x:v>
      </x:c>
      <x:c r="C14" s="17" t="str">
        <x:v>bilibili</x:v>
      </x:c>
      <x:c r="D14" s="17" t="str">
        <x:v>3ds Max</x:v>
      </x:c>
      <x:c r="E14" s="24" t="str">
        <x:v>【3dmax武器建模】原神-剑建模全流程制作，适合初学者的3dmax入门案例！</x:v>
      </x:c>
      <x:c r="F14" s="24" t="str">
        <x:v>http://www.bilibili.com/video/av115263500453295</x:v>
      </x:c>
      <x:c r="G14" s="24" t="str">
        <x:v>道具-武器</x:v>
      </x:c>
      <x:c r="H14" s="24" t="str">
        <x:v>Maya 武器 剑 建模 制作</x:v>
      </x:c>
      <x:c r="I14" s="24" t="str">
        <x:v>Yes</x:v>
      </x:c>
      <x:c r="J14" s="24" t="str">
        <x:v>PASS</x:v>
      </x:c>
      <x:c r="K14" s="24" t="str"/>
    </x:row>
    <x:row r="15" ht="36" customHeight="1">
      <x:c r="A15" s="17" t="n">
        <x:v>12</x:v>
      </x:c>
      <x:c r="B15" s="17" t="str">
        <x:v>V011</x:v>
      </x:c>
      <x:c r="C15" s="17" t="str">
        <x:v>bilibili</x:v>
      </x:c>
      <x:c r="D15" s="17" t="str">
        <x:v>3ds Max</x:v>
      </x:c>
      <x:c r="E15" s="24" t="str">
        <x:v>3dmax武器建模，硬核还原“奔雷剑”次世代模型全流程制作</x:v>
      </x:c>
      <x:c r="F15" s="24" t="str">
        <x:v>http://www.bilibili.com/video/av1503360701</x:v>
      </x:c>
      <x:c r="G15" s="24" t="str">
        <x:v>道具-武器</x:v>
      </x:c>
      <x:c r="H15" s="24" t="str">
        <x:v>C4D 武器 剑 建模 制作</x:v>
      </x:c>
      <x:c r="I15" s="24" t="str">
        <x:v>No</x:v>
      </x:c>
      <x:c r="J15" s="24" t="str">
        <x:v>PASS</x:v>
      </x:c>
      <x:c r="K15" s="24" t="str"/>
    </x:row>
    <x:row r="16" ht="36" customHeight="1">
      <x:c r="A16" s="17" t="n">
        <x:v>13</x:v>
      </x:c>
      <x:c r="B16" s="17" t="str">
        <x:v>V012</x:v>
      </x:c>
      <x:c r="C16" s="17" t="str">
        <x:v>youtube</x:v>
      </x:c>
      <x:c r="D16" s="17" t="str">
        <x:v>Cinema 4D</x:v>
      </x:c>
      <x:c r="E16" s="24" t="str">
        <x:v>Cinema 4d Female stylized 3D Character model 01_</x:v>
      </x:c>
      <x:c r="F16" s="24" t="str">
        <x:v>https://www.youtube.com/watch?v=JXn0J6Ho2tk</x:v>
      </x:c>
      <x:c r="G16" s="24" t="str">
        <x:v>角色-全身</x:v>
      </x:c>
      <x:c r="H16" s="24" t="str">
        <x:v>Cinema 4D model stylized character from scratch</x:v>
      </x:c>
      <x:c r="I16" s="24" t="str">
        <x:v>No</x:v>
      </x:c>
      <x:c r="J16" s="24" t="str">
        <x:v>PASS</x:v>
      </x:c>
      <x:c r="K16" s="24" t="str"/>
    </x:row>
    <x:row r="17" ht="36" customHeight="1">
      <x:c r="A17" s="17" t="n">
        <x:v>14</x:v>
      </x:c>
      <x:c r="B17" s="17" t="str">
        <x:v>V013</x:v>
      </x:c>
      <x:c r="C17" s="17" t="str">
        <x:v>youtube</x:v>
      </x:c>
      <x:c r="D17" s="17" t="str">
        <x:v>Maya</x:v>
      </x:c>
      <x:c r="E17" s="24" t="str">
        <x:v>Model Low Poly Rocks In Maya | Simple Rocks and Stones</x:v>
      </x:c>
      <x:c r="F17" s="24" t="str">
        <x:v>https://www.youtube.com/watch?v=8LUTku3AN50</x:v>
      </x:c>
      <x:c r="G17" s="24" t="str">
        <x:v>道具-自然</x:v>
      </x:c>
      <x:c r="H17" s="24" t="str">
        <x:v>Maya model stylized rock sculpt</x:v>
      </x:c>
      <x:c r="I17" s="24" t="str">
        <x:v>No</x:v>
      </x:c>
      <x:c r="J17" s="24" t="str">
        <x:v>PASS</x:v>
      </x:c>
      <x:c r="K17" s="24" t="str"/>
    </x:row>
    <x:row r="18" ht="36" customHeight="1">
      <x:c r="A18" s="17" t="n">
        <x:v>15</x:v>
      </x:c>
      <x:c r="B18" s="17" t="str">
        <x:v>V014</x:v>
      </x:c>
      <x:c r="C18" s="17" t="str">
        <x:v>youtube</x:v>
      </x:c>
      <x:c r="D18" s="17" t="str">
        <x:v>ZBrush</x:v>
      </x:c>
      <x:c r="E18" s="24" t="str">
        <x:v>Sculpting Clothing Folds in ZBrush</x:v>
      </x:c>
      <x:c r="F18" s="24" t="str">
        <x:v>https://www.youtube.com/watch?v=vw40L7LfJJM</x:v>
      </x:c>
      <x:c r="G18" s="24" t="str">
        <x:v>角色-部分</x:v>
      </x:c>
      <x:c r="H18" s="24" t="str">
        <x:v>ZBrush sculpt clothing folds character</x:v>
      </x:c>
      <x:c r="I18" s="24" t="str">
        <x:v>No</x:v>
      </x:c>
      <x:c r="J18" s="24" t="str">
        <x:v>PASS</x:v>
      </x:c>
      <x:c r="K18" s="24" t="str"/>
    </x:row>
    <x:row r="19" ht="36" customHeight="1">
      <x:c r="A19" s="17" t="n">
        <x:v>16</x:v>
      </x:c>
      <x:c r="B19" s="17" t="str">
        <x:v>V015</x:v>
      </x:c>
      <x:c r="C19" s="17" t="str">
        <x:v>youtube</x:v>
      </x:c>
      <x:c r="D19" s="17" t="str">
        <x:v>Nomad Sculpt</x:v>
      </x:c>
      <x:c r="E19" s="24" t="str">
        <x:v>Stylized Girl Character Sculpting | Nomad Sculpt</x:v>
      </x:c>
      <x:c r="F19" s="24" t="str">
        <x:v>https://www.youtube.com/watch?v=I_r5L9Zp9fA</x:v>
      </x:c>
      <x:c r="G19" s="24" t="str">
        <x:v>角色-全身</x:v>
      </x:c>
      <x:c r="H19" s="24" t="str">
        <x:v>Nomad Sculpt sculpt face full process</x:v>
      </x:c>
      <x:c r="I19" s="24" t="str">
        <x:v>No</x:v>
      </x:c>
      <x:c r="J19" s="24" t="str">
        <x:v>PASS</x:v>
      </x:c>
      <x:c r="K19" s="24" t="str"/>
    </x:row>
    <x:row r="20" ht="36" customHeight="1">
      <x:c r="A20" s="17" t="n">
        <x:v>17</x:v>
      </x:c>
      <x:c r="B20" s="17" t="str">
        <x:v>V016</x:v>
      </x:c>
      <x:c r="C20" s="17" t="str">
        <x:v>youtube</x:v>
      </x:c>
      <x:c r="D20" s="17" t="str">
        <x:v>Nomad Sculpt</x:v>
      </x:c>
      <x:c r="E20" s="24" t="str">
        <x:v>NOMAD SCULPT | SCULPTING CLOTHING | Part III: Folds &amp; Creases</x:v>
      </x:c>
      <x:c r="F20" s="24" t="str">
        <x:v>https://www.youtube.com/watch?v=jSscw3gjVI8</x:v>
      </x:c>
      <x:c r="G20" s="24" t="str">
        <x:v>角色-部分</x:v>
      </x:c>
      <x:c r="H20" s="24" t="str">
        <x:v>Nomad Sculpt sculpt clothing folds character</x:v>
      </x:c>
      <x:c r="I20" s="24" t="str">
        <x:v>Yes</x:v>
      </x:c>
      <x:c r="J20" s="24" t="str">
        <x:v>PASS</x:v>
      </x:c>
      <x:c r="K20" s="24" t="str"/>
    </x:row>
    <x:row r="21" ht="36" customHeight="1">
      <x:c r="A21" s="17" t="n">
        <x:v>18</x:v>
      </x:c>
      <x:c r="B21" s="17" t="str">
        <x:v>V017</x:v>
      </x:c>
      <x:c r="C21" s="17" t="str">
        <x:v>bilibili</x:v>
      </x:c>
      <x:c r="D21" s="17" t="str">
        <x:v>Maya</x:v>
      </x:c>
      <x:c r="E21" s="24" t="str">
        <x:v>【Maya角色建模】卡通小机器人模型制作，适合新手入门建模案例</x:v>
      </x:c>
      <x:c r="F21" s="24" t="str">
        <x:v>http://www.bilibili.com/video/av116442552866136</x:v>
      </x:c>
      <x:c r="G21" s="24" t="str">
        <x:v>角色-全身</x:v>
      </x:c>
      <x:c r="H21" s="24" t="str">
        <x:v>Maya 机器人 角色 建模</x:v>
      </x:c>
      <x:c r="I21" s="24" t="str">
        <x:v>No</x:v>
      </x:c>
      <x:c r="J21" s="24" t="str">
        <x:v>PASS</x:v>
      </x:c>
      <x:c r="K21" s="24" t="str"/>
    </x:row>
    <x:row r="22" ht="36" customHeight="1">
      <x:c r="A22" s="17" t="n">
        <x:v>19</x:v>
      </x:c>
      <x:c r="B22" s="17" t="str">
        <x:v>V018</x:v>
      </x:c>
      <x:c r="C22" s="17" t="str">
        <x:v>bilibili</x:v>
      </x:c>
      <x:c r="D22" s="17" t="str">
        <x:v>Maya</x:v>
      </x:c>
      <x:c r="E22" s="24" t="str">
        <x:v>【Maya角色建模】卡通小机器人模型制作，适合新手学的建模案例</x:v>
      </x:c>
      <x:c r="F22" s="24" t="str">
        <x:v>http://www.bilibili.com/video/av399698620</x:v>
      </x:c>
      <x:c r="G22" s="24" t="str">
        <x:v>角色-全身</x:v>
      </x:c>
      <x:c r="H22" s="24" t="str">
        <x:v>Maya 机器人 角色 建模</x:v>
      </x:c>
      <x:c r="I22" s="24" t="str">
        <x:v>No</x:v>
      </x:c>
      <x:c r="J22" s="24" t="str">
        <x:v>PASS</x:v>
      </x:c>
      <x:c r="K22" s="24" t="str"/>
    </x:row>
    <x:row r="23" ht="36" customHeight="1">
      <x:c r="A23" s="17" t="n">
        <x:v>20</x:v>
      </x:c>
      <x:c r="B23" s="17" t="str">
        <x:v>V019</x:v>
      </x:c>
      <x:c r="C23" s="17" t="str">
        <x:v>bilibili</x:v>
      </x:c>
      <x:c r="D23" s="17" t="str">
        <x:v>ZBrush</x:v>
      </x:c>
      <x:c r="E23" s="24" t="str">
        <x:v>干货！ZBrush最快制作毛发教程！怎样摆出来的头发凌乱又自然？zbrush建模头发丝的走向！zbrush人物雕刻！</x:v>
      </x:c>
      <x:c r="F23" s="24" t="str">
        <x:v>http://www.bilibili.com/video/av904399223</x:v>
      </x:c>
      <x:c r="G23" s="24" t="str">
        <x:v>角色-部分</x:v>
      </x:c>
      <x:c r="H23" s="24" t="str">
        <x:v>ZBrush 头发 毛发 雕刻 制作</x:v>
      </x:c>
      <x:c r="I23" s="24" t="str">
        <x:v>No</x:v>
      </x:c>
      <x:c r="J23" s="24" t="str">
        <x:v>PASS</x:v>
      </x:c>
      <x:c r="K23" s="24" t="str"/>
    </x:row>
    <x:row r="24" ht="36" customHeight="1">
      <x:c r="A24" s="17" t="n">
        <x:v>21</x:v>
      </x:c>
      <x:c r="B24" s="17" t="str">
        <x:v>V020</x:v>
      </x:c>
      <x:c r="C24" s="17" t="str">
        <x:v>bilibili</x:v>
      </x:c>
      <x:c r="D24" s="17" t="str">
        <x:v>Nomad Sculpt</x:v>
      </x:c>
      <x:c r="E24" s="24" t="str">
        <x:v>Blender + Nomad sculpt 梅尔 风格化角色建模全流程</x:v>
      </x:c>
      <x:c r="F24" s="24" t="str">
        <x:v>http://www.bilibili.com/video/av115463686194291</x:v>
      </x:c>
      <x:c r="G24" s="24" t="str">
        <x:v>角色-全身</x:v>
      </x:c>
      <x:c r="H24" s="24" t="str">
        <x:v>Nomad Sculpt 风格化 角色 建模 流程</x:v>
      </x:c>
      <x:c r="I24" s="24" t="str">
        <x:v>No</x:v>
      </x:c>
      <x:c r="J24" s="24" t="str">
        <x:v>PASS</x:v>
      </x:c>
      <x:c r="K24" s="24" t="str"/>
    </x:row>
    <x:row r="25" ht="36" customHeight="1">
      <x:c r="A25" s="17" t="n">
        <x:v>22</x:v>
      </x:c>
      <x:c r="B25" s="17" t="str">
        <x:v>V021</x:v>
      </x:c>
      <x:c r="C25" s="17" t="str">
        <x:v>bilibili</x:v>
      </x:c>
      <x:c r="D25" s="17" t="str">
        <x:v>3ds Max</x:v>
      </x:c>
      <x:c r="E25" s="24" t="str">
        <x:v>【3Dmax建模】20分钟小机器人模型制作，次世代硬表面角色新手练习</x:v>
      </x:c>
      <x:c r="F25" s="24" t="str">
        <x:v>http://www.bilibili.com/video/av115575288302388</x:v>
      </x:c>
      <x:c r="G25" s="24" t="str">
        <x:v>角色-全身</x:v>
      </x:c>
      <x:c r="H25" s="24" t="str">
        <x:v>3ds Max 机器人 角色 建模</x:v>
      </x:c>
      <x:c r="I25" s="24" t="str">
        <x:v>No</x:v>
      </x:c>
      <x:c r="J25" s="24" t="str">
        <x:v>PASS</x:v>
      </x:c>
      <x:c r="K25" s="24" t="str"/>
    </x:row>
    <x:row r="26" ht="36" customHeight="1">
      <x:c r="A26" s="17" t="n">
        <x:v>23</x:v>
      </x:c>
      <x:c r="B26" s="17" t="str">
        <x:v>V022</x:v>
      </x:c>
      <x:c r="C26" s="17" t="str">
        <x:v>bilibili</x:v>
      </x:c>
      <x:c r="D26" s="17" t="str">
        <x:v>3ds Max</x:v>
      </x:c>
      <x:c r="E26" s="24" t="str">
        <x:v>【3dmax 角色建模】机器人建模全流程｜超适合初学者的入门案例</x:v>
      </x:c>
      <x:c r="F26" s="24" t="str">
        <x:v>http://www.bilibili.com/video/av116318015589423</x:v>
      </x:c>
      <x:c r="G26" s="24" t="str">
        <x:v>角色-全身</x:v>
      </x:c>
      <x:c r="H26" s="24" t="str">
        <x:v>3ds Max 机器人 角色 建模</x:v>
      </x:c>
      <x:c r="I26" s="24" t="str">
        <x:v>No</x:v>
      </x:c>
      <x:c r="J26" s="24" t="str">
        <x:v>PASS</x:v>
      </x:c>
      <x:c r="K26" s="24" t="str"/>
    </x:row>
    <x:row r="27" ht="36" customHeight="1">
      <x:c r="A27" s="17" t="n">
        <x:v>24</x:v>
      </x:c>
      <x:c r="B27" s="17" t="str">
        <x:v>V023</x:v>
      </x:c>
      <x:c r="C27" s="17" t="str">
        <x:v>bilibili</x:v>
      </x:c>
      <x:c r="D27" s="17" t="str">
        <x:v>3ds Max</x:v>
      </x:c>
      <x:c r="E27" s="24" t="str">
        <x:v>【3dmax建模】次世代头发制作全过程，面片毛发制作教程</x:v>
      </x:c>
      <x:c r="F27" s="24" t="str">
        <x:v>http://www.bilibili.com/video/av855685540</x:v>
      </x:c>
      <x:c r="G27" s="24" t="str">
        <x:v>角色-部分</x:v>
      </x:c>
      <x:c r="H27" s="24" t="str">
        <x:v>3ds Max 头发 毛发 雕刻 制作</x:v>
      </x:c>
      <x:c r="I27" s="24" t="str">
        <x:v>No</x:v>
      </x:c>
      <x:c r="J27" s="24" t="str">
        <x:v>PASS</x:v>
      </x:c>
      <x:c r="K27" s="24" t="str"/>
    </x:row>
    <x:row r="28" ht="36" customHeight="1">
      <x:c r="A28" s="17" t="n">
        <x:v>25</x:v>
      </x:c>
      <x:c r="B28" s="17" t="str">
        <x:v>V024</x:v>
      </x:c>
      <x:c r="C28" s="17" t="str">
        <x:v>bilibili</x:v>
      </x:c>
      <x:c r="D28" s="17" t="str">
        <x:v>ZBrush</x:v>
      </x:c>
      <x:c r="E28" s="24" t="str">
        <x:v>用3ds Max+ZBrush制作风格化美少女角色--从软件入门到角色制作全流程讲解-P2</x:v>
      </x:c>
      <x:c r="F28" s="24" t="str">
        <x:v>http://www.bilibili.com/video/av116497766683057</x:v>
      </x:c>
      <x:c r="G28" s="24" t="str">
        <x:v>角色-全身</x:v>
      </x:c>
      <x:c r="H28" s="24" t="str">
        <x:v>3ds Max 风格化 角色 建模 流程</x:v>
      </x:c>
      <x:c r="I28" s="24" t="str">
        <x:v>No</x:v>
      </x:c>
      <x:c r="J28" s="24" t="str">
        <x:v>VERIFY</x:v>
      </x:c>
      <x:c r="K28" s="24" t="str">
        <x:v>多软件流程；确认 primary software</x:v>
      </x:c>
    </x:row>
    <x:row r="29" ht="36" customHeight="1">
      <x:c r="A29" s="17" t="n">
        <x:v>26</x:v>
      </x:c>
      <x:c r="B29" s="17" t="str">
        <x:v>V025</x:v>
      </x:c>
      <x:c r="C29" s="17" t="str">
        <x:v>bilibili</x:v>
      </x:c>
      <x:c r="D29" s="17" t="str">
        <x:v>ZBrush</x:v>
      </x:c>
      <x:c r="E29" s="24" t="str">
        <x:v>用3ds Max+ZBrush制作风格化美少女角色--从软件入门到角色制作全流程讲解</x:v>
      </x:c>
      <x:c r="F29" s="24" t="str">
        <x:v>http://www.bilibili.com/video/av116471896282367</x:v>
      </x:c>
      <x:c r="G29" s="24" t="str">
        <x:v>角色-全身</x:v>
      </x:c>
      <x:c r="H29" s="24" t="str">
        <x:v>3ds Max 风格化 角色 建模 流程</x:v>
      </x:c>
      <x:c r="I29" s="24" t="str">
        <x:v>No</x:v>
      </x:c>
      <x:c r="J29" s="24" t="str">
        <x:v>VERIFY</x:v>
      </x:c>
      <x:c r="K29" s="24" t="str">
        <x:v>多软件流程；确认 primary software</x:v>
      </x:c>
    </x:row>
    <x:row r="30" ht="36" customHeight="1">
      <x:c r="A30" s="17" t="n">
        <x:v>27</x:v>
      </x:c>
      <x:c r="B30" s="17" t="str">
        <x:v>V026</x:v>
      </x:c>
      <x:c r="C30" s="17" t="str">
        <x:v>bilibili</x:v>
      </x:c>
      <x:c r="D30" s="17" t="str">
        <x:v>Maya</x:v>
      </x:c>
      <x:c r="E30" s="24" t="str">
        <x:v>【Maya角色建模】适合新手做的简单机器人，次世代全流程案例讲解</x:v>
      </x:c>
      <x:c r="F30" s="24" t="str">
        <x:v>http://www.bilibili.com/video/av1100974887</x:v>
      </x:c>
      <x:c r="G30" s="24" t="str">
        <x:v>角色-全身</x:v>
      </x:c>
      <x:c r="H30" s="24" t="str">
        <x:v>Maya 机器人 角色 建模</x:v>
      </x:c>
      <x:c r="I30" s="24" t="str">
        <x:v>No</x:v>
      </x:c>
      <x:c r="J30" s="24" t="str">
        <x:v>PASS</x:v>
      </x:c>
      <x:c r="K30" s="24" t="str"/>
    </x:row>
    <x:row r="31" ht="36" customHeight="1">
      <x:c r="A31" s="17" t="n">
        <x:v>28</x:v>
      </x:c>
      <x:c r="B31" s="17" t="str">
        <x:v>V027</x:v>
      </x:c>
      <x:c r="C31" s="17" t="str">
        <x:v>bilibili</x:v>
      </x:c>
      <x:c r="D31" s="17" t="str">
        <x:v>Maya</x:v>
      </x:c>
      <x:c r="E31" s="24" t="str">
        <x:v>【Maya零基础建模】基础武器大剑模型制作，maya新手布线教程</x:v>
      </x:c>
      <x:c r="F31" s="24" t="str">
        <x:v>http://www.bilibili.com/video/av208174720</x:v>
      </x:c>
      <x:c r="G31" s="24" t="str">
        <x:v>道具-武器</x:v>
      </x:c>
      <x:c r="H31" s="24" t="str">
        <x:v>Maya 武器 剑 建模 制作</x:v>
      </x:c>
      <x:c r="I31" s="24" t="str">
        <x:v>No</x:v>
      </x:c>
      <x:c r="J31" s="24" t="str">
        <x:v>PASS</x:v>
      </x:c>
      <x:c r="K31" s="24" t="str"/>
    </x:row>
    <x:row r="32" ht="36" customHeight="1">
      <x:c r="A32" s="17" t="n">
        <x:v>29</x:v>
      </x:c>
      <x:c r="B32" s="17" t="str">
        <x:v>V028</x:v>
      </x:c>
      <x:c r="C32" s="17" t="str">
        <x:v>bilibili</x:v>
      </x:c>
      <x:c r="D32" s="17" t="str">
        <x:v>Maya</x:v>
      </x:c>
      <x:c r="E32" s="24" t="str">
        <x:v>3D风格化角色《考古学家》制作全流程！</x:v>
      </x:c>
      <x:c r="F32" s="24" t="str">
        <x:v>http://www.bilibili.com/video/av460852040</x:v>
      </x:c>
      <x:c r="G32" s="24" t="str">
        <x:v>角色-全身</x:v>
      </x:c>
      <x:c r="H32" s="24" t="str">
        <x:v>Maya 风格化 角色 建模 流程</x:v>
      </x:c>
      <x:c r="I32" s="24" t="str">
        <x:v>No</x:v>
      </x:c>
      <x:c r="J32" s="24" t="str">
        <x:v>PASS</x:v>
      </x:c>
      <x:c r="K32" s="24" t="str"/>
    </x:row>
    <x:row r="33" ht="36" customHeight="1">
      <x:c r="A33" s="17" t="n">
        <x:v>30</x:v>
      </x:c>
      <x:c r="B33" s="17" t="str">
        <x:v>V029</x:v>
      </x:c>
      <x:c r="C33" s="17" t="str">
        <x:v>bilibili</x:v>
      </x:c>
      <x:c r="D33" s="17" t="str">
        <x:v>Maya</x:v>
      </x:c>
      <x:c r="E33" s="24" t="str">
        <x:v>【MAYA人物建模】从拉box开始教你，制作标准女性头部模型，建模人必学的头部五官布线！</x:v>
      </x:c>
      <x:c r="F33" s="24" t="str">
        <x:v>http://www.bilibili.com/video/av114057638188728</x:v>
      </x:c>
      <x:c r="G33" s="24" t="str">
        <x:v>头脸</x:v>
      </x:c>
      <x:c r="H33" s="24" t="str">
        <x:v>Maya 角色 头部 雕刻 制作</x:v>
      </x:c>
      <x:c r="I33" s="24" t="str">
        <x:v>No</x:v>
      </x:c>
      <x:c r="J33" s="24" t="str">
        <x:v>PASS</x:v>
      </x:c>
      <x:c r="K33" s="24" t="str"/>
    </x:row>
    <x:row r="34" ht="36" customHeight="1">
      <x:c r="A34" s="17" t="n">
        <x:v>31</x:v>
      </x:c>
      <x:c r="B34" s="17" t="str">
        <x:v>V030</x:v>
      </x:c>
      <x:c r="C34" s="17" t="str">
        <x:v>youtube</x:v>
      </x:c>
      <x:c r="D34" s="17" t="str">
        <x:v>Blender</x:v>
      </x:c>
      <x:c r="E34" s="24" t="str">
        <x:v>Blender Sculpting Tutorial: Full Advanced Creature Creation Workflow</x:v>
      </x:c>
      <x:c r="F34" s="24" t="str">
        <x:v>https://www.youtube.com/watch?v=tQfFlzHJJ88</x:v>
      </x:c>
      <x:c r="G34" s="24" t="str">
        <x:v>生物</x:v>
      </x:c>
      <x:c r="H34" s="24" t="str">
        <x:v>Blender sculpt stylized head blockout workflow</x:v>
      </x:c>
      <x:c r="I34" s="24" t="str">
        <x:v>No</x:v>
      </x:c>
      <x:c r="J34" s="24" t="str">
        <x:v>PASS</x:v>
      </x:c>
      <x:c r="K34" s="24" t="str"/>
    </x:row>
    <x:row r="35" ht="36" customHeight="1">
      <x:c r="A35" s="17" t="n">
        <x:v>32</x:v>
      </x:c>
      <x:c r="B35" s="17" t="str">
        <x:v>V031</x:v>
      </x:c>
      <x:c r="C35" s="17" t="str">
        <x:v>bilibili</x:v>
      </x:c>
      <x:c r="D35" s="17" t="str">
        <x:v>ZBrush</x:v>
      </x:c>
      <x:c r="E35" s="24" t="str">
        <x:v>【ZBrush教程】从球开始教你快速学会头骨雕刻，人体头部结构讲解教程——头骨比例细节制作</x:v>
      </x:c>
      <x:c r="F35" s="24" t="str">
        <x:v>http://www.bilibili.com/video/av116680520898153</x:v>
      </x:c>
      <x:c r="G35" s="24" t="str">
        <x:v>头脸</x:v>
      </x:c>
      <x:c r="H35" s="24" t="str">
        <x:v>ZBrush 从球 开始 制作 头部</x:v>
      </x:c>
      <x:c r="I35" s="24" t="str">
        <x:v>No</x:v>
      </x:c>
      <x:c r="J35" s="24" t="str">
        <x:v>PASS</x:v>
      </x:c>
      <x:c r="K35" s="24" t="str"/>
    </x:row>
    <x:row r="36" ht="36" customHeight="1">
      <x:c r="A36" s="17" t="n">
        <x:v>33</x:v>
      </x:c>
      <x:c r="B36" s="17" t="str">
        <x:v>V032</x:v>
      </x:c>
      <x:c r="C36" s="17" t="str">
        <x:v>youtube</x:v>
      </x:c>
      <x:c r="D36" s="17" t="str">
        <x:v>3ds Max</x:v>
      </x:c>
      <x:c r="E36" s="24" t="str">
        <x:v>Creating Cartoon Characters: A 3D Modeling Workflow</x:v>
      </x:c>
      <x:c r="F36" s="24" t="str">
        <x:v>https://www.youtube.com/watch?v=2HVmxpO5ol4</x:v>
      </x:c>
      <x:c r="G36" s="24" t="str">
        <x:v>角色-全身</x:v>
      </x:c>
      <x:c r="H36" s="24" t="str">
        <x:v>3ds Max model cartoon character workflow</x:v>
      </x:c>
      <x:c r="I36" s="24" t="str">
        <x:v>No</x:v>
      </x:c>
      <x:c r="J36" s="24" t="str">
        <x:v>PASS</x:v>
      </x:c>
      <x:c r="K36" s="24" t="str"/>
    </x:row>
    <x:row r="37" ht="36" customHeight="1">
      <x:c r="A37" s="17" t="n">
        <x:v>34</x:v>
      </x:c>
      <x:c r="B37" s="17" t="str">
        <x:v>V033</x:v>
      </x:c>
      <x:c r="C37" s="17" t="str">
        <x:v>youtube</x:v>
      </x:c>
      <x:c r="D37" s="17" t="str">
        <x:v>Maya</x:v>
      </x:c>
      <x:c r="E37" s="24" t="str">
        <x:v>Head Modeling Tutorial Part1 | Learn Maya</x:v>
      </x:c>
      <x:c r="F37" s="24" t="str">
        <x:v>https://www.youtube.com/watch?v=GigCYmV3Ups</x:v>
      </x:c>
      <x:c r="G37" s="24" t="str">
        <x:v>头脸</x:v>
      </x:c>
      <x:c r="H37" s="24" t="str">
        <x:v>Maya sculpt character head from sphere</x:v>
      </x:c>
      <x:c r="I37" s="24" t="str">
        <x:v>No</x:v>
      </x:c>
      <x:c r="J37" s="24" t="str">
        <x:v>PASS</x:v>
      </x:c>
      <x:c r="K37" s="24" t="str"/>
    </x:row>
    <x:row r="38" ht="36" customHeight="1">
      <x:c r="A38" s="17" t="n">
        <x:v>35</x:v>
      </x:c>
      <x:c r="B38" s="17" t="str">
        <x:v>V034</x:v>
      </x:c>
      <x:c r="C38" s="17" t="str">
        <x:v>youtube</x:v>
      </x:c>
      <x:c r="D38" s="17" t="str">
        <x:v>Nomad Sculpt</x:v>
      </x:c>
      <x:c r="E38" s="24" t="str">
        <x:v>Nomad Sculpt - Learning Hardsurface timelapse</x:v>
      </x:c>
      <x:c r="F38" s="24" t="str">
        <x:v>https://www.youtube.com/watch?v=Idrf_uAYhHk</x:v>
      </x:c>
      <x:c r="G38" s="24" t="str">
        <x:v>头脸</x:v>
      </x:c>
      <x:c r="H38" s="24" t="str">
        <x:v>Nomad Sculpt model helmet hard surface workflow</x:v>
      </x:c>
      <x:c r="I38" s="24" t="str">
        <x:v>No</x:v>
      </x:c>
      <x:c r="J38" s="24" t="str">
        <x:v>PASS</x:v>
      </x:c>
      <x:c r="K38" s="24" t="str"/>
    </x:row>
    <x:row r="39" ht="36" customHeight="1">
      <x:c r="A39" s="17" t="n">
        <x:v>36</x:v>
      </x:c>
      <x:c r="B39" s="17" t="str">
        <x:v>V035</x:v>
      </x:c>
      <x:c r="C39" s="17" t="str">
        <x:v>youtube</x:v>
      </x:c>
      <x:c r="D39" s="17" t="str">
        <x:v>Nomad Sculpt</x:v>
      </x:c>
      <x:c r="E39" s="24" t="str">
        <x:v>Nomad Sculpt - Learning Hardsurface Helmet Mecha timelapse</x:v>
      </x:c>
      <x:c r="F39" s="24" t="str">
        <x:v>https://www.youtube.com/watch?v=uxXZOJqofVM</x:v>
      </x:c>
      <x:c r="G39" s="24" t="str">
        <x:v>头脸</x:v>
      </x:c>
      <x:c r="H39" s="24" t="str">
        <x:v>Nomad Sculpt model helmet hard surface workflow</x:v>
      </x:c>
      <x:c r="I39" s="24" t="str">
        <x:v>No</x:v>
      </x:c>
      <x:c r="J39" s="24" t="str">
        <x:v>PASS</x:v>
      </x:c>
      <x:c r="K39" s="24" t="str"/>
    </x:row>
    <x:row r="40" ht="36" customHeight="1">
      <x:c r="A40" s="17" t="n">
        <x:v>37</x:v>
      </x:c>
      <x:c r="B40" s="17" t="str">
        <x:v>V036</x:v>
      </x:c>
      <x:c r="C40" s="17" t="str">
        <x:v>bilibili</x:v>
      </x:c>
      <x:c r="D40" s="17" t="str">
        <x:v>ZBrush</x:v>
      </x:c>
      <x:c r="E40" s="24" t="str">
        <x:v>类守望先锋-欧美风格化游戏角色制作全流程教程</x:v>
      </x:c>
      <x:c r="F40" s="24" t="str">
        <x:v>http://www.bilibili.com/video/av561022593</x:v>
      </x:c>
      <x:c r="G40" s="24" t="str">
        <x:v>角色-全身</x:v>
      </x:c>
      <x:c r="H40" s="24" t="str">
        <x:v>ZBrush 风格化 角色 建模 流程</x:v>
      </x:c>
      <x:c r="I40" s="24" t="str">
        <x:v>No</x:v>
      </x:c>
      <x:c r="J40" s="24" t="str">
        <x:v>PASS</x:v>
      </x:c>
      <x:c r="K40" s="24" t="str"/>
    </x:row>
    <x:row r="41" ht="36" customHeight="1">
      <x:c r="A41" s="17" t="n">
        <x:v>38</x:v>
      </x:c>
      <x:c r="B41" s="17" t="str">
        <x:v>V037</x:v>
      </x:c>
      <x:c r="C41" s="17" t="str">
        <x:v>youtube</x:v>
      </x:c>
      <x:c r="D41" s="17" t="str">
        <x:v>Blender</x:v>
      </x:c>
      <x:c r="E41" s="24" t="str">
        <x:v>Autodesk 3ds Max 3D head modeling from sphere- low poly</x:v>
      </x:c>
      <x:c r="F41" s="24" t="str">
        <x:v>https://www.youtube.com/watch?v=No8yWDjFxFc</x:v>
      </x:c>
      <x:c r="G41" s="24" t="str">
        <x:v>头脸</x:v>
      </x:c>
      <x:c r="H41" s="24" t="str">
        <x:v>Blender sculpt character head from sphere</x:v>
      </x:c>
      <x:c r="I41" s="24" t="str">
        <x:v>No</x:v>
      </x:c>
      <x:c r="J41" s="24" t="str">
        <x:v>REVIEW</x:v>
      </x:c>
      <x:c r="K41" s="24" t="str">
        <x:v>标题指向 3ds Max，但 software=Blender</x:v>
      </x:c>
    </x:row>
    <x:row r="42" ht="36" customHeight="1">
      <x:c r="A42" s="17" t="n">
        <x:v>39</x:v>
      </x:c>
      <x:c r="B42" s="17" t="str">
        <x:v>V038</x:v>
      </x:c>
      <x:c r="C42" s="17" t="str">
        <x:v>bilibili</x:v>
      </x:c>
      <x:c r="D42" s="17" t="str">
        <x:v>ZBrush</x:v>
      </x:c>
      <x:c r="E42" s="24" t="str">
        <x:v>【付费教程】花399买的ZBrush次世代硬表面武器雕刻教程，超适合新手入门的pbr全流程案例</x:v>
      </x:c>
      <x:c r="F42" s="24" t="str">
        <x:v>http://www.bilibili.com/video/av747220702</x:v>
      </x:c>
      <x:c r="G42" s="24" t="str">
        <x:v>道具-武器</x:v>
      </x:c>
      <x:c r="H42" s="24" t="str">
        <x:v>ZBrush 道具 建模 制作</x:v>
      </x:c>
      <x:c r="I42" s="24" t="str">
        <x:v>No</x:v>
      </x:c>
      <x:c r="J42" s="24" t="str">
        <x:v>PASS</x:v>
      </x:c>
      <x:c r="K42" s="24" t="str"/>
    </x:row>
    <x:row r="43" ht="36" customHeight="1">
      <x:c r="A43" s="17" t="n">
        <x:v>40</x:v>
      </x:c>
      <x:c r="B43" s="17" t="str">
        <x:v>V039</x:v>
      </x:c>
      <x:c r="C43" s="17" t="str">
        <x:v>bilibili</x:v>
      </x:c>
      <x:c r="D43" s="17" t="str">
        <x:v>ZBrush</x:v>
      </x:c>
      <x:c r="E43" s="24" t="str">
        <x:v>【Zbrush+Maya+SP次世代全流程】教会你山石如何雕刻，快速雕刻一块写实的石头高模！从业十多年次世代场景建模大佬从零开始详解，全是干货！</x:v>
      </x:c>
      <x:c r="F43" s="24" t="str">
        <x:v>http://www.bilibili.com/video/av116577760515195</x:v>
      </x:c>
      <x:c r="G43" s="24" t="str">
        <x:v>道具-自然</x:v>
      </x:c>
      <x:c r="H43" s="24" t="str">
        <x:v>Maya 石头 岩石 雕刻 建模</x:v>
      </x:c>
      <x:c r="I43" s="24" t="str">
        <x:v>No</x:v>
      </x:c>
      <x:c r="J43" s="24" t="str">
        <x:v>PASS</x:v>
      </x:c>
      <x:c r="K43" s="24" t="str"/>
    </x:row>
    <x:row r="44" ht="36" customHeight="1">
      <x:c r="A44" s="17" t="n">
        <x:v>41</x:v>
      </x:c>
      <x:c r="B44" s="17" t="str">
        <x:v>V040</x:v>
      </x:c>
      <x:c r="C44" s="17" t="str">
        <x:v>bilibili</x:v>
      </x:c>
      <x:c r="D44" s="17" t="str">
        <x:v>Maya</x:v>
      </x:c>
      <x:c r="E44" s="24" t="str">
        <x:v>【Maya建模】超帅机甲头盔模型制作，次世代硬表面布线基础教学</x:v>
      </x:c>
      <x:c r="F44" s="24" t="str">
        <x:v>http://www.bilibili.com/video/av115105257954495</x:v>
      </x:c>
      <x:c r="G44" s="24" t="str">
        <x:v>道具-头盔</x:v>
      </x:c>
      <x:c r="H44" s="24" t="str">
        <x:v>Maya 头盔 硬表面 建模</x:v>
      </x:c>
      <x:c r="I44" s="24" t="str">
        <x:v>No</x:v>
      </x:c>
      <x:c r="J44" s="24" t="str">
        <x:v>PASS</x:v>
      </x:c>
      <x:c r="K44" s="24" t="str"/>
    </x:row>
    <x:row r="45" ht="36" customHeight="1">
      <x:c r="A45" s="17" t="n">
        <x:v>42</x:v>
      </x:c>
      <x:c r="B45" s="17" t="str">
        <x:v>V041</x:v>
      </x:c>
      <x:c r="C45" s="17" t="str">
        <x:v>bilibili</x:v>
      </x:c>
      <x:c r="D45" s="17" t="str">
        <x:v>Maya</x:v>
      </x:c>
      <x:c r="E45" s="24" t="str">
        <x:v>【Maya教程】钢铁侠“头盔”模型制作，硬表面机甲建模教程，maya基础布线卡线教学</x:v>
      </x:c>
      <x:c r="F45" s="24" t="str">
        <x:v>http://www.bilibili.com/video/av311044010</x:v>
      </x:c>
      <x:c r="G45" s="24" t="str">
        <x:v>道具-头盔</x:v>
      </x:c>
      <x:c r="H45" s="24" t="str">
        <x:v>Maya 头盔 硬表面 建模</x:v>
      </x:c>
      <x:c r="I45" s="24" t="str">
        <x:v>No</x:v>
      </x:c>
      <x:c r="J45" s="24" t="str">
        <x:v>PASS</x:v>
      </x:c>
      <x:c r="K45" s="24" t="str"/>
    </x:row>
    <x:row r="46" ht="36" customHeight="1">
      <x:c r="A46" s="17" t="n">
        <x:v>43</x:v>
      </x:c>
      <x:c r="B46" s="17" t="str">
        <x:v>V042</x:v>
      </x:c>
      <x:c r="C46" s="17" t="str">
        <x:v>youtube</x:v>
      </x:c>
      <x:c r="D46" s="17" t="str">
        <x:v>Blender</x:v>
      </x:c>
      <x:c r="E46" s="24" t="str">
        <x:v>Stylized Head Sculpting Timelapse | From Sphere to Character (Blender)</x:v>
      </x:c>
      <x:c r="F46" s="24" t="str">
        <x:v>https://www.youtube.com/watch?v=SRgc3sBkHjY</x:v>
      </x:c>
      <x:c r="G46" s="24" t="str">
        <x:v>头脸</x:v>
      </x:c>
      <x:c r="H46" s="24" t="str">
        <x:v>Blender sculpt character head from sphere</x:v>
      </x:c>
      <x:c r="I46" s="24" t="str">
        <x:v>No</x:v>
      </x:c>
      <x:c r="J46" s="24" t="str">
        <x:v>PASS</x:v>
      </x:c>
      <x:c r="K46" s="24" t="str"/>
    </x:row>
    <x:row r="47" ht="36" customHeight="1">
      <x:c r="A47" s="17" t="n">
        <x:v>44</x:v>
      </x:c>
      <x:c r="B47" s="17" t="str">
        <x:v>V043</x:v>
      </x:c>
      <x:c r="C47" s="17" t="str">
        <x:v>bilibili</x:v>
      </x:c>
      <x:c r="D47" s="17" t="str">
        <x:v>ZBrush</x:v>
      </x:c>
      <x:c r="E47" s="24" t="str">
        <x:v>硬表面zbrush全流程雕刻-【源计划】头盔雕刻</x:v>
      </x:c>
      <x:c r="F47" s="24" t="str">
        <x:v>http://www.bilibili.com/video/av470158676</x:v>
      </x:c>
      <x:c r="G47" s="24" t="str">
        <x:v>道具-头盔</x:v>
      </x:c>
      <x:c r="H47" s="24" t="str">
        <x:v>ZBrush 头盔 硬表面 建模</x:v>
      </x:c>
      <x:c r="I47" s="24" t="str">
        <x:v>No</x:v>
      </x:c>
      <x:c r="J47" s="24" t="str">
        <x:v>PASS</x:v>
      </x:c>
      <x:c r="K47" s="24" t="str"/>
    </x:row>
    <x:row r="48" ht="36" customHeight="1">
      <x:c r="A48" s="17" t="n">
        <x:v>45</x:v>
      </x:c>
      <x:c r="B48" s="17" t="str">
        <x:v>V044</x:v>
      </x:c>
      <x:c r="C48" s="17" t="str">
        <x:v>bilibili</x:v>
      </x:c>
      <x:c r="D48" s="17" t="str">
        <x:v>ZBrush</x:v>
      </x:c>
      <x:c r="E48" s="24" t="str">
        <x:v>【ZBrush雕刻】从0开始，风格化卡通人物全流程制作，人物模型比例雕刻，人物角色，五官比例雕刻</x:v>
      </x:c>
      <x:c r="F48" s="24" t="str">
        <x:v>http://www.bilibili.com/video/av792223914</x:v>
      </x:c>
      <x:c r="G48" s="24" t="str">
        <x:v>头脸</x:v>
      </x:c>
      <x:c r="H48" s="24" t="str">
        <x:v>ZBrush 风格化 角色 建模 流程</x:v>
      </x:c>
      <x:c r="I48" s="24" t="str">
        <x:v>No</x:v>
      </x:c>
      <x:c r="J48" s="24" t="str">
        <x:v>PASS</x:v>
      </x:c>
      <x:c r="K48" s="24" t="str"/>
    </x:row>
    <x:row r="49" ht="36" customHeight="1">
      <x:c r="A49" s="17" t="n">
        <x:v>46</x:v>
      </x:c>
      <x:c r="B49" s="17" t="str">
        <x:v>V045</x:v>
      </x:c>
      <x:c r="C49" s="17" t="str">
        <x:v>bilibili</x:v>
      </x:c>
      <x:c r="D49" s="17" t="str">
        <x:v>Blender</x:v>
      </x:c>
      <x:c r="E49" s="24" t="str">
        <x:v>Blender 硬表面核心教程：星际战士头盔篇丨专业细分建模流程 / 精通拓扑布线 / 支撑边循环 / 细节添加技巧</x:v>
      </x:c>
      <x:c r="F49" s="24" t="str">
        <x:v>http://www.bilibili.com/video/av114635646700797</x:v>
      </x:c>
      <x:c r="G49" s="24" t="str">
        <x:v>道具-头盔</x:v>
      </x:c>
      <x:c r="H49" s="24" t="str">
        <x:v>Blender 头盔 硬表面 建模</x:v>
      </x:c>
      <x:c r="I49" s="24" t="str">
        <x:v>No</x:v>
      </x:c>
      <x:c r="J49" s="24" t="str">
        <x:v>PASS</x:v>
      </x:c>
      <x:c r="K49" s="24" t="str"/>
    </x:row>
    <x:row r="50" ht="36" customHeight="1">
      <x:c r="A50" s="17" t="n">
        <x:v>47</x:v>
      </x:c>
      <x:c r="B50" s="17" t="str">
        <x:v>V046</x:v>
      </x:c>
      <x:c r="C50" s="17" t="str">
        <x:v>bilibili</x:v>
      </x:c>
      <x:c r="D50" s="17" t="str">
        <x:v>3ds Max</x:v>
      </x:c>
      <x:c r="E50" s="24" t="str">
        <x:v>【3dsmax建模】适合零基础新手学习的硬表面头盔模型制作，从零开始建模模型制作教学，3dmax布线卡线技巧教程</x:v>
      </x:c>
      <x:c r="F50" s="24" t="str">
        <x:v>http://www.bilibili.com/video/av116238407893486</x:v>
      </x:c>
      <x:c r="G50" s="24" t="str">
        <x:v>道具-头盔</x:v>
      </x:c>
      <x:c r="H50" s="24" t="str">
        <x:v>3ds Max 头盔 硬表面 建模</x:v>
      </x:c>
      <x:c r="I50" s="24" t="str">
        <x:v>No</x:v>
      </x:c>
      <x:c r="J50" s="24" t="str">
        <x:v>PASS</x:v>
      </x:c>
      <x:c r="K50" s="24" t="str"/>
    </x:row>
    <x:row r="51" ht="36" customHeight="1">
      <x:c r="A51" s="17" t="n">
        <x:v>48</x:v>
      </x:c>
      <x:c r="B51" s="17" t="str">
        <x:v>V047</x:v>
      </x:c>
      <x:c r="C51" s="17" t="str">
        <x:v>youtube</x:v>
      </x:c>
      <x:c r="D51" s="17" t="str">
        <x:v>Blender</x:v>
      </x:c>
      <x:c r="E51" s="24" t="str">
        <x:v>Timelapse | 3D Head Sculpting in Blender – From sphere to head</x:v>
      </x:c>
      <x:c r="F51" s="24" t="str">
        <x:v>https://www.youtube.com/watch?v=hQS_gPybY4s</x:v>
      </x:c>
      <x:c r="G51" s="24" t="str">
        <x:v>头脸</x:v>
      </x:c>
      <x:c r="H51" s="24" t="str">
        <x:v>Blender sculpt character head from sphere</x:v>
      </x:c>
      <x:c r="I51" s="24" t="str">
        <x:v>No</x:v>
      </x:c>
      <x:c r="J51" s="24" t="str">
        <x:v>PASS</x:v>
      </x:c>
      <x:c r="K51" s="24" t="str"/>
    </x:row>
    <x:row r="52" ht="36" customHeight="1">
      <x:c r="A52" s="17" t="n">
        <x:v>49</x:v>
      </x:c>
      <x:c r="B52" s="17" t="str">
        <x:v>V048</x:v>
      </x:c>
      <x:c r="C52" s="17" t="str">
        <x:v>youtube</x:v>
      </x:c>
      <x:c r="D52" s="17" t="str">
        <x:v>Maya</x:v>
      </x:c>
      <x:c r="E52" s="24" t="str">
        <x:v>Modeling Scifi Helmet Hardsurface Subdivision Tutorial in Maya Part 11</x:v>
      </x:c>
      <x:c r="F52" s="24" t="str">
        <x:v>https://www.youtube.com/watch?v=6x2NobGJJUg</x:v>
      </x:c>
      <x:c r="G52" s="24" t="str">
        <x:v>头脸</x:v>
      </x:c>
      <x:c r="H52" s="24" t="str">
        <x:v>Maya model helmet hard surface workflow</x:v>
      </x:c>
      <x:c r="I52" s="24" t="str">
        <x:v>No</x:v>
      </x:c>
      <x:c r="J52" s="24" t="str">
        <x:v>PASS</x:v>
      </x:c>
      <x:c r="K52" s="24" t="str"/>
    </x:row>
    <x:row r="53" ht="36" customHeight="1">
      <x:c r="A53" s="17" t="n">
        <x:v>50</x:v>
      </x:c>
      <x:c r="B53" s="17" t="str">
        <x:v>V049</x:v>
      </x:c>
      <x:c r="C53" s="17" t="str">
        <x:v>youtube</x:v>
      </x:c>
      <x:c r="D53" s="17" t="str">
        <x:v>Maya</x:v>
      </x:c>
      <x:c r="E53" s="24" t="str">
        <x:v>Modeling Scifi Helmet Hardsurface Subdivision Tutorial in Maya Part 6</x:v>
      </x:c>
      <x:c r="F53" s="24" t="str">
        <x:v>https://www.youtube.com/watch?v=7-0goPj1x-4</x:v>
      </x:c>
      <x:c r="G53" s="24" t="str">
        <x:v>头脸</x:v>
      </x:c>
      <x:c r="H53" s="24" t="str">
        <x:v>Maya model helmet hard surface workflow</x:v>
      </x:c>
      <x:c r="I53" s="24" t="str">
        <x:v>No</x:v>
      </x:c>
      <x:c r="J53" s="24" t="str">
        <x:v>PASS</x:v>
      </x:c>
      <x:c r="K53" s="24" t="str"/>
    </x:row>
    <x:row r="54" ht="36" customHeight="1">
      <x:c r="A54" s="17" t="n">
        <x:v>51</x:v>
      </x:c>
      <x:c r="B54" s="17" t="str">
        <x:v>V050</x:v>
      </x:c>
      <x:c r="C54" s="17" t="str">
        <x:v>youtube</x:v>
      </x:c>
      <x:c r="D54" s="17" t="str">
        <x:v>Maya</x:v>
      </x:c>
      <x:c r="E54" s="24" t="str">
        <x:v>Modeling Scifi Helmet Hardsurface Subdivision Tutorial in Maya Part 13</x:v>
      </x:c>
      <x:c r="F54" s="24" t="str">
        <x:v>https://www.youtube.com/watch?v=vKtaUGPZLKo</x:v>
      </x:c>
      <x:c r="G54" s="24" t="str">
        <x:v>头脸</x:v>
      </x:c>
      <x:c r="H54" s="24" t="str">
        <x:v>3ds Max model helmet hard surface workflow</x:v>
      </x:c>
      <x:c r="I54" s="24" t="str">
        <x:v>No</x:v>
      </x:c>
      <x:c r="J54" s="24" t="str">
        <x:v>PASS</x:v>
      </x:c>
      <x:c r="K54" s="24" t="str"/>
    </x:row>
    <x:row r="55" ht="36" customHeight="1">
      <x:c r="A55" s="17" t="n">
        <x:v>52</x:v>
      </x:c>
      <x:c r="B55" s="17" t="str">
        <x:v>V051</x:v>
      </x:c>
      <x:c r="C55" s="17" t="str">
        <x:v>youtube</x:v>
      </x:c>
      <x:c r="D55" s="17" t="str">
        <x:v>ZBrush</x:v>
      </x:c>
      <x:c r="E55" s="24" t="str">
        <x:v>Zbrush Basic Sculpting Creature art to 3D Model Timelapse by starkstefen</x:v>
      </x:c>
      <x:c r="F55" s="24" t="str">
        <x:v>https://www.youtube.com/watch?v=V_K_0y9-IBs</x:v>
      </x:c>
      <x:c r="G55" s="24" t="str">
        <x:v>生物</x:v>
      </x:c>
      <x:c r="H55" s="24" t="str">
        <x:v>3ds Max sculpt creature bust workflow</x:v>
      </x:c>
      <x:c r="I55" s="24" t="str">
        <x:v>No</x:v>
      </x:c>
      <x:c r="J55" s="24" t="str">
        <x:v>PASS</x:v>
      </x:c>
      <x:c r="K55" s="24" t="str"/>
    </x:row>
    <x:row r="56" ht="36" customHeight="1">
      <x:c r="A56" s="17" t="n">
        <x:v>53</x:v>
      </x:c>
      <x:c r="B56" s="17" t="str">
        <x:v>V052</x:v>
      </x:c>
      <x:c r="C56" s="17" t="str">
        <x:v>youtube</x:v>
      </x:c>
      <x:c r="D56" s="17" t="str">
        <x:v>Maya</x:v>
      </x:c>
      <x:c r="E56" s="24" t="str">
        <x:v>Modeling Scifi Helmet Hardsurface Subdivision Tutorial in Maya Part 2</x:v>
      </x:c>
      <x:c r="F56" s="24" t="str">
        <x:v>https://www.youtube.com/watch?v=4VXalx-N4MY</x:v>
      </x:c>
      <x:c r="G56" s="24" t="str">
        <x:v>头脸</x:v>
      </x:c>
      <x:c r="H56" s="24" t="str">
        <x:v>Maya model mask head workflow</x:v>
      </x:c>
      <x:c r="I56" s="24" t="str">
        <x:v>No</x:v>
      </x:c>
      <x:c r="J56" s="24" t="str">
        <x:v>PASS</x:v>
      </x:c>
      <x:c r="K56" s="24" t="str"/>
    </x:row>
    <x:row r="57" ht="36" customHeight="1">
      <x:c r="A57" s="17" t="n">
        <x:v>54</x:v>
      </x:c>
      <x:c r="B57" s="17" t="str">
        <x:v>V053</x:v>
      </x:c>
      <x:c r="C57" s="17" t="str">
        <x:v>youtube</x:v>
      </x:c>
      <x:c r="D57" s="17" t="str">
        <x:v>Maya</x:v>
      </x:c>
      <x:c r="E57" s="24" t="str">
        <x:v>Modeling Scifi Helmet Hardsurface Subdivision Tutorial in Maya Part 10</x:v>
      </x:c>
      <x:c r="F57" s="24" t="str">
        <x:v>https://www.youtube.com/watch?v=fPWAmrdDicU</x:v>
      </x:c>
      <x:c r="G57" s="24" t="str">
        <x:v>头脸</x:v>
      </x:c>
      <x:c r="H57" s="24" t="str">
        <x:v>Maya model helmet hard surface workflow</x:v>
      </x:c>
      <x:c r="I57" s="24" t="str">
        <x:v>No</x:v>
      </x:c>
      <x:c r="J57" s="24" t="str">
        <x:v>PASS</x:v>
      </x:c>
      <x:c r="K57" s="24" t="str"/>
    </x:row>
    <x:row r="58" ht="36" customHeight="1">
      <x:c r="A58" s="17" t="n">
        <x:v>55</x:v>
      </x:c>
      <x:c r="B58" s="17" t="str">
        <x:v>V054</x:v>
      </x:c>
      <x:c r="C58" s="17" t="str">
        <x:v>youtube</x:v>
      </x:c>
      <x:c r="D58" s="17" t="str">
        <x:v>Maya</x:v>
      </x:c>
      <x:c r="E58" s="24" t="str">
        <x:v>Maddie's Monsters: Monsters Sculpt and Maya Characters Modeling Timelapse</x:v>
      </x:c>
      <x:c r="F58" s="24" t="str">
        <x:v>https://www.youtube.com/watch?v=Nsx2Axgh-xQ</x:v>
      </x:c>
      <x:c r="G58" s="24" t="str">
        <x:v>生物</x:v>
      </x:c>
      <x:c r="H58" s="24" t="str">
        <x:v>Maya sculpt monster head timelapse</x:v>
      </x:c>
      <x:c r="I58" s="24" t="str">
        <x:v>No</x:v>
      </x:c>
      <x:c r="J58" s="24" t="str">
        <x:v>PASS</x:v>
      </x:c>
      <x:c r="K58" s="24" t="str"/>
    </x:row>
    <x:row r="59" ht="36" customHeight="1">
      <x:c r="A59" s="17" t="n">
        <x:v>56</x:v>
      </x:c>
      <x:c r="B59" s="17" t="str">
        <x:v>V055</x:v>
      </x:c>
      <x:c r="C59" s="17" t="str">
        <x:v>youtube</x:v>
      </x:c>
      <x:c r="D59" s="17" t="str">
        <x:v>ZBrush</x:v>
      </x:c>
      <x:c r="E59" s="24" t="str">
        <x:v>Zbrush HardSurface Sculpting Armor / Tools and Workflows</x:v>
      </x:c>
      <x:c r="F59" s="24" t="str">
        <x:v>https://www.youtube.com/watch?v=PmXGaWSrIag</x:v>
      </x:c>
      <x:c r="G59" s="24" t="str">
        <x:v>头脸</x:v>
      </x:c>
      <x:c r="H59" s="24" t="str">
        <x:v>ZBrush model helmet hard surface workflow</x:v>
      </x:c>
      <x:c r="I59" s="24" t="str">
        <x:v>No</x:v>
      </x:c>
      <x:c r="J59" s="24" t="str">
        <x:v>PASS</x:v>
      </x:c>
      <x:c r="K59" s="24" t="str"/>
    </x:row>
    <x:row r="60" ht="36" customHeight="1">
      <x:c r="A60" s="17" t="n">
        <x:v>57</x:v>
      </x:c>
      <x:c r="B60" s="17" t="str">
        <x:v>V056</x:v>
      </x:c>
      <x:c r="C60" s="17" t="str">
        <x:v>youtube</x:v>
      </x:c>
      <x:c r="D60" s="17" t="str">
        <x:v>Blender</x:v>
      </x:c>
      <x:c r="E60" s="24" t="str">
        <x:v>Easy Skull Modeling in Blender: No Sculpting Required | Step-by-Step Tutorial</x:v>
      </x:c>
      <x:c r="F60" s="24" t="str">
        <x:v>https://www.youtube.com/watch?v=jmtx2ZsQgyA</x:v>
      </x:c>
      <x:c r="G60" s="24" t="str">
        <x:v>头脸</x:v>
      </x:c>
      <x:c r="H60" s="24" t="str">
        <x:v>Blender model skull sculpt</x:v>
      </x:c>
      <x:c r="I60" s="24" t="str">
        <x:v>No</x:v>
      </x:c>
      <x:c r="J60" s="24" t="str">
        <x:v>PASS</x:v>
      </x:c>
      <x:c r="K60" s="24" t="str"/>
    </x:row>
    <x:row r="61" ht="36" customHeight="1">
      <x:c r="A61" s="17" t="n">
        <x:v>58</x:v>
      </x:c>
      <x:c r="B61" s="17" t="str">
        <x:v>V057</x:v>
      </x:c>
      <x:c r="C61" s="17" t="str">
        <x:v>youtube</x:v>
      </x:c>
      <x:c r="D61" s="17" t="str">
        <x:v>Blender</x:v>
      </x:c>
      <x:c r="E61" s="24" t="str">
        <x:v>mecha sci-fi armor hard surface modeling (BLENDER TIMELAPSE)</x:v>
      </x:c>
      <x:c r="F61" s="24" t="str">
        <x:v>https://www.youtube.com/watch?v=B2kcTCXYla0</x:v>
      </x:c>
      <x:c r="G61" s="24" t="str">
        <x:v>头脸</x:v>
      </x:c>
      <x:c r="H61" s="24" t="str">
        <x:v>Blender model helmet hard surface workflow</x:v>
      </x:c>
      <x:c r="I61" s="24" t="str">
        <x:v>No</x:v>
      </x:c>
      <x:c r="J61" s="24" t="str">
        <x:v>PASS</x:v>
      </x:c>
      <x:c r="K61" s="24" t="str"/>
    </x:row>
    <x:row r="62" ht="36" customHeight="1">
      <x:c r="A62" s="17" t="n">
        <x:v>59</x:v>
      </x:c>
      <x:c r="B62" s="17" t="str">
        <x:v>V058</x:v>
      </x:c>
      <x:c r="C62" s="17" t="str">
        <x:v>youtube</x:v>
      </x:c>
      <x:c r="D62" s="17" t="str">
        <x:v>Blender</x:v>
      </x:c>
      <x:c r="E62" s="24" t="str">
        <x:v>How to Make a Chibi Base Mesh in Blender – Part 1: 3D Modeling from Scratch</x:v>
      </x:c>
      <x:c r="F62" s="24" t="str">
        <x:v>https://www.youtube.com/watch?v=hkdc7_csF9E</x:v>
      </x:c>
      <x:c r="G62" s="24" t="str">
        <x:v>角色-全身</x:v>
      </x:c>
      <x:c r="H62" s="24" t="str">
        <x:v>Blender model toy character process</x:v>
      </x:c>
      <x:c r="I62" s="24" t="str">
        <x:v>No</x:v>
      </x:c>
      <x:c r="J62" s="24" t="str">
        <x:v>PASS</x:v>
      </x:c>
      <x:c r="K62" s="24" t="str"/>
    </x:row>
    <x:row r="63" ht="36" customHeight="1">
      <x:c r="A63" s="17" t="n">
        <x:v>60</x:v>
      </x:c>
      <x:c r="B63" s="17" t="str">
        <x:v>V059</x:v>
      </x:c>
      <x:c r="C63" s="17" t="str">
        <x:v>youtube</x:v>
      </x:c>
      <x:c r="D63" s="17" t="str">
        <x:v>ZBrush</x:v>
      </x:c>
      <x:c r="E63" s="24" t="str">
        <x:v>Fox Character || Part 1 - Modeling and sculpting in Blender and Zbrush</x:v>
      </x:c>
      <x:c r="F63" s="24" t="str">
        <x:v>https://www.youtube.com/watch?v=R0kLFrwJvDI</x:v>
      </x:c>
      <x:c r="G63" s="24" t="str">
        <x:v>生物</x:v>
      </x:c>
      <x:c r="H63" s="24" t="str">
        <x:v>Blender sculpt animal head tutorial</x:v>
      </x:c>
      <x:c r="I63" s="24" t="str">
        <x:v>No</x:v>
      </x:c>
      <x:c r="J63" s="24" t="str">
        <x:v>PASS</x:v>
      </x:c>
      <x:c r="K63" s="24" t="str"/>
    </x:row>
    <x:row r="64" ht="36" customHeight="1">
      <x:c r="A64" s="17" t="n">
        <x:v>61</x:v>
      </x:c>
      <x:c r="B64" s="17" t="str">
        <x:v>V060</x:v>
      </x:c>
      <x:c r="C64" s="17" t="str">
        <x:v>youtube</x:v>
      </x:c>
      <x:c r="D64" s="17" t="str">
        <x:v>Blender</x:v>
      </x:c>
      <x:c r="E64" s="24" t="str">
        <x:v>Stylized Character Workflow with Blender</x:v>
      </x:c>
      <x:c r="F64" s="24" t="str">
        <x:v>https://www.youtube.com/watch?v=f-mx-Jfx9lA</x:v>
      </x:c>
      <x:c r="G64" s="24" t="str">
        <x:v>角色-全身</x:v>
      </x:c>
      <x:c r="H64" s="24" t="str">
        <x:v>Blender model stylized character from scratch</x:v>
      </x:c>
      <x:c r="I64" s="24" t="str">
        <x:v>No</x:v>
      </x:c>
      <x:c r="J64" s="24" t="str">
        <x:v>PASS</x:v>
      </x:c>
      <x:c r="K64" s="24" t="str"/>
    </x:row>
    <x:row r="65" ht="36" customHeight="1">
      <x:c r="A65" s="17" t="n">
        <x:v>62</x:v>
      </x:c>
      <x:c r="B65" s="17" t="str">
        <x:v>V061</x:v>
      </x:c>
      <x:c r="C65" s="17" t="str">
        <x:v>youtube</x:v>
      </x:c>
      <x:c r="D65" s="17" t="str">
        <x:v>Blender</x:v>
      </x:c>
      <x:c r="E65" s="24" t="str">
        <x:v>How to Create Low Poly Rocks in 1 Minute</x:v>
      </x:c>
      <x:c r="F65" s="24" t="str">
        <x:v>https://www.youtube.com/watch?v=4EqLyGsu3AA</x:v>
      </x:c>
      <x:c r="G65" s="24" t="str">
        <x:v>道具-自然</x:v>
      </x:c>
      <x:c r="H65" s="24" t="str">
        <x:v>Blender model stylized rock sculpt</x:v>
      </x:c>
      <x:c r="I65" s="24" t="str">
        <x:v>Yes</x:v>
      </x:c>
      <x:c r="J65" s="24" t="str">
        <x:v>PASS</x:v>
      </x:c>
      <x:c r="K65" s="24" t="str"/>
    </x:row>
    <x:row r="66" ht="36" customHeight="1">
      <x:c r="A66" s="17" t="n">
        <x:v>63</x:v>
      </x:c>
      <x:c r="B66" s="17" t="str">
        <x:v>V062</x:v>
      </x:c>
      <x:c r="C66" s="17" t="str">
        <x:v>youtube</x:v>
      </x:c>
      <x:c r="D66" s="17" t="str">
        <x:v>Blender</x:v>
      </x:c>
      <x:c r="E66" s="24" t="str">
        <x:v>Creating Stylized Low Poly Characters in Blender</x:v>
      </x:c>
      <x:c r="F66" s="24" t="str">
        <x:v>https://www.youtube.com/watch?v=-XYryP_GU8o</x:v>
      </x:c>
      <x:c r="G66" s="24" t="str">
        <x:v>角色-全身</x:v>
      </x:c>
      <x:c r="H66" s="24" t="str">
        <x:v>Blender model stylized character from scratch</x:v>
      </x:c>
      <x:c r="I66" s="24" t="str">
        <x:v>No</x:v>
      </x:c>
      <x:c r="J66" s="24" t="str">
        <x:v>PASS</x:v>
      </x:c>
      <x:c r="K66" s="24" t="str"/>
    </x:row>
    <x:row r="67" ht="36" customHeight="1">
      <x:c r="A67" s="17" t="n">
        <x:v>64</x:v>
      </x:c>
      <x:c r="B67" s="17" t="str">
        <x:v>V063</x:v>
      </x:c>
      <x:c r="C67" s="17" t="str">
        <x:v>youtube</x:v>
      </x:c>
      <x:c r="D67" s="17" t="str">
        <x:v>Maya</x:v>
      </x:c>
      <x:c r="E67" s="24" t="str">
        <x:v>Poly Modeling Faces NO SCULPT REQUIRED</x:v>
      </x:c>
      <x:c r="F67" s="24" t="str">
        <x:v>https://www.youtube.com/watch?v=YCX54Nffuys</x:v>
      </x:c>
      <x:c r="G67" s="24" t="str">
        <x:v>头脸</x:v>
      </x:c>
      <x:c r="H67" s="24" t="str">
        <x:v>Maya sculpt face full process</x:v>
      </x:c>
      <x:c r="I67" s="24" t="str">
        <x:v>No</x:v>
      </x:c>
      <x:c r="J67" s="24" t="str">
        <x:v>PASS</x:v>
      </x:c>
      <x:c r="K67" s="24" t="str"/>
    </x:row>
    <x:row r="68" ht="36" customHeight="1">
      <x:c r="A68" s="17" t="n">
        <x:v>65</x:v>
      </x:c>
      <x:c r="B68" s="17" t="str">
        <x:v>V064</x:v>
      </x:c>
      <x:c r="C68" s="17" t="str">
        <x:v>bilibili</x:v>
      </x:c>
      <x:c r="D68" s="17" t="str">
        <x:v>Blender</x:v>
      </x:c>
      <x:c r="E68" s="24" t="str">
        <x:v>【Kurt】Blender卡通人物角色建模教程-麦田里的小女孩 | 新手向教程</x:v>
      </x:c>
      <x:c r="F68" s="24" t="str">
        <x:v>http://www.bilibili.com/video/av533658980</x:v>
      </x:c>
      <x:c r="G68" s="24" t="str">
        <x:v>角色-全身</x:v>
      </x:c>
      <x:c r="H68" s="24" t="str">
        <x:v>Blender 卡通 角色 建模 制作</x:v>
      </x:c>
      <x:c r="I68" s="24" t="str">
        <x:v>No</x:v>
      </x:c>
      <x:c r="J68" s="24" t="str">
        <x:v>PASS</x:v>
      </x:c>
      <x:c r="K68" s="24" t="str"/>
    </x:row>
    <x:row r="69" ht="36" customHeight="1">
      <x:c r="A69" s="17" t="n">
        <x:v>66</x:v>
      </x:c>
      <x:c r="B69" s="17" t="str">
        <x:v>V065</x:v>
      </x:c>
      <x:c r="C69" s="17" t="str">
        <x:v>youtube</x:v>
      </x:c>
      <x:c r="D69" s="17" t="str">
        <x:v>Maya</x:v>
      </x:c>
      <x:c r="E69" s="24" t="str">
        <x:v>Head Modeling Tutorial Part2 | Learn Maya</x:v>
      </x:c>
      <x:c r="F69" s="24" t="str">
        <x:v>https://www.youtube.com/watch?v=C16ouy98WUY</x:v>
      </x:c>
      <x:c r="G69" s="24" t="str">
        <x:v>头脸</x:v>
      </x:c>
      <x:c r="H69" s="24" t="str">
        <x:v>Maya sculpt character head from sphere</x:v>
      </x:c>
      <x:c r="I69" s="24" t="str">
        <x:v>No</x:v>
      </x:c>
      <x:c r="J69" s="24" t="str">
        <x:v>PASS</x:v>
      </x:c>
      <x:c r="K69" s="24" t="str"/>
    </x:row>
    <x:row r="70" ht="36" customHeight="1">
      <x:c r="A70" s="17" t="n">
        <x:v>67</x:v>
      </x:c>
      <x:c r="B70" s="17" t="str">
        <x:v>V066</x:v>
      </x:c>
      <x:c r="C70" s="17" t="str">
        <x:v>bilibili</x:v>
      </x:c>
      <x:c r="D70" s="17" t="str">
        <x:v>Blender</x:v>
      </x:c>
      <x:c r="E70" s="24" t="str">
        <x:v>【中字】Blender 卡通角色全流程 // SouthernShotty3D</x:v>
      </x:c>
      <x:c r="F70" s="24" t="str">
        <x:v>http://www.bilibili.com/video/av978922288</x:v>
      </x:c>
      <x:c r="G70" s="24" t="str">
        <x:v>角色-全身</x:v>
      </x:c>
      <x:c r="H70" s="24" t="str">
        <x:v>Blender 卡通 角色 建模 制作</x:v>
      </x:c>
      <x:c r="I70" s="24" t="str">
        <x:v>No</x:v>
      </x:c>
      <x:c r="J70" s="24" t="str">
        <x:v>PASS</x:v>
      </x:c>
      <x:c r="K70" s="24" t="str"/>
    </x:row>
    <x:row r="71" ht="36" customHeight="1">
      <x:c r="A71" s="17" t="n">
        <x:v>68</x:v>
      </x:c>
      <x:c r="B71" s="17" t="str">
        <x:v>V067</x:v>
      </x:c>
      <x:c r="C71" s="17" t="str">
        <x:v>bilibili</x:v>
      </x:c>
      <x:c r="D71" s="17" t="str">
        <x:v>Blender</x:v>
      </x:c>
      <x:c r="E71" s="24" t="str">
        <x:v>【blender教程】大家想看的女人头部建模，脸的布线与技巧</x:v>
      </x:c>
      <x:c r="F71" s="24" t="str">
        <x:v>http://www.bilibili.com/video/av114658195409028</x:v>
      </x:c>
      <x:c r="G71" s="24" t="str">
        <x:v>头脸</x:v>
      </x:c>
      <x:c r="H71" s="24" t="str">
        <x:v>Blender 角色 头部 雕刻 制作</x:v>
      </x:c>
      <x:c r="I71" s="24" t="str">
        <x:v>No</x:v>
      </x:c>
      <x:c r="J71" s="24" t="str">
        <x:v>PASS</x:v>
      </x:c>
      <x:c r="K71" s="24" t="str"/>
    </x:row>
    <x:row r="72" ht="36" customHeight="1">
      <x:c r="A72" s="17" t="n">
        <x:v>69</x:v>
      </x:c>
      <x:c r="B72" s="17" t="str">
        <x:v>V068</x:v>
      </x:c>
      <x:c r="C72" s="17" t="str">
        <x:v>youtube</x:v>
      </x:c>
      <x:c r="D72" s="17" t="str">
        <x:v>Maya</x:v>
      </x:c>
      <x:c r="E72" s="24" t="str">
        <x:v>Maya bodybuilder CHARACTER MODELING tutorial</x:v>
      </x:c>
      <x:c r="F72" s="24" t="str">
        <x:v>https://www.youtube.com/watch?v=spi4lGxnMZg</x:v>
      </x:c>
      <x:c r="G72" s="24" t="str">
        <x:v>角色-全身</x:v>
      </x:c>
      <x:c r="H72" s="24" t="str">
        <x:v>Maya model stylized character from scratch</x:v>
      </x:c>
      <x:c r="I72" s="24" t="str">
        <x:v>No</x:v>
      </x:c>
      <x:c r="J72" s="24" t="str">
        <x:v>PASS</x:v>
      </x:c>
      <x:c r="K72" s="24" t="str"/>
    </x:row>
    <x:row r="73" ht="36" customHeight="1">
      <x:c r="A73" s="17" t="n">
        <x:v>70</x:v>
      </x:c>
      <x:c r="B73" s="17" t="str">
        <x:v>V069</x:v>
      </x:c>
      <x:c r="C73" s="17" t="str">
        <x:v>youtube</x:v>
      </x:c>
      <x:c r="D73" s="17" t="str">
        <x:v>Maya</x:v>
      </x:c>
      <x:c r="E73" s="24" t="str">
        <x:v>Maya: Simple Character Part 01 - Modeling</x:v>
      </x:c>
      <x:c r="F73" s="24" t="str">
        <x:v>https://www.youtube.com/watch?v=xzmg0grXHyE</x:v>
      </x:c>
      <x:c r="G73" s="24" t="str">
        <x:v>角色-全身</x:v>
      </x:c>
      <x:c r="H73" s="24" t="str">
        <x:v>Maya sculpt animal head tutorial</x:v>
      </x:c>
      <x:c r="I73" s="24" t="str">
        <x:v>No</x:v>
      </x:c>
      <x:c r="J73" s="24" t="str">
        <x:v>PASS</x:v>
      </x:c>
      <x:c r="K73" s="24" t="str"/>
    </x:row>
    <x:row r="74" ht="36" customHeight="1">
      <x:c r="A74" s="17" t="n">
        <x:v>71</x:v>
      </x:c>
      <x:c r="B74" s="17" t="str">
        <x:v>V070</x:v>
      </x:c>
      <x:c r="C74" s="17" t="str">
        <x:v>youtube</x:v>
      </x:c>
      <x:c r="D74" s="17" t="str">
        <x:v>Blender</x:v>
      </x:c>
      <x:c r="E74" s="24" t="str">
        <x:v>Blender - LEVIATHAN Creature 3D Sculpt (Timelapse)</x:v>
      </x:c>
      <x:c r="F74" s="24" t="str">
        <x:v>https://www.youtube.com/watch?v=k-mEz54_p90</x:v>
      </x:c>
      <x:c r="G74" s="24" t="str">
        <x:v>生物</x:v>
      </x:c>
      <x:c r="H74" s="24" t="str">
        <x:v>Blender sculpt monster head timelapse</x:v>
      </x:c>
      <x:c r="I74" s="24" t="str">
        <x:v>No</x:v>
      </x:c>
      <x:c r="J74" s="24" t="str">
        <x:v>PASS</x:v>
      </x:c>
      <x:c r="K74" s="24" t="str"/>
    </x:row>
    <x:row r="75" ht="36" customHeight="1">
      <x:c r="A75" s="17" t="n">
        <x:v>72</x:v>
      </x:c>
      <x:c r="B75" s="17" t="str">
        <x:v>V071</x:v>
      </x:c>
      <x:c r="C75" s="17" t="str">
        <x:v>youtube</x:v>
      </x:c>
      <x:c r="D75" s="17" t="str">
        <x:v>Nomad Sculpt</x:v>
      </x:c>
      <x:c r="E75" s="24" t="str">
        <x:v>Nomad Sculpt: Cartoon Characters Workflow</x:v>
      </x:c>
      <x:c r="F75" s="24" t="str">
        <x:v>https://www.youtube.com/watch?v=wzk9p7ORCf8</x:v>
      </x:c>
      <x:c r="G75" s="24" t="str">
        <x:v>角色-全身</x:v>
      </x:c>
      <x:c r="H75" s="24" t="str">
        <x:v>Nomad Sculpt sculpt stylized head blockout workflow</x:v>
      </x:c>
      <x:c r="I75" s="24" t="str">
        <x:v>No</x:v>
      </x:c>
      <x:c r="J75" s="24" t="str">
        <x:v>PASS</x:v>
      </x:c>
      <x:c r="K75" s="24" t="str"/>
    </x:row>
    <x:row r="76" ht="36" customHeight="1">
      <x:c r="A76" s="17" t="n">
        <x:v>73</x:v>
      </x:c>
      <x:c r="B76" s="17" t="str">
        <x:v>V072</x:v>
      </x:c>
      <x:c r="C76" s="17" t="str">
        <x:v>youtube</x:v>
      </x:c>
      <x:c r="D76" s="17" t="str">
        <x:v>Blender</x:v>
      </x:c>
      <x:c r="E76" s="24" t="str">
        <x:v>Fast Character Modeling with the Skin Modifier in Blender</x:v>
      </x:c>
      <x:c r="F76" s="24" t="str">
        <x:v>https://www.youtube.com/watch?v=DAAwy_l4jw4</x:v>
      </x:c>
      <x:c r="G76" s="24" t="str">
        <x:v>角色-全身</x:v>
      </x:c>
      <x:c r="H76" s="24" t="str">
        <x:v>Blender model robot character workflow</x:v>
      </x:c>
      <x:c r="I76" s="24" t="str">
        <x:v>No</x:v>
      </x:c>
      <x:c r="J76" s="24" t="str">
        <x:v>PASS</x:v>
      </x:c>
      <x:c r="K76" s="24" t="str"/>
    </x:row>
    <x:row r="77" ht="36" customHeight="1">
      <x:c r="A77" s="17" t="n">
        <x:v>74</x:v>
      </x:c>
      <x:c r="B77" s="17" t="str">
        <x:v>V073</x:v>
      </x:c>
      <x:c r="C77" s="17" t="str">
        <x:v>youtube</x:v>
      </x:c>
      <x:c r="D77" s="17" t="str">
        <x:v>Blender</x:v>
      </x:c>
      <x:c r="E77" s="24" t="str">
        <x:v>Blender 2.91 Hardsurface Sculpting Cracks</x:v>
      </x:c>
      <x:c r="F77" s="24" t="str">
        <x:v>https://www.youtube.com/watch?v=fHGDeNKFzM4</x:v>
      </x:c>
      <x:c r="G77" s="24" t="str">
        <x:v>头脸</x:v>
      </x:c>
      <x:c r="H77" s="24" t="str">
        <x:v>Blender model stylized rock sculpt</x:v>
      </x:c>
      <x:c r="I77" s="24" t="str">
        <x:v>No</x:v>
      </x:c>
      <x:c r="J77" s="24" t="str">
        <x:v>PASS</x:v>
      </x:c>
      <x:c r="K77" s="24" t="str"/>
    </x:row>
    <x:row r="78" ht="36" customHeight="1">
      <x:c r="A78" s="17" t="n">
        <x:v>75</x:v>
      </x:c>
      <x:c r="B78" s="17" t="str">
        <x:v>V074</x:v>
      </x:c>
      <x:c r="C78" s="17" t="str">
        <x:v>youtube</x:v>
      </x:c>
      <x:c r="D78" s="17" t="str">
        <x:v>Blender</x:v>
      </x:c>
      <x:c r="E78" s="24" t="str">
        <x:v>Blocking Out - Blender Character Sculpt Tutorial part 1</x:v>
      </x:c>
      <x:c r="F78" s="24" t="str">
        <x:v>https://www.youtube.com/watch?v=J2_uiUEcY7w</x:v>
      </x:c>
      <x:c r="G78" s="24" t="str">
        <x:v>角色-全身</x:v>
      </x:c>
      <x:c r="H78" s="24" t="str">
        <x:v>Blender sculpt stylized head blockout workflow</x:v>
      </x:c>
      <x:c r="I78" s="24" t="str">
        <x:v>No</x:v>
      </x:c>
      <x:c r="J78" s="24" t="str">
        <x:v>PASS</x:v>
      </x:c>
      <x:c r="K78" s="24" t="str"/>
    </x:row>
    <x:row r="79" ht="36" customHeight="1">
      <x:c r="A79" s="17" t="n">
        <x:v>76</x:v>
      </x:c>
      <x:c r="B79" s="17" t="str">
        <x:v>V075</x:v>
      </x:c>
      <x:c r="C79" s="17" t="str">
        <x:v>bilibili</x:v>
      </x:c>
      <x:c r="D79" s="17" t="str">
        <x:v>ZBrush</x:v>
      </x:c>
      <x:c r="E79" s="24" t="str">
        <x:v>【Zbrush雕刻】教你从一个球雕刻出一个机器人，建模干货知识 技巧讲解 ，zbrush次时代角色建模基础教学</x:v>
      </x:c>
      <x:c r="F79" s="24" t="str">
        <x:v>http://www.bilibili.com/video/av115467444290263</x:v>
      </x:c>
      <x:c r="G79" s="24" t="str">
        <x:v>角色-全身</x:v>
      </x:c>
      <x:c r="H79" s="24" t="str">
        <x:v>ZBrush 机器人 角色 建模</x:v>
      </x:c>
      <x:c r="I79" s="24" t="str">
        <x:v>No</x:v>
      </x:c>
      <x:c r="J79" s="24" t="str">
        <x:v>PASS</x:v>
      </x:c>
      <x:c r="K79" s="24" t="str"/>
    </x:row>
    <x:row r="80" ht="36" customHeight="1">
      <x:c r="A80" s="17" t="n">
        <x:v>77</x:v>
      </x:c>
      <x:c r="B80" s="17" t="str">
        <x:v>V076</x:v>
      </x:c>
      <x:c r="C80" s="17" t="str">
        <x:v>bilibili</x:v>
      </x:c>
      <x:c r="D80" s="17" t="str">
        <x:v>ZBrush</x:v>
      </x:c>
      <x:c r="E80" s="24" t="str">
        <x:v>【zbrush雕刻】“卡通小男孩”角色模型雕刻，新手也能学会的zbrush角色建模教程</x:v>
      </x:c>
      <x:c r="F80" s="24" t="str">
        <x:v>http://www.bilibili.com/video/av116635256034832</x:v>
      </x:c>
      <x:c r="G80" s="24" t="str">
        <x:v>角色-全身</x:v>
      </x:c>
      <x:c r="H80" s="24" t="str">
        <x:v>ZBrush 卡通 角色 建模 制作</x:v>
      </x:c>
      <x:c r="I80" s="24" t="str">
        <x:v>No</x:v>
      </x:c>
      <x:c r="J80" s="24" t="str">
        <x:v>PASS</x:v>
      </x:c>
      <x:c r="K80" s="24" t="str"/>
    </x:row>
    <x:row r="81" ht="36" customHeight="1">
      <x:c r="A81" s="17" t="n">
        <x:v>78</x:v>
      </x:c>
      <x:c r="B81" s="17" t="str">
        <x:v>V077</x:v>
      </x:c>
      <x:c r="C81" s="17" t="str">
        <x:v>bilibili</x:v>
      </x:c>
      <x:c r="D81" s="17" t="str">
        <x:v>Nomad Sculpt</x:v>
      </x:c>
      <x:c r="E81" s="24" t="str">
        <x:v>BJD自制教程｜建模篇｜如何用nomad从球开始制作头部</x:v>
      </x:c>
      <x:c r="F81" s="24" t="str">
        <x:v>http://www.bilibili.com/video/av615577662</x:v>
      </x:c>
      <x:c r="G81" s="24" t="str">
        <x:v>头脸</x:v>
      </x:c>
      <x:c r="H81" s="24" t="str">
        <x:v>Nomad Sculpt 角色 头部 雕刻 制作</x:v>
      </x:c>
      <x:c r="I81" s="24" t="str">
        <x:v>No</x:v>
      </x:c>
      <x:c r="J81" s="24" t="str">
        <x:v>PASS</x:v>
      </x:c>
      <x:c r="K81" s="24" t="str"/>
    </x:row>
    <x:row r="82" ht="36" customHeight="1">
      <x:c r="A82" s="17" t="n">
        <x:v>79</x:v>
      </x:c>
      <x:c r="B82" s="17" t="str">
        <x:v>V078</x:v>
      </x:c>
      <x:c r="C82" s="17" t="str">
        <x:v>bilibili</x:v>
      </x:c>
      <x:c r="D82" s="17" t="str">
        <x:v>ZBrush</x:v>
      </x:c>
      <x:c r="E82" s="24" t="str">
        <x:v>zbrush怪物生物雕刻教学，初学者必学的角色建模案例</x:v>
      </x:c>
      <x:c r="F82" s="24" t="str">
        <x:v>http://www.bilibili.com/video/av116419148715867</x:v>
      </x:c>
      <x:c r="G82" s="24" t="str">
        <x:v>生物</x:v>
      </x:c>
      <x:c r="H82" s="24" t="str">
        <x:v>ZBrush 生物 角色 雕刻 制作</x:v>
      </x:c>
      <x:c r="I82" s="24" t="str">
        <x:v>No</x:v>
      </x:c>
      <x:c r="J82" s="24" t="str">
        <x:v>PASS</x:v>
      </x:c>
      <x:c r="K82" s="24" t="str"/>
    </x:row>
    <x:row r="83" ht="36" customHeight="1">
      <x:c r="A83" s="17" t="n">
        <x:v>80</x:v>
      </x:c>
      <x:c r="B83" s="17" t="str">
        <x:v>V079</x:v>
      </x:c>
      <x:c r="C83" s="17" t="str">
        <x:v>bilibili</x:v>
      </x:c>
      <x:c r="D83" s="17" t="str">
        <x:v>ZBrush</x:v>
      </x:c>
      <x:c r="E83" s="24" t="str">
        <x:v>【Zbrush雕刻】教你从一个球雕刻出这位风格化美女！干货知识 技巧讲解 zbrush次时代角色建模基础教学</x:v>
      </x:c>
      <x:c r="F83" s="24" t="str">
        <x:v>http://www.bilibili.com/video/av115422431019047</x:v>
      </x:c>
      <x:c r="G83" s="24" t="str">
        <x:v>角色-全身</x:v>
      </x:c>
      <x:c r="H83" s="24" t="str">
        <x:v>ZBrush 风格化 角色 建模 流程</x:v>
      </x:c>
      <x:c r="I83" s="24" t="str">
        <x:v>No</x:v>
      </x:c>
      <x:c r="J83" s="24" t="str">
        <x:v>PASS</x:v>
      </x:c>
      <x:c r="K83" s="24" t="str"/>
    </x:row>
    <x:row r="84" ht="36" customHeight="1">
      <x:c r="A84" s="17" t="n">
        <x:v>81</x:v>
      </x:c>
      <x:c r="B84" s="17" t="str">
        <x:v>V080</x:v>
      </x:c>
      <x:c r="C84" s="17" t="str">
        <x:v>bilibili</x:v>
      </x:c>
      <x:c r="D84" s="17" t="str">
        <x:v>ZBrush</x:v>
      </x:c>
      <x:c r="E84" s="24" t="str">
        <x:v>【ZBrush】zb 高质量 次世代 角色 全流程 制作演示 （p7完结）</x:v>
      </x:c>
      <x:c r="F84" s="24" t="str">
        <x:v>http://www.bilibili.com/video/av36831724</x:v>
      </x:c>
      <x:c r="G84" s="24" t="str">
        <x:v>角色-全身</x:v>
      </x:c>
      <x:c r="H84" s="24" t="str">
        <x:v>ZBrush 风格化 角色 建模 流程</x:v>
      </x:c>
      <x:c r="I84" s="24" t="str">
        <x:v>No</x:v>
      </x:c>
      <x:c r="J84" s="24" t="str">
        <x:v>PASS</x:v>
      </x:c>
      <x:c r="K84" s="24" t="str"/>
    </x:row>
    <x:row r="85" ht="36" customHeight="1">
      <x:c r="A85" s="17" t="n">
        <x:v>82</x:v>
      </x:c>
      <x:c r="B85" s="17" t="str">
        <x:v>V081</x:v>
      </x:c>
      <x:c r="C85" s="17" t="str">
        <x:v>bilibili</x:v>
      </x:c>
      <x:c r="D85" s="17" t="str">
        <x:v>ZBrush</x:v>
      </x:c>
      <x:c r="E85" s="24" t="str">
        <x:v>Zbrush | 角色风格化建模流程实操</x:v>
      </x:c>
      <x:c r="F85" s="24" t="str">
        <x:v>http://www.bilibili.com/video/av116587910729696</x:v>
      </x:c>
      <x:c r="G85" s="24" t="str">
        <x:v>角色-全身</x:v>
      </x:c>
      <x:c r="H85" s="24" t="str">
        <x:v>ZBrush 风格化 角色 建模 流程</x:v>
      </x:c>
      <x:c r="I85" s="24" t="str">
        <x:v>No</x:v>
      </x:c>
      <x:c r="J85" s="24" t="str">
        <x:v>PASS</x:v>
      </x:c>
      <x:c r="K85" s="24" t="str"/>
    </x:row>
    <x:row r="86" ht="36" customHeight="1">
      <x:c r="A86" s="17" t="n">
        <x:v>83</x:v>
      </x:c>
      <x:c r="B86" s="17" t="str">
        <x:v>V082</x:v>
      </x:c>
      <x:c r="C86" s="17" t="str">
        <x:v>bilibili</x:v>
      </x:c>
      <x:c r="D86" s="17" t="str">
        <x:v>ZBrush</x:v>
      </x:c>
      <x:c r="E86" s="24" t="str">
        <x:v>zbrush新手教程：魔兽世界兽人3D建模角色怪物高模雕刻技巧</x:v>
      </x:c>
      <x:c r="F86" s="24" t="str">
        <x:v>http://www.bilibili.com/video/av414365896</x:v>
      </x:c>
      <x:c r="G86" s="24" t="str">
        <x:v>生物</x:v>
      </x:c>
      <x:c r="H86" s="24" t="str">
        <x:v>ZBrush 兽人 角色 雕刻</x:v>
      </x:c>
      <x:c r="I86" s="24" t="str">
        <x:v>No</x:v>
      </x:c>
      <x:c r="J86" s="24" t="str">
        <x:v>PASS</x:v>
      </x:c>
      <x:c r="K86" s="24" t="str"/>
    </x:row>
    <x:row r="87" ht="36" customHeight="1">
      <x:c r="A87" s="17" t="n">
        <x:v>84</x:v>
      </x:c>
      <x:c r="B87" s="17" t="str">
        <x:v>V083</x:v>
      </x:c>
      <x:c r="C87" s="17" t="str">
        <x:v>youtube</x:v>
      </x:c>
      <x:c r="D87" s="17" t="str">
        <x:v>Blender</x:v>
      </x:c>
      <x:c r="E87" s="24" t="str">
        <x:v>Sculpting Rocks</x:v>
      </x:c>
      <x:c r="F87" s="24" t="str">
        <x:v>https://www.youtube.com/watch?v=BBKjyVlJe0Y</x:v>
      </x:c>
      <x:c r="G87" s="24" t="str">
        <x:v>道具-自然</x:v>
      </x:c>
      <x:c r="H87" s="24" t="str">
        <x:v>Blender model stylized rock sculpt</x:v>
      </x:c>
      <x:c r="I87" s="24" t="str">
        <x:v>No</x:v>
      </x:c>
      <x:c r="J87" s="24" t="str">
        <x:v>PASS</x:v>
      </x:c>
      <x:c r="K87" s="24" t="str"/>
    </x:row>
    <x:row r="88" ht="36" customHeight="1">
      <x:c r="A88" s="17" t="n">
        <x:v>85</x:v>
      </x:c>
      <x:c r="B88" s="17" t="str">
        <x:v>V084</x:v>
      </x:c>
      <x:c r="C88" s="17" t="str">
        <x:v>bilibili</x:v>
      </x:c>
      <x:c r="D88" s="17" t="str">
        <x:v>ZBrush</x:v>
      </x:c>
      <x:c r="E88" s="24" t="str">
        <x:v>头部解剖——下集：头骨制作过程</x:v>
      </x:c>
      <x:c r="F88" s="24" t="str">
        <x:v>http://www.bilibili.com/video/av993424631</x:v>
      </x:c>
      <x:c r="G88" s="24" t="str">
        <x:v>头脸</x:v>
      </x:c>
      <x:c r="H88" s="24" t="str">
        <x:v>ZBrush 从球 开始 制作 头部</x:v>
      </x:c>
      <x:c r="I88" s="24" t="str">
        <x:v>No</x:v>
      </x:c>
      <x:c r="J88" s="24" t="str">
        <x:v>PASS</x:v>
      </x:c>
      <x:c r="K88" s="24" t="str"/>
    </x:row>
    <x:row r="89" ht="36" customHeight="1">
      <x:c r="A89" s="17" t="n">
        <x:v>86</x:v>
      </x:c>
      <x:c r="B89" s="17" t="str">
        <x:v>V085</x:v>
      </x:c>
      <x:c r="C89" s="17" t="str">
        <x:v>bilibili</x:v>
      </x:c>
      <x:c r="D89" s="17" t="str">
        <x:v>ZBrush</x:v>
      </x:c>
      <x:c r="E89" s="24" t="str">
        <x:v>【zbrush雕刻建模】女性角色脸部五官雕刻教学，分析加练习技巧讲解，zbrush雕刻教程</x:v>
      </x:c>
      <x:c r="F89" s="24" t="str">
        <x:v>http://www.bilibili.com/video/av249259513</x:v>
      </x:c>
      <x:c r="G89" s="24" t="str">
        <x:v>头脸</x:v>
      </x:c>
      <x:c r="H89" s="24" t="str">
        <x:v>ZBrush 人脸 五官 雕刻 全流程</x:v>
      </x:c>
      <x:c r="I89" s="24" t="str">
        <x:v>No</x:v>
      </x:c>
      <x:c r="J89" s="24" t="str">
        <x:v>PASS</x:v>
      </x:c>
      <x:c r="K89" s="24" t="str"/>
    </x:row>
    <x:row r="90" ht="36" customHeight="1">
      <x:c r="A90" s="17" t="n">
        <x:v>87</x:v>
      </x:c>
      <x:c r="B90" s="17" t="str">
        <x:v>V086</x:v>
      </x:c>
      <x:c r="C90" s="17" t="str">
        <x:v>bilibili</x:v>
      </x:c>
      <x:c r="D90" s="17" t="str">
        <x:v>Blender</x:v>
      </x:c>
      <x:c r="E90" s="24" t="str">
        <x:v>BLENDER丨风格化虚构植物建模全流程教程</x:v>
      </x:c>
      <x:c r="F90" s="24" t="str">
        <x:v>http://www.bilibili.com/video/av1706139074</x:v>
      </x:c>
      <x:c r="G90" s="24" t="str">
        <x:v>角色-全身</x:v>
      </x:c>
      <x:c r="H90" s="24" t="str">
        <x:v>Blender 风格化 角色 建模 流程</x:v>
      </x:c>
      <x:c r="I90" s="24" t="str">
        <x:v>No</x:v>
      </x:c>
      <x:c r="J90" s="24" t="str">
        <x:v>PASS</x:v>
      </x:c>
      <x:c r="K90" s="24" t="str"/>
    </x:row>
    <x:row r="91" ht="36" customHeight="1">
      <x:c r="A91" s="17" t="n">
        <x:v>88</x:v>
      </x:c>
      <x:c r="B91" s="17" t="str">
        <x:v>V087</x:v>
      </x:c>
      <x:c r="C91" s="17" t="str">
        <x:v>bilibili</x:v>
      </x:c>
      <x:c r="D91" s="17" t="str">
        <x:v>Blender</x:v>
      </x:c>
      <x:c r="E91" s="24" t="str">
        <x:v>Blender 4.4无雕刻风格化角色建模</x:v>
      </x:c>
      <x:c r="F91" s="24" t="str">
        <x:v>http://www.bilibili.com/video/av114282452752803</x:v>
      </x:c>
      <x:c r="G91" s="24" t="str">
        <x:v>角色-全身</x:v>
      </x:c>
      <x:c r="H91" s="24" t="str">
        <x:v>Blender 风格化 角色 建模 流程</x:v>
      </x:c>
      <x:c r="I91" s="24" t="str">
        <x:v>No</x:v>
      </x:c>
      <x:c r="J91" s="24" t="str">
        <x:v>PASS</x:v>
      </x:c>
      <x:c r="K91" s="24" t="str"/>
    </x:row>
    <x:row r="92" ht="36" customHeight="1">
      <x:c r="A92" s="17" t="n">
        <x:v>89</x:v>
      </x:c>
      <x:c r="B92" s="17" t="str">
        <x:v>V088</x:v>
      </x:c>
      <x:c r="C92" s="17" t="str">
        <x:v>bilibili</x:v>
      </x:c>
      <x:c r="D92" s="17" t="str">
        <x:v>Blender</x:v>
      </x:c>
      <x:c r="E92" s="24" t="str">
        <x:v>blender教程：风格化朋克女孩blender角色建模流程指南</x:v>
      </x:c>
      <x:c r="F92" s="24" t="str">
        <x:v>http://www.bilibili.com/video/av114165565890248</x:v>
      </x:c>
      <x:c r="G92" s="24" t="str">
        <x:v>角色-全身</x:v>
      </x:c>
      <x:c r="H92" s="24" t="str">
        <x:v>Blender 风格化 角色 建模 流程</x:v>
      </x:c>
      <x:c r="I92" s="24" t="str">
        <x:v>No</x:v>
      </x:c>
      <x:c r="J92" s="24" t="str">
        <x:v>PASS</x:v>
      </x:c>
      <x:c r="K92" s="24" t="str"/>
    </x:row>
    <x:row r="93" ht="36" customHeight="1">
      <x:c r="A93" s="17" t="n">
        <x:v>90</x:v>
      </x:c>
      <x:c r="B93" s="17" t="str">
        <x:v>V089</x:v>
      </x:c>
      <x:c r="C93" s="17" t="str">
        <x:v>youtube</x:v>
      </x:c>
      <x:c r="D93" s="17" t="str">
        <x:v>Blender</x:v>
      </x:c>
      <x:c r="E93" s="24" t="str">
        <x:v>How to Sculpt Stylized Characters in Blender (Blockout Tutorial)</x:v>
      </x:c>
      <x:c r="F93" s="24" t="str">
        <x:v>https://www.youtube.com/watch?v=r7XmWt5TCcE</x:v>
      </x:c>
      <x:c r="G93" s="24" t="str">
        <x:v>角色-全身</x:v>
      </x:c>
      <x:c r="H93" s="24" t="str">
        <x:v>Blender sculpt stylized head blockout workflow</x:v>
      </x:c>
      <x:c r="I93" s="24" t="str">
        <x:v>No</x:v>
      </x:c>
      <x:c r="J93" s="24" t="str">
        <x:v>PASS</x:v>
      </x:c>
      <x:c r="K93" s="24" t="str"/>
    </x:row>
    <x:row r="94" ht="36" customHeight="1">
      <x:c r="A94" s="17" t="n">
        <x:v>91</x:v>
      </x:c>
      <x:c r="B94" s="17" t="str">
        <x:v>V090</x:v>
      </x:c>
      <x:c r="C94" s="17" t="str">
        <x:v>youtube</x:v>
      </x:c>
      <x:c r="D94" s="17" t="str">
        <x:v>ZBrush</x:v>
      </x:c>
      <x:c r="E94" s="24" t="str">
        <x:v>Female head from sphere in Zbrush How to model and draw a female head with live narration</x:v>
      </x:c>
      <x:c r="F94" s="24" t="str">
        <x:v>https://www.youtube.com/watch?v=wSKsmyV9ISk</x:v>
      </x:c>
      <x:c r="G94" s="24" t="str">
        <x:v>头脸</x:v>
      </x:c>
      <x:c r="H94" s="24" t="str">
        <x:v>Blender sculpt character head from sphere</x:v>
      </x:c>
      <x:c r="I94" s="24" t="str">
        <x:v>No</x:v>
      </x:c>
      <x:c r="J94" s="24" t="str">
        <x:v>PASS</x:v>
      </x:c>
      <x:c r="K94" s="24" t="str"/>
    </x:row>
    <x:row r="95" ht="36" customHeight="1">
      <x:c r="A95" s="17" t="n">
        <x:v>92</x:v>
      </x:c>
      <x:c r="B95" s="17" t="str">
        <x:v>V091</x:v>
      </x:c>
      <x:c r="C95" s="17" t="str">
        <x:v>bilibili</x:v>
      </x:c>
      <x:c r="D95" s="17" t="str">
        <x:v>Maya</x:v>
      </x:c>
      <x:c r="E95" s="24" t="str">
        <x:v>【Maya人物建模】人头大型、嘴巴、鼻子、头发布线讲解，LOL金克斯人物建模教程</x:v>
      </x:c>
      <x:c r="F95" s="24" t="str">
        <x:v>http://www.bilibili.com/video/av641635304</x:v>
      </x:c>
      <x:c r="G95" s="24" t="str">
        <x:v>头脸</x:v>
      </x:c>
      <x:c r="H95" s="24" t="str">
        <x:v>Maya 角色 头部 雕刻 制作</x:v>
      </x:c>
      <x:c r="I95" s="24" t="str">
        <x:v>No</x:v>
      </x:c>
      <x:c r="J95" s="24" t="str">
        <x:v>PASS</x:v>
      </x:c>
      <x:c r="K95" s="24" t="str"/>
    </x:row>
    <x:row r="96" ht="36" customHeight="1">
      <x:c r="A96" s="17" t="n">
        <x:v>93</x:v>
      </x:c>
      <x:c r="B96" s="17" t="str">
        <x:v>V092</x:v>
      </x:c>
      <x:c r="C96" s="17" t="str">
        <x:v>bilibili</x:v>
      </x:c>
      <x:c r="D96" s="17" t="str">
        <x:v>3ds Max</x:v>
      </x:c>
      <x:c r="E96" s="24" t="str">
        <x:v>〔3Dmax武器建模〕零基础小白武器青铜剑，模型案例制作。</x:v>
      </x:c>
      <x:c r="F96" s="24" t="str">
        <x:v>http://www.bilibili.com/video/av112675732325813</x:v>
      </x:c>
      <x:c r="G96" s="24" t="str">
        <x:v>道具-武器</x:v>
      </x:c>
      <x:c r="H96" s="24" t="str">
        <x:v>Nomad Sculpt 武器 剑 建模 制作</x:v>
      </x:c>
      <x:c r="I96" s="24" t="str">
        <x:v>No</x:v>
      </x:c>
      <x:c r="J96" s="24" t="str">
        <x:v>PASS</x:v>
      </x:c>
      <x:c r="K96" s="24" t="str"/>
    </x:row>
    <x:row r="97" ht="36" customHeight="1">
      <x:c r="A97" s="17" t="n">
        <x:v>94</x:v>
      </x:c>
      <x:c r="B97" s="17" t="str">
        <x:v>V093</x:v>
      </x:c>
      <x:c r="C97" s="17" t="str">
        <x:v>bilibili</x:v>
      </x:c>
      <x:c r="D97" s="17" t="str">
        <x:v>Maya</x:v>
      </x:c>
      <x:c r="E97" s="24" t="str">
        <x:v>〖Maya人物建模〗从零开始！零基础新手必练案例，保姆级教学全职猎人西索头部模型（含五官比例+头发卡线雕刻）</x:v>
      </x:c>
      <x:c r="F97" s="24" t="str">
        <x:v>http://www.bilibili.com/video/av116713370687283</x:v>
      </x:c>
      <x:c r="G97" s="24" t="str">
        <x:v>头脸</x:v>
      </x:c>
      <x:c r="H97" s="24" t="str">
        <x:v>Maya 人脸 五官 雕刻 全流程</x:v>
      </x:c>
      <x:c r="I97" s="24" t="str">
        <x:v>No</x:v>
      </x:c>
      <x:c r="J97" s="24" t="str">
        <x:v>PASS</x:v>
      </x:c>
      <x:c r="K97" s="24" t="str"/>
    </x:row>
    <x:row r="98" ht="36" customHeight="1">
      <x:c r="A98" s="17" t="n">
        <x:v>95</x:v>
      </x:c>
      <x:c r="B98" s="17" t="str">
        <x:v>V094</x:v>
      </x:c>
      <x:c r="C98" s="17" t="str">
        <x:v>youtube</x:v>
      </x:c>
      <x:c r="D98" s="17" t="str">
        <x:v>Blender</x:v>
      </x:c>
      <x:c r="E98" s="24" t="str">
        <x:v>How to Model a Face Mask in Blender (Quick Workflow)</x:v>
      </x:c>
      <x:c r="F98" s="24" t="str">
        <x:v>https://www.youtube.com/watch?v=epGSDrUwYLc</x:v>
      </x:c>
      <x:c r="G98" s="24" t="str">
        <x:v>头脸</x:v>
      </x:c>
      <x:c r="H98" s="24" t="str">
        <x:v>Blender model mask head workflow</x:v>
      </x:c>
      <x:c r="I98" s="24" t="str">
        <x:v>No</x:v>
      </x:c>
      <x:c r="J98" s="24" t="str">
        <x:v>PASS</x:v>
      </x:c>
      <x:c r="K98" s="24" t="str"/>
    </x:row>
    <x:row r="99" ht="36" customHeight="1">
      <x:c r="A99" s="17" t="n">
        <x:v>96</x:v>
      </x:c>
      <x:c r="B99" s="17" t="str">
        <x:v>V095</x:v>
      </x:c>
      <x:c r="C99" s="17" t="str">
        <x:v>youtube</x:v>
      </x:c>
      <x:c r="D99" s="17" t="str">
        <x:v>Nomad Sculpt</x:v>
      </x:c>
      <x:c r="E99" s="24" t="str">
        <x:v>Stylized Character Sculpting | Nomad Sculpt Tutorial</x:v>
      </x:c>
      <x:c r="F99" s="24" t="str">
        <x:v>https://www.youtube.com/watch?v=G_IHhCIOgfg</x:v>
      </x:c>
      <x:c r="G99" s="24" t="str">
        <x:v>角色-全身</x:v>
      </x:c>
      <x:c r="H99" s="24" t="str">
        <x:v>Nomad Sculpt sculpt monster head timelapse</x:v>
      </x:c>
      <x:c r="I99" s="24" t="str">
        <x:v>No</x:v>
      </x:c>
      <x:c r="J99" s="24" t="str">
        <x:v>PASS</x:v>
      </x:c>
      <x:c r="K99" s="24" t="str"/>
    </x:row>
    <x:row r="100" ht="36" customHeight="1">
      <x:c r="A100" s="17" t="n">
        <x:v>97</x:v>
      </x:c>
      <x:c r="B100" s="17" t="str">
        <x:v>V096</x:v>
      </x:c>
      <x:c r="C100" s="17" t="str">
        <x:v>youtube</x:v>
      </x:c>
      <x:c r="D100" s="17" t="str">
        <x:v>Cinema 4D</x:v>
      </x:c>
      <x:c r="E100" s="24" t="str">
        <x:v>Cinema 4D Bust/Head Sculpting to 3D Print</x:v>
      </x:c>
      <x:c r="F100" s="24" t="str">
        <x:v>https://www.youtube.com/watch?v=eotcYRgiXxM</x:v>
      </x:c>
      <x:c r="G100" s="24" t="str">
        <x:v>头脸</x:v>
      </x:c>
      <x:c r="H100" s="24" t="str">
        <x:v>Cinema 4D sculpt character head from sphere</x:v>
      </x:c>
      <x:c r="I100" s="24" t="str">
        <x:v>No</x:v>
      </x:c>
      <x:c r="J100" s="24" t="str">
        <x:v>PASS</x:v>
      </x:c>
      <x:c r="K100" s="24" t="str"/>
    </x:row>
    <x:row r="101" ht="36" customHeight="1">
      <x:c r="A101" s="17" t="n">
        <x:v>98</x:v>
      </x:c>
      <x:c r="B101" s="17" t="str">
        <x:v>V097</x:v>
      </x:c>
      <x:c r="C101" s="17" t="str">
        <x:v>youtube</x:v>
      </x:c>
      <x:c r="D101" s="17" t="str">
        <x:v>Cinema 4D</x:v>
      </x:c>
      <x:c r="E101" s="24" t="str">
        <x:v>Head / Face Modeling C4D Real Time</x:v>
      </x:c>
      <x:c r="F101" s="24" t="str">
        <x:v>https://www.youtube.com/watch?v=M1WF-vZ3GTU</x:v>
      </x:c>
      <x:c r="G101" s="24" t="str">
        <x:v>头脸</x:v>
      </x:c>
      <x:c r="H101" s="24" t="str">
        <x:v>Cinema 4D sculpt character head from sphere</x:v>
      </x:c>
      <x:c r="I101" s="24" t="str">
        <x:v>No</x:v>
      </x:c>
      <x:c r="J101" s="24" t="str">
        <x:v>PASS</x:v>
      </x:c>
      <x:c r="K101" s="24" t="str"/>
    </x:row>
    <x:row r="102" ht="36" customHeight="1">
      <x:c r="A102" s="17" t="n">
        <x:v>99</x:v>
      </x:c>
      <x:c r="B102" s="17" t="str">
        <x:v>V098</x:v>
      </x:c>
      <x:c r="C102" s="17" t="str">
        <x:v>youtube</x:v>
      </x:c>
      <x:c r="D102" s="17" t="str">
        <x:v>ZBrush</x:v>
      </x:c>
      <x:c r="E102" s="24" t="str">
        <x:v>Anatomy studying (hands) - distal phalanx sculpting in ZBrush</x:v>
      </x:c>
      <x:c r="F102" s="24" t="str">
        <x:v>https://www.youtube.com/watch?v=s5zCcgl4Rd4</x:v>
      </x:c>
      <x:c r="G102" s="24" t="str">
        <x:v>角色-部分</x:v>
      </x:c>
      <x:c r="H102" s="24" t="str">
        <x:v>Maya sculpt hand foot anatomy</x:v>
      </x:c>
      <x:c r="I102" s="24" t="str">
        <x:v>No</x:v>
      </x:c>
      <x:c r="J102" s="24" t="str">
        <x:v>PASS</x:v>
      </x:c>
      <x:c r="K102" s="24" t="str"/>
    </x:row>
    <x:row r="103" ht="36" customHeight="1">
      <x:c r="A103" s="17" t="n">
        <x:v>100</x:v>
      </x:c>
      <x:c r="B103" s="17" t="str">
        <x:v>V099</x:v>
      </x:c>
      <x:c r="C103" s="17" t="str">
        <x:v>youtube</x:v>
      </x:c>
      <x:c r="D103" s="17" t="str">
        <x:v>ZBrush</x:v>
      </x:c>
      <x:c r="E103" s="24" t="str">
        <x:v>Eyes of Lamia | Human Skull (Female). Zbrush Sculpt Timelapse</x:v>
      </x:c>
      <x:c r="F103" s="24" t="str">
        <x:v>https://www.youtube.com/watch?v=Qr00uI80Ars</x:v>
      </x:c>
      <x:c r="G103" s="24" t="str">
        <x:v>头脸</x:v>
      </x:c>
      <x:c r="H103" s="24" t="str">
        <x:v>Maya sculpt monster head timelapse</x:v>
      </x:c>
      <x:c r="I103" s="24" t="str">
        <x:v>No</x:v>
      </x:c>
      <x:c r="J103" s="24" t="str">
        <x:v>PASS</x:v>
      </x:c>
      <x:c r="K103" s="24" t="str"/>
    </x:row>
    <x:row r="104" ht="36" customHeight="1">
      <x:c r="A104" s="17" t="n">
        <x:v>101</x:v>
      </x:c>
      <x:c r="B104" s="17" t="str">
        <x:v>V100</x:v>
      </x:c>
      <x:c r="C104" s="17" t="str">
        <x:v>youtube</x:v>
      </x:c>
      <x:c r="D104" s="17" t="str">
        <x:v>ZBrush</x:v>
      </x:c>
      <x:c r="E104" s="24" t="str">
        <x:v>Eyes of Lamia | Crocodile Head. Zbrush Sculpt Timelapse</x:v>
      </x:c>
      <x:c r="F104" s="24" t="str">
        <x:v>https://www.youtube.com/watch?v=S4CARpyinms</x:v>
      </x:c>
      <x:c r="G104" s="24" t="str">
        <x:v>头脸</x:v>
      </x:c>
      <x:c r="H104" s="24" t="str">
        <x:v>Maya sculpt monster head timelapse</x:v>
      </x:c>
      <x:c r="I104" s="24" t="str">
        <x:v>No</x:v>
      </x:c>
      <x:c r="J104" s="24" t="str">
        <x:v>PASS</x:v>
      </x:c>
      <x:c r="K104" s="24" t="str"/>
    </x:row>
    <x:row r="105" ht="36" customHeight="1">
      <x:c r="A105" s="17" t="n">
        <x:v>102</x:v>
      </x:c>
      <x:c r="B105" s="17" t="str">
        <x:v>V101</x:v>
      </x:c>
      <x:c r="C105" s="17" t="str">
        <x:v>youtube</x:v>
      </x:c>
      <x:c r="D105" s="17" t="str">
        <x:v>Nomad Sculpt</x:v>
      </x:c>
      <x:c r="E105" s="24" t="str">
        <x:v>Nomad sculpt tutorial: how to 3D model clothing.</x:v>
      </x:c>
      <x:c r="F105" s="24" t="str">
        <x:v>https://www.youtube.com/watch?v=2P2BTKfZC4A</x:v>
      </x:c>
      <x:c r="G105" s="24" t="str">
        <x:v>角色-部分</x:v>
      </x:c>
      <x:c r="H105" s="24" t="str">
        <x:v>Nomad Sculpt sculpt clothing folds character</x:v>
      </x:c>
      <x:c r="I105" s="24" t="str">
        <x:v>No</x:v>
      </x:c>
      <x:c r="J105" s="24" t="str">
        <x:v>PASS</x:v>
      </x:c>
      <x:c r="K105" s="24" t="str"/>
    </x:row>
    <x:row r="106" ht="36" customHeight="1">
      <x:c r="A106" s="17" t="n">
        <x:v>103</x:v>
      </x:c>
      <x:c r="B106" s="17" t="str">
        <x:v>V102</x:v>
      </x:c>
      <x:c r="C106" s="17" t="str">
        <x:v>youtube</x:v>
      </x:c>
      <x:c r="D106" s="17" t="str">
        <x:v>ZBrush</x:v>
      </x:c>
      <x:c r="E106" s="24" t="str">
        <x:v>How to sculpting folds on cloth In ZBrush (Folds alphas). Brushes to make your work easy</x:v>
      </x:c>
      <x:c r="F106" s="24" t="str">
        <x:v>https://www.youtube.com/watch?v=xmABKZM4bVM</x:v>
      </x:c>
      <x:c r="G106" s="24" t="str">
        <x:v>角色-部分</x:v>
      </x:c>
      <x:c r="H106" s="24" t="str">
        <x:v>3ds Max sculpt clothing folds character</x:v>
      </x:c>
      <x:c r="I106" s="24" t="str">
        <x:v>No</x:v>
      </x:c>
      <x:c r="J106" s="24" t="str">
        <x:v>PASS</x:v>
      </x:c>
      <x:c r="K106" s="24" t="str"/>
    </x:row>
    <x:row r="107" ht="36" customHeight="1">
      <x:c r="A107" s="17" t="n">
        <x:v>104</x:v>
      </x:c>
      <x:c r="B107" s="17" t="str">
        <x:v>V103</x:v>
      </x:c>
      <x:c r="C107" s="17" t="str">
        <x:v>youtube</x:v>
      </x:c>
      <x:c r="D107" s="17" t="str">
        <x:v>Nomad Sculpt</x:v>
      </x:c>
      <x:c r="E107" s="24" t="str">
        <x:v>Sculpting a head in Nomad Sculpt using the Loomis Method - Part 2 - Sculpting jaws and mouth</x:v>
      </x:c>
      <x:c r="F107" s="24" t="str">
        <x:v>https://www.youtube.com/watch?v=8wT6BgOdQc4</x:v>
      </x:c>
      <x:c r="G107" s="24" t="str">
        <x:v>头脸</x:v>
      </x:c>
      <x:c r="H107" s="24" t="str">
        <x:v>Nomad Sculpt sculpt character head from sphere</x:v>
      </x:c>
      <x:c r="I107" s="24" t="str">
        <x:v>No</x:v>
      </x:c>
      <x:c r="J107" s="24" t="str">
        <x:v>PASS</x:v>
      </x:c>
      <x:c r="K107" s="24" t="str"/>
    </x:row>
    <x:row r="108" ht="36" customHeight="1">
      <x:c r="A108" s="17" t="n">
        <x:v>105</x:v>
      </x:c>
      <x:c r="B108" s="17" t="str">
        <x:v>V104</x:v>
      </x:c>
      <x:c r="C108" s="17" t="str">
        <x:v>youtube</x:v>
      </x:c>
      <x:c r="D108" s="17" t="str">
        <x:v>Nomad Sculpt</x:v>
      </x:c>
      <x:c r="E108" s="24" t="str">
        <x:v>SCULPTING A HEAD IN NOMAD SCULPT using the Loomis Method - Part 4 - Sculpting the eyes</x:v>
      </x:c>
      <x:c r="F108" s="24" t="str">
        <x:v>https://www.youtube.com/watch?v=rULlNPLy5Xg</x:v>
      </x:c>
      <x:c r="G108" s="24" t="str">
        <x:v>头脸</x:v>
      </x:c>
      <x:c r="H108" s="24" t="str">
        <x:v>Nomad Sculpt sculpt character head from sphere</x:v>
      </x:c>
      <x:c r="I108" s="24" t="str">
        <x:v>No</x:v>
      </x:c>
      <x:c r="J108" s="24" t="str">
        <x:v>PASS</x:v>
      </x:c>
      <x:c r="K108" s="24" t="str"/>
    </x:row>
    <x:row r="109" ht="36" customHeight="1">
      <x:c r="A109" s="17" t="n">
        <x:v>106</x:v>
      </x:c>
      <x:c r="B109" s="17" t="str">
        <x:v>V105</x:v>
      </x:c>
      <x:c r="C109" s="17" t="str">
        <x:v>youtube</x:v>
      </x:c>
      <x:c r="D109" s="17" t="str">
        <x:v>ZBrush</x:v>
      </x:c>
      <x:c r="E109" s="24" t="str">
        <x:v>Hands &amp; Soles: Mastering Foot and Hand Sculpting in ZBrush (Lecture 8) | Hastar Creations</x:v>
      </x:c>
      <x:c r="F109" s="24" t="str">
        <x:v>https://www.youtube.com/watch?v=w1TH5p0e5x8</x:v>
      </x:c>
      <x:c r="G109" s="24" t="str">
        <x:v>角色-部分</x:v>
      </x:c>
      <x:c r="H109" s="24" t="str">
        <x:v>ZBrush sculpt hand foot anatomy</x:v>
      </x:c>
      <x:c r="I109" s="24" t="str">
        <x:v>No</x:v>
      </x:c>
      <x:c r="J109" s="24" t="str">
        <x:v>PASS</x:v>
      </x:c>
      <x:c r="K109" s="24" t="str"/>
    </x:row>
    <x:row r="110" ht="36" customHeight="1">
      <x:c r="A110" s="17" t="n">
        <x:v>107</x:v>
      </x:c>
      <x:c r="B110" s="17" t="str">
        <x:v>V106</x:v>
      </x:c>
      <x:c r="C110" s="17" t="str">
        <x:v>youtube</x:v>
      </x:c>
      <x:c r="D110" s="17" t="str">
        <x:v>ZBrush</x:v>
      </x:c>
      <x:c r="E110" s="24" t="str">
        <x:v>ZBrush Anatomy Series: Foot Sculpting</x:v>
      </x:c>
      <x:c r="F110" s="24" t="str">
        <x:v>https://www.youtube.com/watch?v=m1Tw5mGXiP8</x:v>
      </x:c>
      <x:c r="G110" s="24" t="str">
        <x:v>角色-部分</x:v>
      </x:c>
      <x:c r="H110" s="24" t="str">
        <x:v>ZBrush sculpt hand foot anatomy</x:v>
      </x:c>
      <x:c r="I110" s="24" t="str">
        <x:v>No</x:v>
      </x:c>
      <x:c r="J110" s="24" t="str">
        <x:v>PASS</x:v>
      </x:c>
      <x:c r="K110" s="24" t="str"/>
    </x:row>
    <x:row r="111" ht="36" customHeight="1">
      <x:c r="A111" s="17" t="n">
        <x:v>108</x:v>
      </x:c>
      <x:c r="B111" s="17" t="str">
        <x:v>V107</x:v>
      </x:c>
      <x:c r="C111" s="17" t="str">
        <x:v>youtube</x:v>
      </x:c>
      <x:c r="D111" s="17" t="str">
        <x:v>ZBrush</x:v>
      </x:c>
      <x:c r="E111" s="24" t="str">
        <x:v>Sculpting Rocks in Zbrush for your Environments!</x:v>
      </x:c>
      <x:c r="F111" s="24" t="str">
        <x:v>https://www.youtube.com/watch?v=vyYvRLKAC9E</x:v>
      </x:c>
      <x:c r="G111" s="24" t="str">
        <x:v>道具-自然</x:v>
      </x:c>
      <x:c r="H111" s="24" t="str">
        <x:v>ZBrush model stylized rock sculpt</x:v>
      </x:c>
      <x:c r="I111" s="24" t="str">
        <x:v>No</x:v>
      </x:c>
      <x:c r="J111" s="24" t="str">
        <x:v>PASS</x:v>
      </x:c>
      <x:c r="K111" s="24" t="str"/>
    </x:row>
    <x:row r="112" ht="36" customHeight="1">
      <x:c r="A112" s="17" t="n">
        <x:v>109</x:v>
      </x:c>
      <x:c r="B112" s="17" t="str">
        <x:v>V108</x:v>
      </x:c>
      <x:c r="C112" s="17" t="str">
        <x:v>youtube</x:v>
      </x:c>
      <x:c r="D112" s="17" t="str">
        <x:v>ZBrush</x:v>
      </x:c>
      <x:c r="E112" s="24" t="str">
        <x:v>Bison 3D Modeling Tutorial - Become a creature Modeler</x:v>
      </x:c>
      <x:c r="F112" s="24" t="str">
        <x:v>https://www.youtube.com/watch?v=uEBYQmsy7MA</x:v>
      </x:c>
      <x:c r="G112" s="24" t="str">
        <x:v>生物</x:v>
      </x:c>
      <x:c r="H112" s="24" t="str">
        <x:v>ZBrush sculpt animal head tutorial</x:v>
      </x:c>
      <x:c r="I112" s="24" t="str">
        <x:v>No</x:v>
      </x:c>
      <x:c r="J112" s="24" t="str">
        <x:v>PASS</x:v>
      </x:c>
      <x:c r="K112" s="24" t="str"/>
    </x:row>
    <x:row r="113" ht="36" customHeight="1">
      <x:c r="A113" s="17" t="n">
        <x:v>110</x:v>
      </x:c>
      <x:c r="B113" s="17" t="str">
        <x:v>V109</x:v>
      </x:c>
      <x:c r="C113" s="17" t="str">
        <x:v>youtube</x:v>
      </x:c>
      <x:c r="D113" s="17" t="str">
        <x:v>ZBrush</x:v>
      </x:c>
      <x:c r="E113" s="24" t="str">
        <x:v>Organic Character &amp; Creature Sculpting: Orc Design - Luc Tschopp - ZBrush 2021.6</x:v>
      </x:c>
      <x:c r="F113" s="24" t="str">
        <x:v>https://www.youtube.com/watch?v=xfCfzy7pDw4</x:v>
      </x:c>
      <x:c r="G113" s="24" t="str">
        <x:v>生物</x:v>
      </x:c>
      <x:c r="H113" s="24" t="str">
        <x:v>ZBrush sculpt creature bust workflow</x:v>
      </x:c>
      <x:c r="I113" s="24" t="str">
        <x:v>No</x:v>
      </x:c>
      <x:c r="J113" s="24" t="str">
        <x:v>PASS</x:v>
      </x:c>
      <x:c r="K113" s="24" t="str"/>
    </x:row>
    <x:row r="114" ht="36" customHeight="1">
      <x:c r="A114" s="17" t="n">
        <x:v>111</x:v>
      </x:c>
      <x:c r="B114" s="17" t="str">
        <x:v>V110</x:v>
      </x:c>
      <x:c r="C114" s="17" t="str">
        <x:v>bilibili</x:v>
      </x:c>
      <x:c r="D114" s="17" t="str">
        <x:v>ZBrush</x:v>
      </x:c>
      <x:c r="E114" s="24" t="str">
        <x:v>【zbrush褶皱技巧】一次性解决你90%的衣服制作问题 /zbrush衣服/服装雕刻</x:v>
      </x:c>
      <x:c r="F114" s="24" t="str">
        <x:v>http://www.bilibili.com/video/av1704431804</x:v>
      </x:c>
      <x:c r="G114" s="24" t="str">
        <x:v>角色-部分</x:v>
      </x:c>
      <x:c r="H114" s="24" t="str">
        <x:v>Maya 衣服 褶皱 雕刻</x:v>
      </x:c>
      <x:c r="I114" s="24" t="str">
        <x:v>No</x:v>
      </x:c>
      <x:c r="J114" s="24" t="str">
        <x:v>PASS</x:v>
      </x:c>
      <x:c r="K114" s="24" t="str"/>
    </x:row>
    <x:row r="115" ht="36" customHeight="1">
      <x:c r="A115" s="17" t="n">
        <x:v>112</x:v>
      </x:c>
      <x:c r="B115" s="17" t="str">
        <x:v>V111</x:v>
      </x:c>
      <x:c r="C115" s="17" t="str">
        <x:v>bilibili</x:v>
      </x:c>
      <x:c r="D115" s="17" t="str">
        <x:v>Cinema 4D</x:v>
      </x:c>
      <x:c r="E115" s="24" t="str">
        <x:v>C4D硬表面建模-武器太极剑</x:v>
      </x:c>
      <x:c r="F115" s="24" t="str">
        <x:v>http://www.bilibili.com/video/av237558722</x:v>
      </x:c>
      <x:c r="G115" s="24" t="str">
        <x:v>道具-武器</x:v>
      </x:c>
      <x:c r="H115" s="24" t="str">
        <x:v>C4D 道具 建模 制作</x:v>
      </x:c>
      <x:c r="I115" s="24" t="str">
        <x:v>No</x:v>
      </x:c>
      <x:c r="J115" s="24" t="str">
        <x:v>PASS</x:v>
      </x:c>
      <x:c r="K115" s="24" t="str"/>
    </x:row>
    <x:row r="116" ht="36" customHeight="1">
      <x:c r="A116" s="17" t="n">
        <x:v>113</x:v>
      </x:c>
      <x:c r="B116" s="17" t="str">
        <x:v>V112</x:v>
      </x:c>
      <x:c r="C116" s="17" t="str">
        <x:v>bilibili</x:v>
      </x:c>
      <x:c r="D116" s="17" t="str">
        <x:v>3ds Max</x:v>
      </x:c>
      <x:c r="E116" s="24" t="str">
        <x:v>尝试一种新的布线思路，脸部五官布线技巧，3dmax人物建模教学</x:v>
      </x:c>
      <x:c r="F116" s="24" t="str">
        <x:v>http://www.bilibili.com/video/av477749030</x:v>
      </x:c>
      <x:c r="G116" s="24" t="str">
        <x:v>头脸</x:v>
      </x:c>
      <x:c r="H116" s="24" t="str">
        <x:v>3ds Max 人脸 五官 雕刻 全流程</x:v>
      </x:c>
      <x:c r="I116" s="24" t="str">
        <x:v>No</x:v>
      </x:c>
      <x:c r="J116" s="24" t="str">
        <x:v>PASS</x:v>
      </x:c>
      <x:c r="K116" s="24" t="str"/>
    </x:row>
    <x:row r="117" ht="36" customHeight="1">
      <x:c r="A117" s="17" t="n">
        <x:v>114</x:v>
      </x:c>
      <x:c r="B117" s="17" t="str">
        <x:v>V113</x:v>
      </x:c>
      <x:c r="C117" s="17" t="str">
        <x:v>bilibili</x:v>
      </x:c>
      <x:c r="D117" s="17" t="str">
        <x:v>3ds Max</x:v>
      </x:c>
      <x:c r="E117" s="24" t="str">
        <x:v>【3dmax建模】3dmax头发制作基础演示，次世代面片毛发制作教程</x:v>
      </x:c>
      <x:c r="F117" s="24" t="str">
        <x:v>http://www.bilibili.com/video/av378103332</x:v>
      </x:c>
      <x:c r="G117" s="24" t="str">
        <x:v>角色-部分</x:v>
      </x:c>
      <x:c r="H117" s="24" t="str">
        <x:v>3ds Max 头发 毛发 雕刻 制作</x:v>
      </x:c>
      <x:c r="I117" s="24" t="str">
        <x:v>No</x:v>
      </x:c>
      <x:c r="J117" s="24" t="str">
        <x:v>PASS</x:v>
      </x:c>
      <x:c r="K117" s="24" t="str"/>
    </x:row>
    <x:row r="118" ht="36" customHeight="1">
      <x:c r="A118" s="17" t="n">
        <x:v>115</x:v>
      </x:c>
      <x:c r="B118" s="17" t="str">
        <x:v>V114</x:v>
      </x:c>
      <x:c r="C118" s="17" t="str">
        <x:v>bilibili</x:v>
      </x:c>
      <x:c r="D118" s="17" t="str">
        <x:v>3ds Max</x:v>
      </x:c>
      <x:c r="E118" s="24" t="str">
        <x:v>【3dmax建模】衣服褶皱处不会布线？零基础教你人物模型布线卡线</x:v>
      </x:c>
      <x:c r="F118" s="24" t="str">
        <x:v>http://www.bilibili.com/video/av811563437</x:v>
      </x:c>
      <x:c r="G118" s="24" t="str">
        <x:v>角色-部分</x:v>
      </x:c>
      <x:c r="H118" s="24" t="str">
        <x:v>3ds Max 衣服 褶皱 雕刻</x:v>
      </x:c>
      <x:c r="I118" s="24" t="str">
        <x:v>No</x:v>
      </x:c>
      <x:c r="J118" s="24" t="str">
        <x:v>PASS</x:v>
      </x:c>
      <x:c r="K118" s="24" t="str"/>
    </x:row>
    <x:row r="119" ht="36" customHeight="1">
      <x:c r="A119" s="17" t="n">
        <x:v>116</x:v>
      </x:c>
      <x:c r="B119" s="17" t="str">
        <x:v>V115</x:v>
      </x:c>
      <x:c r="C119" s="17" t="str">
        <x:v>bilibili</x:v>
      </x:c>
      <x:c r="D119" s="17" t="str">
        <x:v>3ds Max</x:v>
      </x:c>
      <x:c r="E119" s="24" t="str">
        <x:v>【3dmax建模】25分钟教会你简单武器“单手剑”模型布线，适合新手入门的道具建模教程！</x:v>
      </x:c>
      <x:c r="F119" s="24" t="str">
        <x:v>http://www.bilibili.com/video/av113825089061367</x:v>
      </x:c>
      <x:c r="G119" s="24" t="str">
        <x:v>道具-武器</x:v>
      </x:c>
      <x:c r="H119" s="24" t="str">
        <x:v>3ds Max 武器 剑 建模 制作</x:v>
      </x:c>
      <x:c r="I119" s="24" t="str">
        <x:v>No</x:v>
      </x:c>
      <x:c r="J119" s="24" t="str">
        <x:v>PASS</x:v>
      </x:c>
      <x:c r="K119" s="24" t="str"/>
    </x:row>
    <x:row r="120" ht="36" customHeight="1">
      <x:c r="A120" s="17" t="n">
        <x:v>117</x:v>
      </x:c>
      <x:c r="B120" s="17" t="str">
        <x:v>V116</x:v>
      </x:c>
      <x:c r="C120" s="17" t="str">
        <x:v>youtube</x:v>
      </x:c>
      <x:c r="D120" s="17" t="str">
        <x:v>ZBrush</x:v>
      </x:c>
      <x:c r="E120" s="24" t="str">
        <x:v>Sculpting rocks 3ds max - zbrush tutorial part -1</x:v>
      </x:c>
      <x:c r="F120" s="24" t="str">
        <x:v>https://www.youtube.com/watch?v=0OoIAIt_50g</x:v>
      </x:c>
      <x:c r="G120" s="24" t="str">
        <x:v>道具-自然</x:v>
      </x:c>
      <x:c r="H120" s="24" t="str">
        <x:v>3ds Max model stylized rock sculpt</x:v>
      </x:c>
      <x:c r="I120" s="24" t="str">
        <x:v>No</x:v>
      </x:c>
      <x:c r="J120" s="24" t="str">
        <x:v>VERIFY</x:v>
      </x:c>
      <x:c r="K120" s="24" t="str">
        <x:v>多软件流程；确认 primary software</x:v>
      </x:c>
    </x:row>
    <x:row r="121" ht="36" customHeight="1">
      <x:c r="A121" s="17" t="n">
        <x:v>118</x:v>
      </x:c>
      <x:c r="B121" s="17" t="str">
        <x:v>V117</x:v>
      </x:c>
      <x:c r="C121" s="17" t="str">
        <x:v>youtube</x:v>
      </x:c>
      <x:c r="D121" s="17" t="str">
        <x:v>Blender</x:v>
      </x:c>
      <x:c r="E121" s="24" t="str">
        <x:v>Scifi deployable MECH head hard surface workflow in Blender</x:v>
      </x:c>
      <x:c r="F121" s="24" t="str">
        <x:v>https://www.youtube.com/watch?v=ateiJ8jhoLw</x:v>
      </x:c>
      <x:c r="G121" s="24" t="str">
        <x:v>头脸</x:v>
      </x:c>
      <x:c r="H121" s="24" t="str">
        <x:v>Blender model helmet hard surface workflow</x:v>
      </x:c>
      <x:c r="I121" s="24" t="str">
        <x:v>No</x:v>
      </x:c>
      <x:c r="J121" s="24" t="str">
        <x:v>PASS</x:v>
      </x:c>
      <x:c r="K121" s="24" t="str"/>
    </x:row>
    <x:row r="122" ht="36" customHeight="1">
      <x:c r="A122" s="17" t="n">
        <x:v>119</x:v>
      </x:c>
      <x:c r="B122" s="17" t="str">
        <x:v>V118</x:v>
      </x:c>
      <x:c r="C122" s="17" t="str">
        <x:v>youtube</x:v>
      </x:c>
      <x:c r="D122" s="17" t="str">
        <x:v>Blender</x:v>
      </x:c>
      <x:c r="E122" s="24" t="str">
        <x:v>Fox boy - Blender character sculpting timelapse</x:v>
      </x:c>
      <x:c r="F122" s="24" t="str">
        <x:v>https://www.youtube.com/watch?v=SS6VhK8q4kk</x:v>
      </x:c>
      <x:c r="G122" s="24" t="str">
        <x:v>生物</x:v>
      </x:c>
      <x:c r="H122" s="24" t="str">
        <x:v>Blender sculpt creature bust workflow</x:v>
      </x:c>
      <x:c r="I122" s="24" t="str">
        <x:v>No</x:v>
      </x:c>
      <x:c r="J122" s="24" t="str">
        <x:v>PASS</x:v>
      </x:c>
      <x:c r="K122" s="24" t="str"/>
    </x:row>
    <x:row r="123" ht="36" customHeight="1">
      <x:c r="A123" s="17" t="n">
        <x:v>120</x:v>
      </x:c>
      <x:c r="B123" s="17" t="str">
        <x:v>V119</x:v>
      </x:c>
      <x:c r="C123" s="17" t="str">
        <x:v>youtube</x:v>
      </x:c>
      <x:c r="D123" s="17" t="str">
        <x:v>Blender</x:v>
      </x:c>
      <x:c r="E123" s="24" t="str">
        <x:v>Ruby Dragon - Blender sculpting timelapse</x:v>
      </x:c>
      <x:c r="F123" s="24" t="str">
        <x:v>https://www.youtube.com/watch?v=WqQcYLPDs20</x:v>
      </x:c>
      <x:c r="G123" s="24" t="str">
        <x:v>生物</x:v>
      </x:c>
      <x:c r="H123" s="24" t="str">
        <x:v>Blender sculpt dragon creature</x:v>
      </x:c>
      <x:c r="I123" s="24" t="str">
        <x:v>No</x:v>
      </x:c>
      <x:c r="J123" s="24" t="str">
        <x:v>PASS</x:v>
      </x:c>
      <x:c r="K123" s="24" t="str"/>
    </x:row>
    <x:row r="124" ht="36" customHeight="1">
      <x:c r="A124" s="17" t="n">
        <x:v>121</x:v>
      </x:c>
      <x:c r="B124" s="17" t="str">
        <x:v>V120</x:v>
      </x:c>
      <x:c r="C124" s="17" t="str">
        <x:v>bilibili</x:v>
      </x:c>
      <x:c r="D124" s="17" t="str">
        <x:v>ZBrush</x:v>
      </x:c>
      <x:c r="E124" s="24" t="str">
        <x:v>【zbrush教程】般若面具全流程雕刻，zbrush初阶练习案例，zbrush新手教程</x:v>
      </x:c>
      <x:c r="F124" s="24" t="str">
        <x:v>http://www.bilibili.com/video/av558267850</x:v>
      </x:c>
      <x:c r="G124" s="24" t="str">
        <x:v>头脸</x:v>
      </x:c>
      <x:c r="H124" s="24" t="str">
        <x:v>ZBrush 面具 头部 建模</x:v>
      </x:c>
      <x:c r="I124" s="24" t="str">
        <x:v>No</x:v>
      </x:c>
      <x:c r="J124" s="24" t="str">
        <x:v>PASS</x:v>
      </x:c>
      <x:c r="K124" s="24" t="str"/>
    </x:row>
    <x:row r="125" ht="36" customHeight="1">
      <x:c r="A125" s="17" t="n">
        <x:v>122</x:v>
      </x:c>
      <x:c r="B125" s="17" t="str">
        <x:v>V121</x:v>
      </x:c>
      <x:c r="C125" s="17" t="str">
        <x:v>bilibili</x:v>
      </x:c>
      <x:c r="D125" s="17" t="str">
        <x:v>Cinema 4D</x:v>
      </x:c>
      <x:c r="E125" s="24" t="str">
        <x:v>【C4D】硬表面布线建模头盔（中文字幕）</x:v>
      </x:c>
      <x:c r="F125" s="24" t="str">
        <x:v>http://www.bilibili.com/video/av114704198405344</x:v>
      </x:c>
      <x:c r="G125" s="24" t="str">
        <x:v>道具-头盔</x:v>
      </x:c>
      <x:c r="H125" s="24" t="str">
        <x:v>C4D 头盔 硬表面 建模</x:v>
      </x:c>
      <x:c r="I125" s="24" t="str">
        <x:v>No</x:v>
      </x:c>
      <x:c r="J125" s="24" t="str">
        <x:v>PASS</x:v>
      </x:c>
      <x:c r="K125" s="24" t="str"/>
    </x:row>
    <x:row r="126" ht="36" customHeight="1">
      <x:c r="A126" s="17" t="n">
        <x:v>123</x:v>
      </x:c>
      <x:c r="B126" s="17" t="str">
        <x:v>V122</x:v>
      </x:c>
      <x:c r="C126" s="17" t="str">
        <x:v>bilibili</x:v>
      </x:c>
      <x:c r="D126" s="17" t="str">
        <x:v>3ds Max</x:v>
      </x:c>
      <x:c r="E126" s="24" t="str">
        <x:v>【3D max】【亚希颂】野猪怪物建模过程演示 3D MAX建模视频分享 怪物角色类低模制作过程演示</x:v>
      </x:c>
      <x:c r="F126" s="24" t="str">
        <x:v>http://www.bilibili.com/video/av51725896</x:v>
      </x:c>
      <x:c r="G126" s="24" t="str">
        <x:v>生物</x:v>
      </x:c>
      <x:c r="H126" s="24" t="str">
        <x:v>3ds Max 怪物 头部 雕刻 过程</x:v>
      </x:c>
      <x:c r="I126" s="24" t="str">
        <x:v>No</x:v>
      </x:c>
      <x:c r="J126" s="24" t="str">
        <x:v>PASS</x:v>
      </x:c>
      <x:c r="K126" s="24" t="str"/>
    </x:row>
    <x:row r="127" ht="36" customHeight="1">
      <x:c r="A127" s="17" t="n">
        <x:v>124</x:v>
      </x:c>
      <x:c r="B127" s="17" t="str">
        <x:v>V123</x:v>
      </x:c>
      <x:c r="C127" s="17" t="str">
        <x:v>bilibili</x:v>
      </x:c>
      <x:c r="D127" s="17" t="str">
        <x:v>3ds Max</x:v>
      </x:c>
      <x:c r="E127" s="24" t="str">
        <x:v>3dmax建模教程，小猫咪模型布线技巧讲解，3dmax生物模型制作</x:v>
      </x:c>
      <x:c r="F127" s="24" t="str">
        <x:v>http://www.bilibili.com/video/av116022803759516</x:v>
      </x:c>
      <x:c r="G127" s="24" t="str">
        <x:v>生物</x:v>
      </x:c>
      <x:c r="H127" s="24" t="str">
        <x:v>3ds Max 生物 角色 雕刻 制作</x:v>
      </x:c>
      <x:c r="I127" s="24" t="str">
        <x:v>No</x:v>
      </x:c>
      <x:c r="J127" s="24" t="str">
        <x:v>PASS</x:v>
      </x:c>
      <x:c r="K127" s="24" t="str"/>
    </x:row>
    <x:row r="128" ht="36" customHeight="1">
      <x:c r="A128" s="17" t="n">
        <x:v>125</x:v>
      </x:c>
      <x:c r="B128" s="17" t="str">
        <x:v>V124</x:v>
      </x:c>
      <x:c r="C128" s="17" t="str">
        <x:v>bilibili</x:v>
      </x:c>
      <x:c r="D128" s="17" t="str">
        <x:v>3ds Max</x:v>
      </x:c>
      <x:c r="E128" s="24" t="str">
        <x:v>【3D max】大象游戏建模演示，动物低模制作过程演示</x:v>
      </x:c>
      <x:c r="F128" s="24" t="str">
        <x:v>http://www.bilibili.com/video/av884320784</x:v>
      </x:c>
      <x:c r="G128" s="24" t="str">
        <x:v>生物</x:v>
      </x:c>
      <x:c r="H128" s="24" t="str">
        <x:v>3ds Max 动物 头部 雕刻 建模</x:v>
      </x:c>
      <x:c r="I128" s="24" t="str">
        <x:v>No</x:v>
      </x:c>
      <x:c r="J128" s="24" t="str">
        <x:v>PASS</x:v>
      </x:c>
      <x:c r="K128" s="24" t="str"/>
    </x:row>
    <x:row r="129" ht="36" customHeight="1">
      <x:c r="A129" s="17" t="n">
        <x:v>126</x:v>
      </x:c>
      <x:c r="B129" s="17" t="str">
        <x:v>V125</x:v>
      </x:c>
      <x:c r="C129" s="17" t="str">
        <x:v>bilibili</x:v>
      </x:c>
      <x:c r="D129" s="17" t="str">
        <x:v>ZBrush</x:v>
      </x:c>
      <x:c r="E129" s="24" t="str">
        <x:v>【3D游戏建模】3dmax武器模型布线，ZB武器细节雕刻讲解</x:v>
      </x:c>
      <x:c r="F129" s="24" t="str">
        <x:v>http://www.bilibili.com/video/av800324977</x:v>
      </x:c>
      <x:c r="G129" s="24" t="str">
        <x:v>道具-武器</x:v>
      </x:c>
      <x:c r="H129" s="24" t="str">
        <x:v>3ds Max 武器 剑 建模 制作</x:v>
      </x:c>
      <x:c r="I129" s="24" t="str">
        <x:v>No</x:v>
      </x:c>
      <x:c r="J129" s="24" t="str">
        <x:v>VERIFY</x:v>
      </x:c>
      <x:c r="K129" s="24" t="str">
        <x:v>多软件流程；确认 primary software</x:v>
      </x:c>
    </x:row>
    <x:row r="130" ht="36" customHeight="1">
      <x:c r="A130" s="17" t="n">
        <x:v>127</x:v>
      </x:c>
      <x:c r="B130" s="17" t="str">
        <x:v>V126</x:v>
      </x:c>
      <x:c r="C130" s="17" t="str">
        <x:v>bilibili</x:v>
      </x:c>
      <x:c r="D130" s="17" t="str">
        <x:v>3ds Max</x:v>
      </x:c>
      <x:c r="E130" s="24" t="str">
        <x:v>3DMAX石头建模-大佬教你轻松上手布线技巧！逼真石头模型效果-什么形状的石头都可以制作</x:v>
      </x:c>
      <x:c r="F130" s="24" t="str">
        <x:v>http://www.bilibili.com/video/av812499033</x:v>
      </x:c>
      <x:c r="G130" s="24" t="str">
        <x:v>道具-自然</x:v>
      </x:c>
      <x:c r="H130" s="24" t="str">
        <x:v>3ds Max 石头 岩石 雕刻 建模</x:v>
      </x:c>
      <x:c r="I130" s="24" t="str">
        <x:v>No</x:v>
      </x:c>
      <x:c r="J130" s="24" t="str">
        <x:v>PASS</x:v>
      </x:c>
      <x:c r="K130" s="24" t="str"/>
    </x:row>
    <x:row r="131" ht="36" customHeight="1">
      <x:c r="A131" s="17" t="n">
        <x:v>128</x:v>
      </x:c>
      <x:c r="B131" s="17" t="str">
        <x:v>V127</x:v>
      </x:c>
      <x:c r="C131" s="17" t="str">
        <x:v>bilibili</x:v>
      </x:c>
      <x:c r="D131" s="17" t="str">
        <x:v>Blender</x:v>
      </x:c>
      <x:c r="E131" s="24" t="str">
        <x:v>Blender Bros - 用Blender制作科幻头盔【硬表面建模教程】Design a SciFi Helmet</x:v>
      </x:c>
      <x:c r="F131" s="24" t="str">
        <x:v>http://www.bilibili.com/video/av116409099099508</x:v>
      </x:c>
      <x:c r="G131" s="24" t="str">
        <x:v>道具-头盔</x:v>
      </x:c>
      <x:c r="H131" s="24" t="str">
        <x:v>Blender 头盔 硬表面 建模</x:v>
      </x:c>
      <x:c r="I131" s="24" t="str">
        <x:v>No</x:v>
      </x:c>
      <x:c r="J131" s="24" t="str">
        <x:v>PASS</x:v>
      </x:c>
      <x:c r="K131" s="24" t="str"/>
    </x:row>
    <x:row r="132" ht="36" customHeight="1">
      <x:c r="A132" s="17" t="n">
        <x:v>129</x:v>
      </x:c>
      <x:c r="B132" s="17" t="str">
        <x:v>V128</x:v>
      </x:c>
      <x:c r="C132" s="17" t="str">
        <x:v>bilibili</x:v>
      </x:c>
      <x:c r="D132" s="17" t="str">
        <x:v>ZBrush</x:v>
      </x:c>
      <x:c r="E132" s="24" t="str">
        <x:v>【ZBrush教程】60分钟学会人头五官雕刻！从零开始到完整全流程，新手必学案例！</x:v>
      </x:c>
      <x:c r="F132" s="24" t="str">
        <x:v>http://www.bilibili.com/video/av534254588</x:v>
      </x:c>
      <x:c r="G132" s="24" t="str">
        <x:v>头脸</x:v>
      </x:c>
      <x:c r="H132" s="24" t="str">
        <x:v>ZBrush 角色 头部 雕刻 制作</x:v>
      </x:c>
      <x:c r="I132" s="24" t="str">
        <x:v>No</x:v>
      </x:c>
      <x:c r="J132" s="24" t="str">
        <x:v>PASS</x:v>
      </x:c>
      <x:c r="K132" s="24" t="str"/>
    </x:row>
    <x:row r="133" ht="36" customHeight="1">
      <x:c r="A133" s="17" t="n">
        <x:v>130</x:v>
      </x:c>
      <x:c r="B133" s="17" t="str">
        <x:v>V129</x:v>
      </x:c>
      <x:c r="C133" s="17" t="str">
        <x:v>bilibili</x:v>
      </x:c>
      <x:c r="D133" s="17" t="str">
        <x:v>ZBrush</x:v>
      </x:c>
      <x:c r="E133" s="24" t="str">
        <x:v>【zbrush人物建模】从球开始人头五官雕刻详细教学</x:v>
      </x:c>
      <x:c r="F133" s="24" t="str">
        <x:v>http://www.bilibili.com/video/av1956452137</x:v>
      </x:c>
      <x:c r="G133" s="24" t="str">
        <x:v>头脸</x:v>
      </x:c>
      <x:c r="H133" s="24" t="str">
        <x:v>ZBrush 从球 开始 制作 头部</x:v>
      </x:c>
      <x:c r="I133" s="24" t="str">
        <x:v>No</x:v>
      </x:c>
      <x:c r="J133" s="24" t="str">
        <x:v>PASS</x:v>
      </x:c>
      <x:c r="K133" s="24" t="str"/>
    </x:row>
    <x:row r="134" ht="36" customHeight="1">
      <x:c r="A134" s="17" t="n">
        <x:v>131</x:v>
      </x:c>
      <x:c r="B134" s="17" t="str">
        <x:v>V130</x:v>
      </x:c>
      <x:c r="C134" s="17" t="str">
        <x:v>bilibili</x:v>
      </x:c>
      <x:c r="D134" s="17" t="str">
        <x:v>ZBrush</x:v>
      </x:c>
      <x:c r="E134" s="24" t="str">
        <x:v>【zbrush角色建模】一颗圆球变身幻兽帕鲁！ZBrush生物雕刻全过程</x:v>
      </x:c>
      <x:c r="F134" s="24" t="str">
        <x:v>http://www.bilibili.com/video/av116697130339765</x:v>
      </x:c>
      <x:c r="G134" s="24" t="str">
        <x:v>生物</x:v>
      </x:c>
      <x:c r="H134" s="24" t="str">
        <x:v>ZBrush 生物 角色 雕刻 制作</x:v>
      </x:c>
      <x:c r="I134" s="24" t="str">
        <x:v>No</x:v>
      </x:c>
      <x:c r="J134" s="24" t="str">
        <x:v>PASS</x:v>
      </x:c>
      <x:c r="K134" s="24" t="str"/>
    </x:row>
    <x:row r="135" ht="36" customHeight="1">
      <x:c r="A135" s="17" t="n">
        <x:v>132</x:v>
      </x:c>
      <x:c r="B135" s="17" t="str">
        <x:v>V131</x:v>
      </x:c>
      <x:c r="C135" s="17" t="str">
        <x:v>bilibili</x:v>
      </x:c>
      <x:c r="D135" s="17" t="str">
        <x:v>ZBrush</x:v>
      </x:c>
      <x:c r="E135" s="24" t="str">
        <x:v>3A级生物角色制作全流程录屏</x:v>
      </x:c>
      <x:c r="F135" s="24" t="str">
        <x:v>http://www.bilibili.com/video/av115599397097613</x:v>
      </x:c>
      <x:c r="G135" s="24" t="str">
        <x:v>生物</x:v>
      </x:c>
      <x:c r="H135" s="24" t="str">
        <x:v>ZBrush 生物 角色 雕刻 制作</x:v>
      </x:c>
      <x:c r="I135" s="24" t="str">
        <x:v>No</x:v>
      </x:c>
      <x:c r="J135" s="24" t="str">
        <x:v>PASS</x:v>
      </x:c>
      <x:c r="K135" s="24" t="str"/>
    </x:row>
    <x:row r="136" ht="36" customHeight="1">
      <x:c r="A136" s="17" t="n">
        <x:v>133</x:v>
      </x:c>
      <x:c r="B136" s="17" t="str">
        <x:v>V132</x:v>
      </x:c>
      <x:c r="C136" s="17" t="str">
        <x:v>youtube</x:v>
      </x:c>
      <x:c r="D136" s="17" t="str">
        <x:v>ZBrush</x:v>
      </x:c>
      <x:c r="E136" s="24" t="str">
        <x:v>Hard Surface Sculpting Techniques Using zBrush &amp; Cinema 4D</x:v>
      </x:c>
      <x:c r="F136" s="24" t="str">
        <x:v>https://www.youtube.com/watch?v=2vglUeLjrlg</x:v>
      </x:c>
      <x:c r="G136" s="24" t="str">
        <x:v>头脸</x:v>
      </x:c>
      <x:c r="H136" s="24" t="str">
        <x:v>Cinema 4D model helmet hard surface workflow</x:v>
      </x:c>
      <x:c r="I136" s="24" t="str">
        <x:v>No</x:v>
      </x:c>
      <x:c r="J136" s="24" t="str">
        <x:v>PASS</x:v>
      </x:c>
      <x:c r="K136" s="24" t="str"/>
    </x:row>
    <x:row r="137" ht="36" customHeight="1">
      <x:c r="A137" s="17" t="n">
        <x:v>134</x:v>
      </x:c>
      <x:c r="B137" s="17" t="str">
        <x:v>V133</x:v>
      </x:c>
      <x:c r="C137" s="17" t="str">
        <x:v>youtube</x:v>
      </x:c>
      <x:c r="D137" s="17" t="str">
        <x:v>ZBrush</x:v>
      </x:c>
      <x:c r="E137" s="24" t="str">
        <x:v>I merged two faces into one and created a monstrous artwork -Zbrush &amp; Cinema4D 3D modeling timelapse</x:v>
      </x:c>
      <x:c r="F137" s="24" t="str">
        <x:v>https://www.youtube.com/watch?v=b7Y4x8Vs7X0</x:v>
      </x:c>
      <x:c r="G137" s="24" t="str">
        <x:v>头脸</x:v>
      </x:c>
      <x:c r="H137" s="24" t="str">
        <x:v>Cinema 4D sculpt monster head timelapse</x:v>
      </x:c>
      <x:c r="I137" s="24" t="str">
        <x:v>No</x:v>
      </x:c>
      <x:c r="J137" s="24" t="str">
        <x:v>PASS</x:v>
      </x:c>
      <x:c r="K137" s="24" t="str"/>
    </x:row>
    <x:row r="138" ht="36" customHeight="1">
      <x:c r="A138" s="17" t="n">
        <x:v>135</x:v>
      </x:c>
      <x:c r="B138" s="17" t="str">
        <x:v>V134</x:v>
      </x:c>
      <x:c r="C138" s="17" t="str">
        <x:v>youtube</x:v>
      </x:c>
      <x:c r="D138" s="17" t="str">
        <x:v>Cinema 4D</x:v>
      </x:c>
      <x:c r="E138" s="24" t="str">
        <x:v>Timelapse-Modeling a bull-like head- Montage Studio</x:v>
      </x:c>
      <x:c r="F138" s="24" t="str">
        <x:v>https://www.youtube.com/watch?v=QlEpwn8PFW0</x:v>
      </x:c>
      <x:c r="G138" s="24" t="str">
        <x:v>头脸</x:v>
      </x:c>
      <x:c r="H138" s="24" t="str">
        <x:v>Cinema 4D sculpt monster head timelapse</x:v>
      </x:c>
      <x:c r="I138" s="24" t="str">
        <x:v>No</x:v>
      </x:c>
      <x:c r="J138" s="24" t="str">
        <x:v>PASS</x:v>
      </x:c>
      <x:c r="K138" s="24" t="str"/>
    </x:row>
    <x:row r="139" ht="36" customHeight="1">
      <x:c r="A139" s="17" t="n">
        <x:v>136</x:v>
      </x:c>
      <x:c r="B139" s="17" t="str">
        <x:v>V135</x:v>
      </x:c>
      <x:c r="C139" s="17" t="str">
        <x:v>youtube</x:v>
      </x:c>
      <x:c r="D139" s="17" t="str">
        <x:v>Cinema 4D</x:v>
      </x:c>
      <x:c r="E139" s="24" t="str">
        <x:v>Cinema 4D Hard Surface Retapology/Modeling Tutorial</x:v>
      </x:c>
      <x:c r="F139" s="24" t="str">
        <x:v>https://www.youtube.com/watch?v=k-mPdGbW8c0</x:v>
      </x:c>
      <x:c r="G139" s="24" t="str">
        <x:v>头脸</x:v>
      </x:c>
      <x:c r="H139" s="24" t="str">
        <x:v>Cinema 4D model helmet hard surface workflow</x:v>
      </x:c>
      <x:c r="I139" s="24" t="str">
        <x:v>No</x:v>
      </x:c>
      <x:c r="J139" s="24" t="str">
        <x:v>PASS</x:v>
      </x:c>
      <x:c r="K139" s="24" t="str"/>
    </x:row>
    <x:row r="140" ht="36" customHeight="1">
      <x:c r="A140" s="17" t="n">
        <x:v>137</x:v>
      </x:c>
      <x:c r="B140" s="17" t="str">
        <x:v>V136</x:v>
      </x:c>
      <x:c r="C140" s="17" t="str">
        <x:v>youtube</x:v>
      </x:c>
      <x:c r="D140" s="17" t="str">
        <x:v>Nomad Sculpt</x:v>
      </x:c>
      <x:c r="E140" s="24" t="str">
        <x:v>3D Sculpting Timelapse: Cloud Sheep Dragon (Soft/Plush Toony) | Nomad Sculpt</x:v>
      </x:c>
      <x:c r="F140" s="24" t="str">
        <x:v>https://www.youtube.com/watch?v=QtitnN4ntlc</x:v>
      </x:c>
      <x:c r="G140" s="24" t="str">
        <x:v>生物</x:v>
      </x:c>
      <x:c r="H140" s="24" t="str">
        <x:v>Nomad Sculpt sculpt dragon creature</x:v>
      </x:c>
      <x:c r="I140" s="24" t="str">
        <x:v>No</x:v>
      </x:c>
      <x:c r="J140" s="24" t="str">
        <x:v>PASS</x:v>
      </x:c>
      <x:c r="K140" s="24" t="str"/>
    </x:row>
    <x:row r="141" ht="36" customHeight="1">
      <x:c r="A141" s="17" t="n">
        <x:v>138</x:v>
      </x:c>
      <x:c r="B141" s="17" t="str">
        <x:v>V137</x:v>
      </x:c>
      <x:c r="C141" s="17" t="str">
        <x:v>youtube</x:v>
      </x:c>
      <x:c r="D141" s="17" t="str">
        <x:v>Cinema 4D</x:v>
      </x:c>
      <x:c r="E141" s="24" t="str">
        <x:v>Modeling Game Props in Mid Poly Workflow | 01 | Cinema 4D</x:v>
      </x:c>
      <x:c r="F141" s="24" t="str">
        <x:v>https://www.youtube.com/watch?v=gTV6vJZRVX4</x:v>
      </x:c>
      <x:c r="G141" s="24" t="str">
        <x:v>PROP_OBJECT</x:v>
      </x:c>
      <x:c r="H141" s="24" t="str">
        <x:v>Cinema 4D model sci fi prop workflow</x:v>
      </x:c>
      <x:c r="I141" s="24" t="str">
        <x:v>Yes</x:v>
      </x:c>
      <x:c r="J141" s="24" t="str">
        <x:v>NORMALIZE</x:v>
      </x:c>
      <x:c r="K141" s="24" t="str">
        <x:v>建议统一为 道具-其他</x:v>
      </x:c>
    </x:row>
    <x:row r="142" ht="36" customHeight="1">
      <x:c r="A142" s="17" t="n">
        <x:v>139</x:v>
      </x:c>
      <x:c r="B142" s="17" t="str">
        <x:v>V138</x:v>
      </x:c>
      <x:c r="C142" s="17" t="str">
        <x:v>youtube</x:v>
      </x:c>
      <x:c r="D142" s="17" t="str">
        <x:v>Cinema 4D</x:v>
      </x:c>
      <x:c r="E142" s="24" t="str">
        <x:v>Dragon Modeling and Sculpt Cinema 4D</x:v>
      </x:c>
      <x:c r="F142" s="24" t="str">
        <x:v>https://www.youtube.com/watch?v=eyHAu7bz8Ps</x:v>
      </x:c>
      <x:c r="G142" s="24" t="str">
        <x:v>生物</x:v>
      </x:c>
      <x:c r="H142" s="24" t="str">
        <x:v>Cinema 4D sculpt dragon creature</x:v>
      </x:c>
      <x:c r="I142" s="24" t="str">
        <x:v>No</x:v>
      </x:c>
      <x:c r="J142" s="24" t="str">
        <x:v>PASS</x:v>
      </x:c>
      <x:c r="K142" s="24" t="str"/>
    </x:row>
    <x:row r="143" ht="36" customHeight="1">
      <x:c r="A143" s="17" t="n">
        <x:v>140</x:v>
      </x:c>
      <x:c r="B143" s="17" t="str">
        <x:v>V139</x:v>
      </x:c>
      <x:c r="C143" s="17" t="str">
        <x:v>youtube</x:v>
      </x:c>
      <x:c r="D143" s="17" t="str">
        <x:v>Nomad Sculpt</x:v>
      </x:c>
      <x:c r="E143" s="24" t="str">
        <x:v>Nomad Sculpt Modeling Foot 2</x:v>
      </x:c>
      <x:c r="F143" s="24" t="str">
        <x:v>https://www.youtube.com/watch?v=hB2izwaNEIQ</x:v>
      </x:c>
      <x:c r="G143" s="24" t="str">
        <x:v>角色-部分</x:v>
      </x:c>
      <x:c r="H143" s="24" t="str">
        <x:v>Nomad Sculpt sculpt hand foot anatomy</x:v>
      </x:c>
      <x:c r="I143" s="24" t="str">
        <x:v>No</x:v>
      </x:c>
      <x:c r="J143" s="24" t="str">
        <x:v>PASS</x:v>
      </x:c>
      <x:c r="K143" s="24" t="str"/>
    </x:row>
    <x:row r="144" ht="36" customHeight="1">
      <x:c r="A144" s="17" t="n">
        <x:v>141</x:v>
      </x:c>
      <x:c r="B144" s="17" t="str">
        <x:v>V140</x:v>
      </x:c>
      <x:c r="C144" s="17" t="str">
        <x:v>youtube</x:v>
      </x:c>
      <x:c r="D144" s="17" t="str">
        <x:v>Blender</x:v>
      </x:c>
      <x:c r="E144" s="24" t="str">
        <x:v>Female head from Male head from sphere - Blender sculpting session</x:v>
      </x:c>
      <x:c r="F144" s="24" t="str">
        <x:v>https://www.youtube.com/watch?v=aDxlFuwPf90</x:v>
      </x:c>
      <x:c r="G144" s="24" t="str">
        <x:v>头脸</x:v>
      </x:c>
      <x:c r="H144" s="24" t="str">
        <x:v>Blender sculpt character head from sphere</x:v>
      </x:c>
      <x:c r="I144" s="24" t="str">
        <x:v>No</x:v>
      </x:c>
      <x:c r="J144" s="24" t="str">
        <x:v>PASS</x:v>
      </x:c>
      <x:c r="K144" s="24" t="str"/>
    </x:row>
    <x:row r="145" ht="36" customHeight="1">
      <x:c r="A145" s="17" t="n">
        <x:v>142</x:v>
      </x:c>
      <x:c r="B145" s="17" t="str">
        <x:v>V141</x:v>
      </x:c>
      <x:c r="C145" s="17" t="str">
        <x:v>youtube</x:v>
      </x:c>
      <x:c r="D145" s="17" t="str">
        <x:v>Blender</x:v>
      </x:c>
      <x:c r="E145" s="24" t="str">
        <x:v>Blender 2.8 Sculpting Timelapse - Character Bust</x:v>
      </x:c>
      <x:c r="F145" s="24" t="str">
        <x:v>https://www.youtube.com/watch?v=Yl17ChHl3dE</x:v>
      </x:c>
      <x:c r="G145" s="24" t="str">
        <x:v>头脸</x:v>
      </x:c>
      <x:c r="H145" s="24" t="str">
        <x:v>Blender sculpt creature bust workflow</x:v>
      </x:c>
      <x:c r="I145" s="24" t="str">
        <x:v>No</x:v>
      </x:c>
      <x:c r="J145" s="24" t="str">
        <x:v>PASS</x:v>
      </x:c>
      <x:c r="K145" s="24" t="str"/>
    </x:row>
    <x:row r="146" ht="36" customHeight="1">
      <x:c r="A146" s="17" t="n">
        <x:v>143</x:v>
      </x:c>
      <x:c r="B146" s="17" t="str">
        <x:v>V142</x:v>
      </x:c>
      <x:c r="C146" s="17" t="str">
        <x:v>youtube</x:v>
      </x:c>
      <x:c r="D146" s="17" t="str">
        <x:v>Blender</x:v>
      </x:c>
      <x:c r="E146" s="24" t="str">
        <x:v>How to Sculpt HardSurface | Full Workflow</x:v>
      </x:c>
      <x:c r="F146" s="24" t="str">
        <x:v>https://www.youtube.com/watch?v=cuwn9IpDI0M</x:v>
      </x:c>
      <x:c r="G146" s="24" t="str">
        <x:v>头脸</x:v>
      </x:c>
      <x:c r="H146" s="24" t="str">
        <x:v>Blender model helmet hard surface workflow</x:v>
      </x:c>
      <x:c r="I146" s="24" t="str">
        <x:v>No</x:v>
      </x:c>
      <x:c r="J146" s="24" t="str">
        <x:v>PASS</x:v>
      </x:c>
      <x:c r="K146" s="24" t="str"/>
    </x:row>
    <x:row r="147" ht="36" customHeight="1">
      <x:c r="A147" s="17" t="n">
        <x:v>144</x:v>
      </x:c>
      <x:c r="B147" s="17" t="str">
        <x:v>V143</x:v>
      </x:c>
      <x:c r="C147" s="17" t="str">
        <x:v>youtube</x:v>
      </x:c>
      <x:c r="D147" s="17" t="str">
        <x:v>Blender</x:v>
      </x:c>
      <x:c r="E147" s="24" t="str">
        <x:v>How to make a Skull in Blender - Advanced Workflow Tutorial [Sculpting, Retopo, Texturing, Baking]</x:v>
      </x:c>
      <x:c r="F147" s="24" t="str">
        <x:v>https://www.youtube.com/watch?v=R_DQgScTpuA</x:v>
      </x:c>
      <x:c r="G147" s="24" t="str">
        <x:v>头脸</x:v>
      </x:c>
      <x:c r="H147" s="24" t="str">
        <x:v>Blender model skull sculpt</x:v>
      </x:c>
      <x:c r="I147" s="24" t="str">
        <x:v>No</x:v>
      </x:c>
      <x:c r="J147" s="24" t="str">
        <x:v>PASS</x:v>
      </x:c>
      <x:c r="K147" s="24" t="str"/>
    </x:row>
    <x:row r="148" ht="36" customHeight="1">
      <x:c r="A148" s="17" t="n">
        <x:v>145</x:v>
      </x:c>
      <x:c r="B148" s="17" t="str">
        <x:v>V144</x:v>
      </x:c>
      <x:c r="C148" s="17" t="str">
        <x:v>youtube</x:v>
      </x:c>
      <x:c r="D148" s="17" t="str">
        <x:v>Blender</x:v>
      </x:c>
      <x:c r="E148" s="24" t="str">
        <x:v>Blender Sculpting Timelapse - Foot</x:v>
      </x:c>
      <x:c r="F148" s="24" t="str">
        <x:v>https://www.youtube.com/watch?v=Z59v0WuzJtg</x:v>
      </x:c>
      <x:c r="G148" s="24" t="str">
        <x:v>角色-部分</x:v>
      </x:c>
      <x:c r="H148" s="24" t="str">
        <x:v>Blender sculpt hand foot anatomy</x:v>
      </x:c>
      <x:c r="I148" s="24" t="str">
        <x:v>No</x:v>
      </x:c>
      <x:c r="J148" s="24" t="str">
        <x:v>PASS</x:v>
      </x:c>
      <x:c r="K148" s="24" t="str"/>
    </x:row>
    <x:row r="149" ht="36" customHeight="1">
      <x:c r="A149" s="17" t="n">
        <x:v>146</x:v>
      </x:c>
      <x:c r="B149" s="17" t="str">
        <x:v>V145</x:v>
      </x:c>
      <x:c r="C149" s="17" t="str">
        <x:v>youtube</x:v>
      </x:c>
      <x:c r="D149" s="17" t="str">
        <x:v>Nomad Sculpt</x:v>
      </x:c>
      <x:c r="E149" s="24" t="str">
        <x:v>Sculpting a Cute Black Cat in Nomad Sculpt  Full Process</x:v>
      </x:c>
      <x:c r="F149" s="24" t="str">
        <x:v>https://www.youtube.com/watch?v=6MSfT_6qP-M</x:v>
      </x:c>
      <x:c r="G149" s="24" t="str">
        <x:v>生物</x:v>
      </x:c>
      <x:c r="H149" s="24" t="str">
        <x:v>Nomad Sculpt sculpt animal head tutorial</x:v>
      </x:c>
      <x:c r="I149" s="24" t="str">
        <x:v>No</x:v>
      </x:c>
      <x:c r="J149" s="24" t="str">
        <x:v>PASS</x:v>
      </x:c>
      <x:c r="K149" s="24" t="str"/>
    </x:row>
    <x:row r="150" ht="36" customHeight="1">
      <x:c r="A150" s="17" t="n">
        <x:v>147</x:v>
      </x:c>
      <x:c r="B150" s="17" t="str">
        <x:v>V146</x:v>
      </x:c>
      <x:c r="C150" s="17" t="str">
        <x:v>youtube</x:v>
      </x:c>
      <x:c r="D150" s="17" t="str">
        <x:v>Blender</x:v>
      </x:c>
      <x:c r="E150" s="24" t="str">
        <x:v>Use This Easy Method For Sculpting Clothes In Blender !</x:v>
      </x:c>
      <x:c r="F150" s="24" t="str">
        <x:v>https://www.youtube.com/watch?v=0gLJlr_r3TE</x:v>
      </x:c>
      <x:c r="G150" s="24" t="str">
        <x:v>角色-部分</x:v>
      </x:c>
      <x:c r="H150" s="24" t="str">
        <x:v>Blender sculpt clothing folds character</x:v>
      </x:c>
      <x:c r="I150" s="24" t="str">
        <x:v>No</x:v>
      </x:c>
      <x:c r="J150" s="24" t="str">
        <x:v>PASS</x:v>
      </x:c>
      <x:c r="K150" s="24" t="str"/>
    </x:row>
    <x:row r="151" ht="36" customHeight="1">
      <x:c r="A151" s="17" t="n">
        <x:v>148</x:v>
      </x:c>
      <x:c r="B151" s="17" t="str">
        <x:v>V147</x:v>
      </x:c>
      <x:c r="C151" s="17" t="str">
        <x:v>youtube</x:v>
      </x:c>
      <x:c r="D151" s="17" t="str">
        <x:v>Blender</x:v>
      </x:c>
      <x:c r="E151" s="24" t="str">
        <x:v>How To Make Your Clothing Sculpt Pop! - Sculpt Walkthrough</x:v>
      </x:c>
      <x:c r="F151" s="24" t="str">
        <x:v>https://www.youtube.com/watch?v=dCL5TcLTpKA</x:v>
      </x:c>
      <x:c r="G151" s="24" t="str">
        <x:v>角色-部分</x:v>
      </x:c>
      <x:c r="H151" s="24" t="str">
        <x:v>Blender sculpt clothing folds character</x:v>
      </x:c>
      <x:c r="I151" s="24" t="str">
        <x:v>No</x:v>
      </x:c>
      <x:c r="J151" s="24" t="str">
        <x:v>PASS</x:v>
      </x:c>
      <x:c r="K151" s="24" t="str"/>
    </x:row>
    <x:row r="152" ht="36" customHeight="1">
      <x:c r="A152" s="17" t="n">
        <x:v>149</x:v>
      </x:c>
      <x:c r="B152" s="17" t="str">
        <x:v>V148</x:v>
      </x:c>
      <x:c r="C152" s="17" t="str">
        <x:v>youtube</x:v>
      </x:c>
      <x:c r="D152" s="17" t="str">
        <x:v>Blender</x:v>
      </x:c>
      <x:c r="E152" s="24" t="str">
        <x:v>Animal Showcase: Introducing Our Lifelike Black Cattle Designed in Blender! #blender #3dmodels</x:v>
      </x:c>
      <x:c r="F152" s="24" t="str">
        <x:v>https://www.youtube.com/watch?v=mN3VNJu8TpY</x:v>
      </x:c>
      <x:c r="G152" s="24" t="str">
        <x:v>生物</x:v>
      </x:c>
      <x:c r="H152" s="24" t="str">
        <x:v>Blender model creature character workflow</x:v>
      </x:c>
      <x:c r="I152" s="24" t="str">
        <x:v>No</x:v>
      </x:c>
      <x:c r="J152" s="24" t="str">
        <x:v>PASS</x:v>
      </x:c>
      <x:c r="K152" s="24" t="str"/>
    </x:row>
    <x:row r="153" ht="36" customHeight="1">
      <x:c r="A153" s="17" t="n">
        <x:v>150</x:v>
      </x:c>
      <x:c r="B153" s="17" t="str">
        <x:v>V149</x:v>
      </x:c>
      <x:c r="C153" s="17" t="str">
        <x:v>youtube</x:v>
      </x:c>
      <x:c r="D153" s="17" t="str">
        <x:v>Nomad Sculpt</x:v>
      </x:c>
      <x:c r="E153" s="24" t="str">
        <x:v>Nomad Sculpt: clothing tutorial</x:v>
      </x:c>
      <x:c r="F153" s="24" t="str">
        <x:v>https://www.youtube.com/watch?v=24ceuJCGvks</x:v>
      </x:c>
      <x:c r="G153" s="24" t="str">
        <x:v>角色-部分</x:v>
      </x:c>
      <x:c r="H153" s="24" t="str">
        <x:v>Nomad Sculpt sculpt clothing folds character</x:v>
      </x:c>
      <x:c r="I153" s="24" t="str">
        <x:v>No</x:v>
      </x:c>
      <x:c r="J153" s="24" t="str">
        <x:v>PASS</x:v>
      </x:c>
      <x:c r="K153" s="24" t="str"/>
    </x:row>
    <x:row r="154" ht="36" customHeight="1">
      <x:c r="A154" s="17" t="n">
        <x:v>151</x:v>
      </x:c>
      <x:c r="B154" s="17" t="str">
        <x:v>V150</x:v>
      </x:c>
      <x:c r="C154" s="17" t="str">
        <x:v>youtube</x:v>
      </x:c>
      <x:c r="D154" s="17" t="str">
        <x:v>Nomad Sculpt</x:v>
      </x:c>
      <x:c r="E154" s="24" t="str">
        <x:v>Creature design - Sketch to Nomad Sculpt - Creating the Orcarno</x:v>
      </x:c>
      <x:c r="F154" s="24" t="str">
        <x:v>https://www.youtube.com/watch?v=w0vLpTMkVkI</x:v>
      </x:c>
      <x:c r="G154" s="24" t="str">
        <x:v>生物</x:v>
      </x:c>
      <x:c r="H154" s="24" t="str">
        <x:v>Nomad Sculpt model creature character workflow</x:v>
      </x:c>
      <x:c r="I154" s="24" t="str">
        <x:v>No</x:v>
      </x:c>
      <x:c r="J154" s="24" t="str">
        <x:v>PASS</x:v>
      </x:c>
      <x:c r="K154" s="24" t="str"/>
    </x:row>
    <x:row r="155" ht="36" customHeight="1">
      <x:c r="A155" s="17" t="n">
        <x:v>152</x:v>
      </x:c>
      <x:c r="B155" s="17" t="str">
        <x:v>V151</x:v>
      </x:c>
      <x:c r="C155" s="17" t="str">
        <x:v>youtube</x:v>
      </x:c>
      <x:c r="D155" s="17" t="str">
        <x:v>Nomad Sculpt</x:v>
      </x:c>
      <x:c r="E155" s="24" t="str">
        <x:v>Sculptober Day - 19 "Dragon"#art #artwork #creature #fantasy #nomadsculpt #Dragon</x:v>
      </x:c>
      <x:c r="F155" s="24" t="str">
        <x:v>https://www.youtube.com/watch?v=kZ1uxjZq8zA</x:v>
      </x:c>
      <x:c r="G155" s="24" t="str">
        <x:v>生物</x:v>
      </x:c>
      <x:c r="H155" s="24" t="str">
        <x:v>Nomad Sculpt sculpt dragon creature</x:v>
      </x:c>
      <x:c r="I155" s="24" t="str">
        <x:v>No</x:v>
      </x:c>
      <x:c r="J155" s="24" t="str">
        <x:v>PASS</x:v>
      </x:c>
      <x:c r="K155" s="24" t="str"/>
    </x:row>
    <x:row r="156" ht="36" customHeight="1">
      <x:c r="A156" s="17" t="n">
        <x:v>153</x:v>
      </x:c>
      <x:c r="B156" s="17" t="str">
        <x:v>V152</x:v>
      </x:c>
      <x:c r="C156" s="17" t="str">
        <x:v>youtube</x:v>
      </x:c>
      <x:c r="D156" s="17" t="str">
        <x:v>Nomad Sculpt</x:v>
      </x:c>
      <x:c r="E156" s="24" t="str">
        <x:v>Nomad Sword Sculpting Part 1 make a Grip for sword</x:v>
      </x:c>
      <x:c r="F156" s="24" t="str">
        <x:v>https://www.youtube.com/watch?v=EraY-tIphtQ</x:v>
      </x:c>
      <x:c r="G156" s="24" t="str">
        <x:v>道具-武器</x:v>
      </x:c>
      <x:c r="H156" s="24" t="str">
        <x:v>Nomad Sculpt model stylized sword prop</x:v>
      </x:c>
      <x:c r="I156" s="24" t="str">
        <x:v>No</x:v>
      </x:c>
      <x:c r="J156" s="24" t="str">
        <x:v>PASS</x:v>
      </x:c>
      <x:c r="K156" s="24" t="str"/>
    </x:row>
    <x:row r="157" ht="36" customHeight="1">
      <x:c r="A157" s="17" t="n">
        <x:v>154</x:v>
      </x:c>
      <x:c r="B157" s="17" t="str">
        <x:v>V153</x:v>
      </x:c>
      <x:c r="C157" s="17" t="str">
        <x:v>youtube</x:v>
      </x:c>
      <x:c r="D157" s="17" t="str">
        <x:v>Nomad Sculpt</x:v>
      </x:c>
      <x:c r="E157" s="24" t="str">
        <x:v>Nomad Sculpt - Low Poly Sword Tutorial</x:v>
      </x:c>
      <x:c r="F157" s="24" t="str">
        <x:v>https://www.youtube.com/watch?v=gp3briJp9eM</x:v>
      </x:c>
      <x:c r="G157" s="24" t="str">
        <x:v>道具-武器</x:v>
      </x:c>
      <x:c r="H157" s="24" t="str">
        <x:v>Nomad Sculpt model stylized sword prop</x:v>
      </x:c>
      <x:c r="I157" s="24" t="str">
        <x:v>No</x:v>
      </x:c>
      <x:c r="J157" s="24" t="str">
        <x:v>PASS</x:v>
      </x:c>
      <x:c r="K157" s="24" t="str"/>
    </x:row>
    <x:row r="158" ht="36" customHeight="1">
      <x:c r="A158" s="17" t="n">
        <x:v>155</x:v>
      </x:c>
      <x:c r="B158" s="17" t="str">
        <x:v>V154</x:v>
      </x:c>
      <x:c r="C158" s="17" t="str">
        <x:v>youtube</x:v>
      </x:c>
      <x:c r="D158" s="17" t="str">
        <x:v>Nomad Sculpt</x:v>
      </x:c>
      <x:c r="E158" s="24" t="str">
        <x:v>Sculpting a Deep Sea Monster (Shark Mutant) in Nomad Sculpt</x:v>
      </x:c>
      <x:c r="F158" s="24" t="str">
        <x:v>https://www.youtube.com/watch?v=u-tm_7iL9aA</x:v>
      </x:c>
      <x:c r="G158" s="24" t="str">
        <x:v>生物</x:v>
      </x:c>
      <x:c r="H158" s="24" t="str">
        <x:v>Nomad Sculpt sculpt monster head timelapse</x:v>
      </x:c>
      <x:c r="I158" s="24" t="str">
        <x:v>No</x:v>
      </x:c>
      <x:c r="J158" s="24" t="str">
        <x:v>PASS</x:v>
      </x:c>
      <x:c r="K158" s="24" t="str"/>
    </x:row>
    <x:row r="159" ht="36" customHeight="1">
      <x:c r="A159" s="17" t="n">
        <x:v>156</x:v>
      </x:c>
      <x:c r="B159" s="17" t="str">
        <x:v>V155</x:v>
      </x:c>
      <x:c r="C159" s="17" t="str">
        <x:v>youtube</x:v>
      </x:c>
      <x:c r="D159" s="17" t="str">
        <x:v>Nomad Sculpt</x:v>
      </x:c>
      <x:c r="E159" s="24" t="str">
        <x:v>NOMAD SCULPT - Sculpting a Dragon</x:v>
      </x:c>
      <x:c r="F159" s="24" t="str">
        <x:v>https://www.youtube.com/watch?v=mZxodRexrdY</x:v>
      </x:c>
      <x:c r="G159" s="24" t="str">
        <x:v>生物</x:v>
      </x:c>
      <x:c r="H159" s="24" t="str">
        <x:v>Nomad Sculpt sculpt dragon creature</x:v>
      </x:c>
      <x:c r="I159" s="24" t="str">
        <x:v>No</x:v>
      </x:c>
      <x:c r="J159" s="24" t="str">
        <x:v>PASS</x:v>
      </x:c>
      <x:c r="K159" s="24" t="str"/>
    </x:row>
    <x:row r="160" ht="36" customHeight="1">
      <x:c r="A160" s="17" t="n">
        <x:v>157</x:v>
      </x:c>
      <x:c r="B160" s="17" t="str">
        <x:v>V156</x:v>
      </x:c>
      <x:c r="C160" s="17" t="str">
        <x:v>youtube</x:v>
      </x:c>
      <x:c r="D160" s="17" t="str">
        <x:v>Nomad Sculpt</x:v>
      </x:c>
      <x:c r="E160" s="24" t="str">
        <x:v>Orc Digital Sculpt (Timelapse)</x:v>
      </x:c>
      <x:c r="F160" s="24" t="str">
        <x:v>https://www.youtube.com/watch?v=UBNe2iGCHAA</x:v>
      </x:c>
      <x:c r="G160" s="24" t="str">
        <x:v>生物</x:v>
      </x:c>
      <x:c r="H160" s="24" t="str">
        <x:v>Nomad Sculpt sculpt orc character</x:v>
      </x:c>
      <x:c r="I160" s="24" t="str">
        <x:v>No</x:v>
      </x:c>
      <x:c r="J160" s="24" t="str">
        <x:v>PASS</x:v>
      </x:c>
      <x:c r="K160" s="24" t="str"/>
    </x:row>
    <x:row r="161" ht="36" customHeight="1">
      <x:c r="A161" s="17" t="n">
        <x:v>158</x:v>
      </x:c>
      <x:c r="B161" s="17" t="str">
        <x:v>V157</x:v>
      </x:c>
      <x:c r="C161" s="17" t="str">
        <x:v>youtube</x:v>
      </x:c>
      <x:c r="D161" s="17" t="str">
        <x:v>Nomad Sculpt</x:v>
      </x:c>
      <x:c r="E161" s="24" t="str">
        <x:v>The Easiest Way to Sculpt Miniatures? (Sculpting an Orc with Nomad Sculpt) [Key Quest #2: 2/3]</x:v>
      </x:c>
      <x:c r="F161" s="24" t="str">
        <x:v>https://www.youtube.com/watch?v=tKrz9gtONAY</x:v>
      </x:c>
      <x:c r="G161" s="24" t="str">
        <x:v>生物</x:v>
      </x:c>
      <x:c r="H161" s="24" t="str">
        <x:v>Nomad Sculpt sculpt orc character</x:v>
      </x:c>
      <x:c r="I161" s="24" t="str">
        <x:v>No</x:v>
      </x:c>
      <x:c r="J161" s="24" t="str">
        <x:v>PASS</x:v>
      </x:c>
      <x:c r="K161" s="24" t="str"/>
    </x:row>
    <x:row r="162" ht="36" customHeight="1">
      <x:c r="A162" s="17" t="n">
        <x:v>159</x:v>
      </x:c>
      <x:c r="B162" s="17" t="str">
        <x:v>V158</x:v>
      </x:c>
      <x:c r="C162" s="17" t="str">
        <x:v>youtube</x:v>
      </x:c>
      <x:c r="D162" s="17" t="str">
        <x:v>Nomad Sculpt</x:v>
      </x:c>
      <x:c r="E162" s="24" t="str">
        <x:v>Orc Sculpting (Time lapse)</x:v>
      </x:c>
      <x:c r="F162" s="24" t="str">
        <x:v>https://www.youtube.com/watch?v=q4zn7PRwIKk</x:v>
      </x:c>
      <x:c r="G162" s="24" t="str">
        <x:v>生物</x:v>
      </x:c>
      <x:c r="H162" s="24" t="str">
        <x:v>Nomad Sculpt sculpt orc character</x:v>
      </x:c>
      <x:c r="I162" s="24" t="str">
        <x:v>No</x:v>
      </x:c>
      <x:c r="J162" s="24" t="str">
        <x:v>PASS</x:v>
      </x:c>
      <x:c r="K162" s="24" t="str"/>
    </x:row>
    <x:row r="163" ht="36" customHeight="1">
      <x:c r="A163" s="17" t="n">
        <x:v>160</x:v>
      </x:c>
      <x:c r="B163" s="17" t="str">
        <x:v>V159</x:v>
      </x:c>
      <x:c r="C163" s="17" t="str">
        <x:v>youtube</x:v>
      </x:c>
      <x:c r="D163" s="17" t="str">
        <x:v>Nomad Sculpt</x:v>
      </x:c>
      <x:c r="E163" s="24" t="str">
        <x:v>Concept SKETCH to Nomad SCULPT - TIMELAPSE - Creating the Orcarno.</x:v>
      </x:c>
      <x:c r="F163" s="24" t="str">
        <x:v>https://www.youtube.com/watch?v=Yz8G5qRrZzY</x:v>
      </x:c>
      <x:c r="G163" s="24" t="str">
        <x:v>生物</x:v>
      </x:c>
      <x:c r="H163" s="24" t="str">
        <x:v>Nomad Sculpt sculpt orc character</x:v>
      </x:c>
      <x:c r="I163" s="24" t="str">
        <x:v>No</x:v>
      </x:c>
      <x:c r="J163" s="24" t="str">
        <x:v>PASS</x:v>
      </x:c>
      <x:c r="K163" s="24" t="str"/>
    </x:row>
    <x:row r="164" ht="36" customHeight="1">
      <x:c r="A164" s="17" t="n">
        <x:v>161</x:v>
      </x:c>
      <x:c r="B164" s="17" t="str">
        <x:v>V160</x:v>
      </x:c>
      <x:c r="C164" s="17" t="str">
        <x:v>youtube</x:v>
      </x:c>
      <x:c r="D164" s="17" t="str">
        <x:v>Blender</x:v>
      </x:c>
      <x:c r="E164" s="24" t="str">
        <x:v>Master 3d Sculpting (Orc Warrior) In Blender: A Step-by-step Character Creation Tutorial!</x:v>
      </x:c>
      <x:c r="F164" s="24" t="str">
        <x:v>https://www.youtube.com/watch?v=axuhU6jqvAc</x:v>
      </x:c>
      <x:c r="G164" s="24" t="str">
        <x:v>生物</x:v>
      </x:c>
      <x:c r="H164" s="24" t="str">
        <x:v>Blender sculpt orc character</x:v>
      </x:c>
      <x:c r="I164" s="24" t="str">
        <x:v>No</x:v>
      </x:c>
      <x:c r="J164" s="24" t="str">
        <x:v>PASS</x:v>
      </x:c>
      <x:c r="K164" s="24" t="str"/>
    </x:row>
    <x:row r="165" ht="36" customHeight="1">
      <x:c r="A165" s="17" t="n">
        <x:v>162</x:v>
      </x:c>
      <x:c r="B165" s="17" t="str">
        <x:v>V161</x:v>
      </x:c>
      <x:c r="C165" s="17" t="str">
        <x:v>youtube</x:v>
      </x:c>
      <x:c r="D165" s="17" t="str">
        <x:v>Blender</x:v>
      </x:c>
      <x:c r="E165" s="24" t="str">
        <x:v>Sculpting an Orc - Part 1 [Blender 2.8]</x:v>
      </x:c>
      <x:c r="F165" s="24" t="str">
        <x:v>https://www.youtube.com/watch?v=y_xb7etGQ5o</x:v>
      </x:c>
      <x:c r="G165" s="24" t="str">
        <x:v>生物</x:v>
      </x:c>
      <x:c r="H165" s="24" t="str">
        <x:v>Blender sculpt orc character</x:v>
      </x:c>
      <x:c r="I165" s="24" t="str">
        <x:v>No</x:v>
      </x:c>
      <x:c r="J165" s="24" t="str">
        <x:v>PASS</x:v>
      </x:c>
      <x:c r="K165" s="24" t="str"/>
    </x:row>
    <x:row r="166" ht="36" customHeight="1">
      <x:c r="A166" s="17" t="n">
        <x:v>163</x:v>
      </x:c>
      <x:c r="B166" s="17" t="str">
        <x:v>V162</x:v>
      </x:c>
      <x:c r="C166" s="17" t="str">
        <x:v>youtube</x:v>
      </x:c>
      <x:c r="D166" s="17" t="str">
        <x:v>Blender</x:v>
      </x:c>
      <x:c r="E166" s="24" t="str">
        <x:v>Orc Base Mesh Sculpt 01</x:v>
      </x:c>
      <x:c r="F166" s="24" t="str">
        <x:v>https://www.youtube.com/watch?v=WG40lSfzrPM</x:v>
      </x:c>
      <x:c r="G166" s="24" t="str">
        <x:v>生物</x:v>
      </x:c>
      <x:c r="H166" s="24" t="str">
        <x:v>Blender sculpt orc character</x:v>
      </x:c>
      <x:c r="I166" s="24" t="str">
        <x:v>No</x:v>
      </x:c>
      <x:c r="J166" s="24" t="str">
        <x:v>PASS</x:v>
      </x:c>
      <x:c r="K166" s="24" t="str"/>
    </x:row>
    <x:row r="167" ht="36" customHeight="1">
      <x:c r="A167" s="17" t="n">
        <x:v>164</x:v>
      </x:c>
      <x:c r="B167" s="17" t="str">
        <x:v>V163</x:v>
      </x:c>
      <x:c r="C167" s="17" t="str">
        <x:v>youtube</x:v>
      </x:c>
      <x:c r="D167" s="17" t="str">
        <x:v>Blender</x:v>
      </x:c>
      <x:c r="E167" s="24" t="str">
        <x:v>Blender - SERPENT Creature 3D Sculpt (Timelapse)</x:v>
      </x:c>
      <x:c r="F167" s="24" t="str">
        <x:v>https://www.youtube.com/watch?v=cUCWaMu6MaE</x:v>
      </x:c>
      <x:c r="G167" s="24" t="str">
        <x:v>生物</x:v>
      </x:c>
      <x:c r="H167" s="24" t="str">
        <x:v>Blender sculpt dragon creature</x:v>
      </x:c>
      <x:c r="I167" s="24" t="str">
        <x:v>No</x:v>
      </x:c>
      <x:c r="J167" s="24" t="str">
        <x:v>PASS</x:v>
      </x:c>
      <x:c r="K167" s="24" t="str"/>
    </x:row>
    <x:row r="168" ht="36" customHeight="1">
      <x:c r="A168" s="17" t="n">
        <x:v>165</x:v>
      </x:c>
      <x:c r="B168" s="17" t="str">
        <x:v>V164</x:v>
      </x:c>
      <x:c r="C168" s="17" t="str">
        <x:v>youtube</x:v>
      </x:c>
      <x:c r="D168" s="17" t="str">
        <x:v>Blender</x:v>
      </x:c>
      <x:c r="E168" s="24" t="str">
        <x:v>Quarantine Practice - Foot Sculpting in Blender 2.82a</x:v>
      </x:c>
      <x:c r="F168" s="24" t="str">
        <x:v>https://www.youtube.com/watch?v=AaVF9sBPGDQ</x:v>
      </x:c>
      <x:c r="G168" s="24" t="str">
        <x:v>角色-部分</x:v>
      </x:c>
      <x:c r="H168" s="24" t="str">
        <x:v>Blender sculpt hand foot anatomy</x:v>
      </x:c>
      <x:c r="I168" s="24" t="str">
        <x:v>No</x:v>
      </x:c>
      <x:c r="J168" s="24" t="str">
        <x:v>PASS</x:v>
      </x:c>
      <x:c r="K168" s="24" t="str"/>
    </x:row>
    <x:row r="169" ht="36" customHeight="1">
      <x:c r="A169" s="17" t="n">
        <x:v>166</x:v>
      </x:c>
      <x:c r="B169" s="17" t="str">
        <x:v>V165</x:v>
      </x:c>
      <x:c r="C169" s="17" t="str">
        <x:v>youtube</x:v>
      </x:c>
      <x:c r="D169" s="17" t="str">
        <x:v>Blender</x:v>
      </x:c>
      <x:c r="E169" s="24" t="str">
        <x:v>Step By Step - Sculpting CLOTHS In Blender</x:v>
      </x:c>
      <x:c r="F169" s="24" t="str">
        <x:v>https://www.youtube.com/watch?v=v_WMJLudpvg</x:v>
      </x:c>
      <x:c r="G169" s="24" t="str">
        <x:v>角色-部分</x:v>
      </x:c>
      <x:c r="H169" s="24" t="str">
        <x:v>Blender sculpt clothing folds character</x:v>
      </x:c>
      <x:c r="I169" s="24" t="str">
        <x:v>No</x:v>
      </x:c>
      <x:c r="J169" s="24" t="str">
        <x:v>PASS</x:v>
      </x:c>
      <x:c r="K169" s="24" t="str"/>
    </x:row>
    <x:row r="170" ht="36" customHeight="1">
      <x:c r="A170" s="17" t="n">
        <x:v>167</x:v>
      </x:c>
      <x:c r="B170" s="17" t="str">
        <x:v>V166</x:v>
      </x:c>
      <x:c r="C170" s="17" t="str">
        <x:v>youtube</x:v>
      </x:c>
      <x:c r="D170" s="17" t="str">
        <x:v>Cinema 4D</x:v>
      </x:c>
      <x:c r="E170" s="24" t="str">
        <x:v>SPEED SCULPT : Angler Fish Creature ( Timelapse )</x:v>
      </x:c>
      <x:c r="F170" s="24" t="str">
        <x:v>https://www.youtube.com/watch?v=I1I_RjVakRI</x:v>
      </x:c>
      <x:c r="G170" s="24" t="str">
        <x:v>生物</x:v>
      </x:c>
      <x:c r="H170" s="24" t="str">
        <x:v>Cinema 4D sculpt creature bust workflow</x:v>
      </x:c>
      <x:c r="I170" s="24" t="str">
        <x:v>No</x:v>
      </x:c>
      <x:c r="J170" s="24" t="str">
        <x:v>PASS</x:v>
      </x:c>
      <x:c r="K170" s="24" t="str"/>
    </x:row>
    <x:row r="171" ht="36" customHeight="1">
      <x:c r="A171" s="17" t="n">
        <x:v>168</x:v>
      </x:c>
      <x:c r="B171" s="17" t="str">
        <x:v>V167</x:v>
      </x:c>
      <x:c r="C171" s="17" t="str">
        <x:v>youtube</x:v>
      </x:c>
      <x:c r="D171" s="17" t="str">
        <x:v>Cinema 4D</x:v>
      </x:c>
      <x:c r="E171" s="24" t="str">
        <x:v>azog orc sculpting cinema 4d tutorials</x:v>
      </x:c>
      <x:c r="F171" s="24" t="str">
        <x:v>https://www.youtube.com/watch?v=_mK9Wyh4cQM</x:v>
      </x:c>
      <x:c r="G171" s="24" t="str">
        <x:v>生物</x:v>
      </x:c>
      <x:c r="H171" s="24" t="str">
        <x:v>Cinema 4D sculpt animal head tutorial</x:v>
      </x:c>
      <x:c r="I171" s="24" t="str">
        <x:v>No</x:v>
      </x:c>
      <x:c r="J171" s="24" t="str">
        <x:v>PASS</x:v>
      </x:c>
      <x:c r="K171" s="24" t="str"/>
    </x:row>
    <x:row r="172" ht="36" customHeight="1">
      <x:c r="A172" s="17" t="n">
        <x:v>169</x:v>
      </x:c>
      <x:c r="B172" s="17" t="str">
        <x:v>V168</x:v>
      </x:c>
      <x:c r="C172" s="17" t="str">
        <x:v>youtube</x:v>
      </x:c>
      <x:c r="D172" s="17" t="str">
        <x:v>Cinema 4D</x:v>
      </x:c>
      <x:c r="E172" s="24" t="str">
        <x:v>How to Model Realistic Cloth Wrinkles | 3D Modeling Tutorial</x:v>
      </x:c>
      <x:c r="F172" s="24" t="str">
        <x:v>https://www.youtube.com/watch?v=gonaSjFkukM</x:v>
      </x:c>
      <x:c r="G172" s="24" t="str">
        <x:v>角色-部分</x:v>
      </x:c>
      <x:c r="H172" s="24" t="str">
        <x:v>Cinema 4D sculpt clothing folds character</x:v>
      </x:c>
      <x:c r="I172" s="24" t="str">
        <x:v>No</x:v>
      </x:c>
      <x:c r="J172" s="24" t="str">
        <x:v>PASS</x:v>
      </x:c>
      <x:c r="K172" s="24" t="str"/>
    </x:row>
    <x:row r="173" ht="36" customHeight="1">
      <x:c r="A173" s="17" t="n">
        <x:v>170</x:v>
      </x:c>
      <x:c r="B173" s="17" t="str">
        <x:v>V169</x:v>
      </x:c>
      <x:c r="C173" s="17" t="str">
        <x:v>youtube</x:v>
      </x:c>
      <x:c r="D173" s="17" t="str">
        <x:v>Cinema 4D</x:v>
      </x:c>
      <x:c r="E173" s="24" t="str">
        <x:v>Majin Boo dragon ball sculpting cinema 4d</x:v>
      </x:c>
      <x:c r="F173" s="24" t="str">
        <x:v>https://www.youtube.com/watch?v=cIYdiCSr30w</x:v>
      </x:c>
      <x:c r="G173" s="24" t="str">
        <x:v>生物</x:v>
      </x:c>
      <x:c r="H173" s="24" t="str">
        <x:v>Cinema 4D sculpt dragon creature</x:v>
      </x:c>
      <x:c r="I173" s="24" t="str">
        <x:v>No</x:v>
      </x:c>
      <x:c r="J173" s="24" t="str">
        <x:v>PASS</x:v>
      </x:c>
      <x:c r="K173" s="24" t="str"/>
    </x:row>
    <x:row r="174" ht="36" customHeight="1">
      <x:c r="A174" s="17" t="n">
        <x:v>171</x:v>
      </x:c>
      <x:c r="B174" s="17" t="str">
        <x:v>V170</x:v>
      </x:c>
      <x:c r="C174" s="17" t="str">
        <x:v>youtube</x:v>
      </x:c>
      <x:c r="D174" s="17" t="str">
        <x:v>Cinema 4D</x:v>
      </x:c>
      <x:c r="E174" s="24" t="str">
        <x:v>Azog orc sculpting cinema 4d tutorial</x:v>
      </x:c>
      <x:c r="F174" s="24" t="str">
        <x:v>https://www.youtube.com/watch?v=_CmsD1qUUZc</x:v>
      </x:c>
      <x:c r="G174" s="24" t="str">
        <x:v>生物</x:v>
      </x:c>
      <x:c r="H174" s="24" t="str">
        <x:v>Cinema 4D sculpt orc character</x:v>
      </x:c>
      <x:c r="I174" s="24" t="str">
        <x:v>No</x:v>
      </x:c>
      <x:c r="J174" s="24" t="str">
        <x:v>PASS</x:v>
      </x:c>
      <x:c r="K174" s="24" t="str"/>
    </x:row>
    <x:row r="175" ht="36" customHeight="1">
      <x:c r="A175" s="17" t="n">
        <x:v>172</x:v>
      </x:c>
      <x:c r="B175" s="17" t="str">
        <x:v>V171</x:v>
      </x:c>
      <x:c r="C175" s="17" t="str">
        <x:v>youtube</x:v>
      </x:c>
      <x:c r="D175" s="17" t="str">
        <x:v>Cinema 4D</x:v>
      </x:c>
      <x:c r="E175" s="24" t="str">
        <x:v>dragon sculpting tutorial cinema 4d</x:v>
      </x:c>
      <x:c r="F175" s="24" t="str">
        <x:v>https://www.youtube.com/watch?v=-6r1wOyMwlk</x:v>
      </x:c>
      <x:c r="G175" s="24" t="str">
        <x:v>生物</x:v>
      </x:c>
      <x:c r="H175" s="24" t="str">
        <x:v>Cinema 4D sculpt dragon creature</x:v>
      </x:c>
      <x:c r="I175" s="24" t="str">
        <x:v>No</x:v>
      </x:c>
      <x:c r="J175" s="24" t="str">
        <x:v>PASS</x:v>
      </x:c>
      <x:c r="K175" s="24" t="str"/>
    </x:row>
    <x:row r="176" ht="36" customHeight="1">
      <x:c r="A176" s="17" t="n">
        <x:v>173</x:v>
      </x:c>
      <x:c r="B176" s="17" t="str">
        <x:v>V172</x:v>
      </x:c>
      <x:c r="C176" s="17" t="str">
        <x:v>youtube</x:v>
      </x:c>
      <x:c r="D176" s="17" t="str">
        <x:v>Nomad Sculpt</x:v>
      </x:c>
      <x:c r="E176" s="24" t="str">
        <x:v>How to Sculpt a HAND in Nomad Sculpt 4K Tutorial</x:v>
      </x:c>
      <x:c r="F176" s="24" t="str">
        <x:v>https://www.youtube.com/watch?v=qk4gD35JDHA</x:v>
      </x:c>
      <x:c r="G176" s="24" t="str">
        <x:v>角色-部分</x:v>
      </x:c>
      <x:c r="H176" s="24" t="str">
        <x:v>Nomad Sculpt sculpt hand foot anatomy</x:v>
      </x:c>
      <x:c r="I176" s="24" t="str">
        <x:v>No</x:v>
      </x:c>
      <x:c r="J176" s="24" t="str">
        <x:v>PASS</x:v>
      </x:c>
      <x:c r="K176" s="24" t="str"/>
    </x:row>
    <x:row r="177" ht="36" customHeight="1">
      <x:c r="A177" s="17" t="n">
        <x:v>174</x:v>
      </x:c>
      <x:c r="B177" s="17" t="str">
        <x:v>V173</x:v>
      </x:c>
      <x:c r="C177" s="17" t="str">
        <x:v>youtube</x:v>
      </x:c>
      <x:c r="D177" s="17" t="str">
        <x:v>Nomad Sculpt</x:v>
      </x:c>
      <x:c r="E177" s="24" t="str">
        <x:v>Nomad sculpt - How to sculpt a monster</x:v>
      </x:c>
      <x:c r="F177" s="24" t="str">
        <x:v>https://www.youtube.com/watch?v=omZzZdLH6J0</x:v>
      </x:c>
      <x:c r="G177" s="24" t="str">
        <x:v>生物</x:v>
      </x:c>
      <x:c r="H177" s="24" t="str">
        <x:v>Nomad Sculpt sculpt creature bust workflow</x:v>
      </x:c>
      <x:c r="I177" s="24" t="str">
        <x:v>No</x:v>
      </x:c>
      <x:c r="J177" s="24" t="str">
        <x:v>PASS</x:v>
      </x:c>
      <x:c r="K177" s="24" t="str"/>
    </x:row>
    <x:row r="178" ht="36" customHeight="1">
      <x:c r="A178" s="17" t="n">
        <x:v>175</x:v>
      </x:c>
      <x:c r="B178" s="17" t="str">
        <x:v>V174</x:v>
      </x:c>
      <x:c r="C178" s="17" t="str">
        <x:v>youtube</x:v>
      </x:c>
      <x:c r="D178" s="17" t="str">
        <x:v>Nomad Sculpt</x:v>
      </x:c>
      <x:c r="E178" s="24" t="str">
        <x:v>Nomad sculpt Android making (THE DRAGON ICE) WEAPON part 2</x:v>
      </x:c>
      <x:c r="F178" s="24" t="str">
        <x:v>https://www.youtube.com/watch?v=DHRQ_7i81wY</x:v>
      </x:c>
      <x:c r="G178" s="24" t="str">
        <x:v>生物</x:v>
      </x:c>
      <x:c r="H178" s="24" t="str">
        <x:v>Nomad Sculpt sculpt creature bust workflow</x:v>
      </x:c>
      <x:c r="I178" s="24" t="str">
        <x:v>No</x:v>
      </x:c>
      <x:c r="J178" s="24" t="str">
        <x:v>PASS</x:v>
      </x:c>
      <x:c r="K178" s="24" t="str"/>
    </x:row>
    <x:row r="179" ht="36" customHeight="1">
      <x:c r="A179" s="17" t="n">
        <x:v>176</x:v>
      </x:c>
      <x:c r="B179" s="17" t="str">
        <x:v>V175</x:v>
      </x:c>
      <x:c r="C179" s="17" t="str">
        <x:v>youtube</x:v>
      </x:c>
      <x:c r="D179" s="17" t="str">
        <x:v>Nomad Sculpt</x:v>
      </x:c>
      <x:c r="E179" s="24" t="str">
        <x:v>Monster Sketch time lapse in NomadSculpt</x:v>
      </x:c>
      <x:c r="F179" s="24" t="str">
        <x:v>https://www.youtube.com/watch?v=-M1eaFB2g1o</x:v>
      </x:c>
      <x:c r="G179" s="24" t="str">
        <x:v>生物</x:v>
      </x:c>
      <x:c r="H179" s="24" t="str">
        <x:v>Nomad Sculpt sculpt monster head timelapse</x:v>
      </x:c>
      <x:c r="I179" s="24" t="str">
        <x:v>No</x:v>
      </x:c>
      <x:c r="J179" s="24" t="str">
        <x:v>PASS</x:v>
      </x:c>
      <x:c r="K179" s="24" t="str"/>
    </x:row>
    <x:row r="180" ht="36" customHeight="1">
      <x:c r="A180" s="17" t="n">
        <x:v>177</x:v>
      </x:c>
      <x:c r="B180" s="17" t="str">
        <x:v>V176</x:v>
      </x:c>
      <x:c r="C180" s="17" t="str">
        <x:v>youtube</x:v>
      </x:c>
      <x:c r="D180" s="17" t="str">
        <x:v>Blender</x:v>
      </x:c>
      <x:c r="E180" s="24" t="str">
        <x:v>Blender - Game CREATURE Timelapse</x:v>
      </x:c>
      <x:c r="F180" s="24" t="str">
        <x:v>https://www.youtube.com/watch?v=BPmcEY3GUKQ</x:v>
      </x:c>
      <x:c r="G180" s="24" t="str">
        <x:v>生物</x:v>
      </x:c>
      <x:c r="H180" s="24" t="str">
        <x:v>Blender sculpt creature bust workflow</x:v>
      </x:c>
      <x:c r="I180" s="24" t="str">
        <x:v>No</x:v>
      </x:c>
      <x:c r="J180" s="24" t="str">
        <x:v>PASS</x:v>
      </x:c>
      <x:c r="K180" s="24" t="str"/>
    </x:row>
    <x:row r="181" ht="36" customHeight="1">
      <x:c r="A181" s="17" t="n">
        <x:v>178</x:v>
      </x:c>
      <x:c r="B181" s="17" t="str">
        <x:v>V177</x:v>
      </x:c>
      <x:c r="C181" s="17" t="str">
        <x:v>youtube</x:v>
      </x:c>
      <x:c r="D181" s="17" t="str">
        <x:v>Nomad Sculpt</x:v>
      </x:c>
      <x:c r="E181" s="24" t="str">
        <x:v>How to Sculpt a Foot in Nomad Sculpt on iPad</x:v>
      </x:c>
      <x:c r="F181" s="24" t="str">
        <x:v>https://www.youtube.com/watch?v=SQwFsZsHF20</x:v>
      </x:c>
      <x:c r="G181" s="24" t="str">
        <x:v>角色-部分</x:v>
      </x:c>
      <x:c r="H181" s="24" t="str">
        <x:v>Nomad Sculpt sculpt hand foot anatomy</x:v>
      </x:c>
      <x:c r="I181" s="24" t="str">
        <x:v>No</x:v>
      </x:c>
      <x:c r="J181" s="24" t="str">
        <x:v>PASS</x:v>
      </x:c>
      <x:c r="K181" s="24" t="str"/>
    </x:row>
    <x:row r="182" ht="36" customHeight="1">
      <x:c r="A182" s="17" t="n">
        <x:v>179</x:v>
      </x:c>
      <x:c r="B182" s="17" t="str">
        <x:v>V178</x:v>
      </x:c>
      <x:c r="C182" s="17" t="str">
        <x:v>youtube</x:v>
      </x:c>
      <x:c r="D182" s="17" t="str">
        <x:v>Maya</x:v>
      </x:c>
      <x:c r="E182" s="24" t="str">
        <x:v>Modeling Scifi Helmet Hardsurface Subdivision Tutorial in Maya Part 7</x:v>
      </x:c>
      <x:c r="F182" s="24" t="str">
        <x:v>https://www.youtube.com/watch?v=HVMR89xFp54</x:v>
      </x:c>
      <x:c r="G182" s="24" t="str">
        <x:v>头脸</x:v>
      </x:c>
      <x:c r="H182" s="24" t="str">
        <x:v>Maya model helmet hard surface workflow</x:v>
      </x:c>
      <x:c r="I182" s="24" t="str">
        <x:v>No</x:v>
      </x:c>
      <x:c r="J182" s="24" t="str">
        <x:v>PASS</x:v>
      </x:c>
      <x:c r="K182" s="24" t="str"/>
    </x:row>
    <x:row r="183" ht="36" customHeight="1">
      <x:c r="A183" s="17" t="n">
        <x:v>180</x:v>
      </x:c>
      <x:c r="B183" s="17" t="str">
        <x:v>V179</x:v>
      </x:c>
      <x:c r="C183" s="17" t="str">
        <x:v>youtube</x:v>
      </x:c>
      <x:c r="D183" s="17" t="str">
        <x:v>Maya</x:v>
      </x:c>
      <x:c r="E183" s="24" t="str">
        <x:v>Modeling Scifi Helmet Hardsurface Subdivision Tutorial in Maya Part 8</x:v>
      </x:c>
      <x:c r="F183" s="24" t="str">
        <x:v>https://www.youtube.com/watch?v=pCVA_bTwP7w</x:v>
      </x:c>
      <x:c r="G183" s="24" t="str">
        <x:v>头脸</x:v>
      </x:c>
      <x:c r="H183" s="24" t="str">
        <x:v>Maya model helmet hard surface workflow</x:v>
      </x:c>
      <x:c r="I183" s="24" t="str">
        <x:v>No</x:v>
      </x:c>
      <x:c r="J183" s="24" t="str">
        <x:v>PASS</x:v>
      </x:c>
      <x:c r="K183" s="24" t="str"/>
    </x:row>
    <x:row r="184" ht="36" customHeight="1">
      <x:c r="A184" s="17" t="n">
        <x:v>181</x:v>
      </x:c>
      <x:c r="B184" s="17" t="str">
        <x:v>V180</x:v>
      </x:c>
      <x:c r="C184" s="17" t="str">
        <x:v>youtube</x:v>
      </x:c>
      <x:c r="D184" s="17" t="str">
        <x:v>Maya</x:v>
      </x:c>
      <x:c r="E184" s="24" t="str">
        <x:v>Autodesk Maya tutorial | How to Model a Low Poly Male Character | Part 1 of 2.</x:v>
      </x:c>
      <x:c r="F184" s="24" t="str">
        <x:v>https://www.youtube.com/watch?v=mnQfqFMov1A</x:v>
      </x:c>
      <x:c r="G184" s="24" t="str">
        <x:v>角色-全身</x:v>
      </x:c>
      <x:c r="H184" s="24" t="str">
        <x:v>Maya sculpt hand foot anatomy</x:v>
      </x:c>
      <x:c r="I184" s="24" t="str">
        <x:v>No</x:v>
      </x:c>
      <x:c r="J184" s="24" t="str">
        <x:v>PASS</x:v>
      </x:c>
      <x:c r="K184" s="24" t="str"/>
    </x:row>
    <x:row r="185" ht="36" customHeight="1">
      <x:c r="A185" s="17" t="n">
        <x:v>182</x:v>
      </x:c>
      <x:c r="B185" s="17" t="str">
        <x:v>V181</x:v>
      </x:c>
      <x:c r="C185" s="17" t="str">
        <x:v>youtube</x:v>
      </x:c>
      <x:c r="D185" s="17" t="str">
        <x:v>Maya</x:v>
      </x:c>
      <x:c r="E185" s="24" t="str">
        <x:v>Model Low Poly Rocks In Maya | Cliffs</x:v>
      </x:c>
      <x:c r="F185" s="24" t="str">
        <x:v>https://www.youtube.com/watch?v=0E3IciV_CUI</x:v>
      </x:c>
      <x:c r="G185" s="24" t="str">
        <x:v>道具-自然</x:v>
      </x:c>
      <x:c r="H185" s="24" t="str">
        <x:v>Maya model stylized rock sculpt</x:v>
      </x:c>
      <x:c r="I185" s="24" t="str">
        <x:v>No</x:v>
      </x:c>
      <x:c r="J185" s="24" t="str">
        <x:v>PASS</x:v>
      </x:c>
      <x:c r="K185" s="24" t="str"/>
    </x:row>
    <x:row r="186" ht="36" customHeight="1">
      <x:c r="A186" s="17" t="n">
        <x:v>183</x:v>
      </x:c>
      <x:c r="B186" s="17" t="str">
        <x:v>V182</x:v>
      </x:c>
      <x:c r="C186" s="17" t="str">
        <x:v>youtube</x:v>
      </x:c>
      <x:c r="D186" s="17" t="str">
        <x:v>Maya</x:v>
      </x:c>
      <x:c r="E186" s="24" t="str">
        <x:v>【Maya】 3D Modeling of an Anime-Style Girl TImelapes</x:v>
      </x:c>
      <x:c r="F186" s="24" t="str">
        <x:v>https://www.youtube.com/watch?v=XhgomfrkNas</x:v>
      </x:c>
      <x:c r="G186" s="24" t="str">
        <x:v>角色-全身</x:v>
      </x:c>
      <x:c r="H186" s="24" t="str">
        <x:v>Maya model stylized character from scratch</x:v>
      </x:c>
      <x:c r="I186" s="24" t="str">
        <x:v>No</x:v>
      </x:c>
      <x:c r="J186" s="24" t="str">
        <x:v>PASS</x:v>
      </x:c>
      <x:c r="K186" s="24" t="str"/>
    </x:row>
    <x:row r="187" ht="36" customHeight="1">
      <x:c r="A187" s="17" t="n">
        <x:v>184</x:v>
      </x:c>
      <x:c r="B187" s="17" t="str">
        <x:v>V183</x:v>
      </x:c>
      <x:c r="C187" s="17" t="str">
        <x:v>youtube</x:v>
      </x:c>
      <x:c r="D187" s="17" t="str">
        <x:v>Maya</x:v>
      </x:c>
      <x:c r="E187" s="24" t="str">
        <x:v>Maya Modeling Tutorial: Clothing</x:v>
      </x:c>
      <x:c r="F187" s="24" t="str">
        <x:v>https://www.youtube.com/watch?v=pNT5igB7rj0</x:v>
      </x:c>
      <x:c r="G187" s="24" t="str">
        <x:v>角色-部分</x:v>
      </x:c>
      <x:c r="H187" s="24" t="str">
        <x:v>Maya sculpt clothing folds character</x:v>
      </x:c>
      <x:c r="I187" s="24" t="str">
        <x:v>No</x:v>
      </x:c>
      <x:c r="J187" s="24" t="str">
        <x:v>PASS</x:v>
      </x:c>
      <x:c r="K187" s="24" t="str"/>
    </x:row>
    <x:row r="188" ht="36" customHeight="1">
      <x:c r="A188" s="17" t="n">
        <x:v>185</x:v>
      </x:c>
      <x:c r="B188" s="17" t="str">
        <x:v>V184</x:v>
      </x:c>
      <x:c r="C188" s="17" t="str">
        <x:v>youtube</x:v>
      </x:c>
      <x:c r="D188" s="17" t="str">
        <x:v>Nomad Sculpt</x:v>
      </x:c>
      <x:c r="E188" s="24" t="str">
        <x:v>Sculpting Stylized Character On Ipad | Nomad Sculpt Tutorial</x:v>
      </x:c>
      <x:c r="F188" s="24" t="str">
        <x:v>https://www.youtube.com/watch?v=XIIcjeAxTyg</x:v>
      </x:c>
      <x:c r="G188" s="24" t="str">
        <x:v>角色-全身</x:v>
      </x:c>
      <x:c r="H188" s="24" t="str">
        <x:v>Nomad Sculpt sculpt creature bust workflow</x:v>
      </x:c>
      <x:c r="I188" s="24" t="str">
        <x:v>No</x:v>
      </x:c>
      <x:c r="J188" s="24" t="str">
        <x:v>PASS</x:v>
      </x:c>
      <x:c r="K188" s="24" t="str"/>
    </x:row>
    <x:row r="189" ht="36" customHeight="1">
      <x:c r="A189" s="17" t="n">
        <x:v>186</x:v>
      </x:c>
      <x:c r="B189" s="17" t="str">
        <x:v>V185</x:v>
      </x:c>
      <x:c r="C189" s="17" t="str">
        <x:v>youtube</x:v>
      </x:c>
      <x:c r="D189" s="17" t="str">
        <x:v>ZBrush</x:v>
      </x:c>
      <x:c r="E189" s="24" t="str">
        <x:v>Make a Game Character (Part 10): Sculpting Stylized Cloth Folds in ZBrush (Shirts &amp; Pants)</x:v>
      </x:c>
      <x:c r="F189" s="24" t="str">
        <x:v>https://www.youtube.com/watch?v=xs3SOsFpLRw</x:v>
      </x:c>
      <x:c r="G189" s="24" t="str">
        <x:v>角色-全身</x:v>
      </x:c>
      <x:c r="H189" s="24" t="str">
        <x:v>ZBrush sculpt clothing folds character</x:v>
      </x:c>
      <x:c r="I189" s="24" t="str">
        <x:v>No</x:v>
      </x:c>
      <x:c r="J189" s="24" t="str">
        <x:v>PASS</x:v>
      </x:c>
      <x:c r="K189" s="24" t="str"/>
    </x:row>
    <x:row r="190" ht="36" customHeight="1">
      <x:c r="A190" s="17" t="n">
        <x:v>187</x:v>
      </x:c>
      <x:c r="B190" s="17" t="str">
        <x:v>V186</x:v>
      </x:c>
      <x:c r="C190" s="17" t="str">
        <x:v>youtube</x:v>
      </x:c>
      <x:c r="D190" s="17" t="str">
        <x:v>ZBrush</x:v>
      </x:c>
      <x:c r="E190" s="24" t="str">
        <x:v>Make a Game Character (Part 9): Sculpting Stylized Cloth in ZBrush</x:v>
      </x:c>
      <x:c r="F190" s="24" t="str">
        <x:v>https://www.youtube.com/watch?v=U9wIs09WVPY</x:v>
      </x:c>
      <x:c r="G190" s="24" t="str">
        <x:v>角色-全身</x:v>
      </x:c>
      <x:c r="H190" s="24" t="str">
        <x:v>ZBrush sculpt clothing folds character</x:v>
      </x:c>
      <x:c r="I190" s="24" t="str">
        <x:v>No</x:v>
      </x:c>
      <x:c r="J190" s="24" t="str">
        <x:v>PASS</x:v>
      </x:c>
      <x:c r="K190" s="24" t="str"/>
    </x:row>
    <x:row r="191" ht="36" customHeight="1">
      <x:c r="A191" s="17" t="n">
        <x:v>188</x:v>
      </x:c>
      <x:c r="B191" s="17" t="str">
        <x:v>V187</x:v>
      </x:c>
      <x:c r="C191" s="17" t="str">
        <x:v>youtube</x:v>
      </x:c>
      <x:c r="D191" s="17" t="str">
        <x:v>ZBrush</x:v>
      </x:c>
      <x:c r="E191" s="24" t="str">
        <x:v>Sculpting a Stylized Character from concept by Meybis Ruiz Cruz (Zbrush)</x:v>
      </x:c>
      <x:c r="F191" s="24" t="str">
        <x:v>https://www.youtube.com/watch?v=ohWEfz4NFco</x:v>
      </x:c>
      <x:c r="G191" s="24" t="str">
        <x:v>角色-全身</x:v>
      </x:c>
      <x:c r="H191" s="24" t="str">
        <x:v>ZBrush sculpt stylized head blockout workflow</x:v>
      </x:c>
      <x:c r="I191" s="24" t="str">
        <x:v>No</x:v>
      </x:c>
      <x:c r="J191" s="24" t="str">
        <x:v>PASS</x:v>
      </x:c>
      <x:c r="K191" s="24" t="str"/>
    </x:row>
    <x:row r="192" ht="36" customHeight="1">
      <x:c r="A192" s="17" t="n">
        <x:v>189</x:v>
      </x:c>
      <x:c r="B192" s="17" t="str">
        <x:v>V188</x:v>
      </x:c>
      <x:c r="C192" s="17" t="str">
        <x:v>youtube</x:v>
      </x:c>
      <x:c r="D192" s="17" t="str">
        <x:v>Cinema 4D</x:v>
      </x:c>
      <x:c r="E192" s="24" t="str">
        <x:v>3D Character Creation in Cinema 4D Modeling a 3D Robot</x:v>
      </x:c>
      <x:c r="F192" s="24" t="str">
        <x:v>https://www.youtube.com/watch?v=deu7IuUYeiU</x:v>
      </x:c>
      <x:c r="G192" s="24" t="str">
        <x:v>角色-全身</x:v>
      </x:c>
      <x:c r="H192" s="24" t="str">
        <x:v>Cinema 4D model toy character process</x:v>
      </x:c>
      <x:c r="I192" s="24" t="str">
        <x:v>No</x:v>
      </x:c>
      <x:c r="J192" s="24" t="str">
        <x:v>PASS</x:v>
      </x:c>
      <x:c r="K192" s="24" t="str"/>
    </x:row>
    <x:row r="193" ht="36" customHeight="1">
      <x:c r="A193" s="17" t="n">
        <x:v>190</x:v>
      </x:c>
      <x:c r="B193" s="17" t="str">
        <x:v>V189</x:v>
      </x:c>
      <x:c r="C193" s="17" t="str">
        <x:v>youtube</x:v>
      </x:c>
      <x:c r="D193" s="17" t="str">
        <x:v>3ds Max</x:v>
      </x:c>
      <x:c r="E193" s="24" t="str">
        <x:v>Cartoon Character For Production 3DMax (Modeling : Body) : 01 (05)</x:v>
      </x:c>
      <x:c r="F193" s="24" t="str">
        <x:v>https://www.youtube.com/watch?v=24KCIRb9Efw</x:v>
      </x:c>
      <x:c r="G193" s="24" t="str">
        <x:v>角色-全身</x:v>
      </x:c>
      <x:c r="H193" s="24" t="str">
        <x:v>3ds Max model cartoon character workflow</x:v>
      </x:c>
      <x:c r="I193" s="24" t="str">
        <x:v>No</x:v>
      </x:c>
      <x:c r="J193" s="24" t="str">
        <x:v>PASS</x:v>
      </x:c>
      <x:c r="K193" s="24" t="str"/>
    </x:row>
    <x:row r="194" ht="36" customHeight="1">
      <x:c r="A194" s="17" t="n">
        <x:v>191</x:v>
      </x:c>
      <x:c r="B194" s="17" t="str">
        <x:v>V190</x:v>
      </x:c>
      <x:c r="C194" s="17" t="str">
        <x:v>bilibili</x:v>
      </x:c>
      <x:c r="D194" s="17" t="str">
        <x:v>Maya</x:v>
      </x:c>
      <x:c r="E194" s="24" t="str">
        <x:v>【maya角色建模】适合新手学习的瓦力机器人建模，maya布线讲解教程，maya新手建模案例教学</x:v>
      </x:c>
      <x:c r="F194" s="24" t="str">
        <x:v>http://www.bilibili.com/video/av115570825497506</x:v>
      </x:c>
      <x:c r="G194" s="24" t="str">
        <x:v>角色-全身</x:v>
      </x:c>
      <x:c r="H194" s="24" t="str">
        <x:v>Maya 机器人 角色 建模</x:v>
      </x:c>
      <x:c r="I194" s="24" t="str">
        <x:v>No</x:v>
      </x:c>
      <x:c r="J194" s="24" t="str">
        <x:v>PASS</x:v>
      </x:c>
      <x:c r="K194" s="24" t="str"/>
    </x:row>
    <x:row r="195" ht="36" customHeight="1">
      <x:c r="A195" s="17" t="n">
        <x:v>192</x:v>
      </x:c>
      <x:c r="B195" s="17" t="str">
        <x:v>V191</x:v>
      </x:c>
      <x:c r="C195" s="17" t="str">
        <x:v>youtube</x:v>
      </x:c>
      <x:c r="D195" s="17" t="str">
        <x:v>Maya</x:v>
      </x:c>
      <x:c r="E195" s="24" t="str">
        <x:v>Autodesk Maya 2020 Simple head Modeling tutorial from sphere</x:v>
      </x:c>
      <x:c r="F195" s="24" t="str">
        <x:v>https://www.youtube.com/watch?v=1GGuE20pd64</x:v>
      </x:c>
      <x:c r="G195" s="24" t="str">
        <x:v>头脸</x:v>
      </x:c>
      <x:c r="H195" s="24" t="str">
        <x:v>Maya sculpt character head from sphere</x:v>
      </x:c>
      <x:c r="I195" s="24" t="str">
        <x:v>No</x:v>
      </x:c>
      <x:c r="J195" s="24" t="str">
        <x:v>PASS</x:v>
      </x:c>
      <x:c r="K195" s="24" t="str"/>
    </x:row>
    <x:row r="196" ht="36" customHeight="1">
      <x:c r="A196" s="17" t="n">
        <x:v>193</x:v>
      </x:c>
      <x:c r="B196" s="17" t="str">
        <x:v>V192</x:v>
      </x:c>
      <x:c r="C196" s="17" t="str">
        <x:v>bilibili</x:v>
      </x:c>
      <x:c r="D196" s="17" t="str">
        <x:v>3ds Max</x:v>
      </x:c>
      <x:c r="E196" s="24" t="str">
        <x:v>【3DMAX头发制作】入门级头发制作步骤 从拉面片开始教你动漫角色头发建模布线技巧</x:v>
      </x:c>
      <x:c r="F196" s="24" t="str">
        <x:v>http://www.bilibili.com/video/av344466944</x:v>
      </x:c>
      <x:c r="G196" s="24" t="str">
        <x:v>角色-全身</x:v>
      </x:c>
      <x:c r="H196" s="24" t="str">
        <x:v>3ds Max 头发 毛发 雕刻 制作</x:v>
      </x:c>
      <x:c r="I196" s="24" t="str">
        <x:v>No</x:v>
      </x:c>
      <x:c r="J196" s="24" t="str">
        <x:v>PASS</x:v>
      </x:c>
      <x:c r="K196" s="24" t="str"/>
    </x:row>
    <x:row r="197" ht="36" customHeight="1">
      <x:c r="A197" s="17" t="n">
        <x:v>194</x:v>
      </x:c>
      <x:c r="B197" s="17" t="str">
        <x:v>V193</x:v>
      </x:c>
      <x:c r="C197" s="17" t="str">
        <x:v>bilibili</x:v>
      </x:c>
      <x:c r="D197" s="17" t="str">
        <x:v>Maya</x:v>
      </x:c>
      <x:c r="E197" s="24" t="str">
        <x:v>【Maya 小案例】maya制作游戏道具魔法书道具，零基础教程，从制作中模到卡线布线高模制作规范流程，小白必学案例</x:v>
      </x:c>
      <x:c r="F197" s="24" t="str">
        <x:v>http://www.bilibili.com/video/av494728804</x:v>
      </x:c>
      <x:c r="G197" s="24" t="str">
        <x:v>PROP_OBJECT</x:v>
      </x:c>
      <x:c r="H197" s="24" t="str">
        <x:v>Maya 道具 建模 制作</x:v>
      </x:c>
      <x:c r="I197" s="24" t="str">
        <x:v>No</x:v>
      </x:c>
      <x:c r="J197" s="24" t="str">
        <x:v>NORMALIZE</x:v>
      </x:c>
      <x:c r="K197" s="24" t="str">
        <x:v>建议统一为 道具-其他</x:v>
      </x:c>
    </x:row>
    <x:row r="198" ht="36" customHeight="1">
      <x:c r="A198" s="17" t="n">
        <x:v>195</x:v>
      </x:c>
      <x:c r="B198" s="17" t="str">
        <x:v>V194</x:v>
      </x:c>
      <x:c r="C198" s="17" t="str">
        <x:v>bilibili</x:v>
      </x:c>
      <x:c r="D198" s="17" t="str">
        <x:v>Cinema 4D</x:v>
      </x:c>
      <x:c r="E198" s="24" t="str">
        <x:v>【(一个案例学会)C4D创建卡通人物角色建模教程/学会的最简单的人物建模/可爱卡通人物多边形建模】</x:v>
      </x:c>
      <x:c r="F198" s="24" t="str">
        <x:v>http://www.bilibili.com/video/av714797410</x:v>
      </x:c>
      <x:c r="G198" s="24" t="str">
        <x:v>角色-全身</x:v>
      </x:c>
      <x:c r="H198" s="24" t="str">
        <x:v>C4D 卡通 角色 建模 制作</x:v>
      </x:c>
      <x:c r="I198" s="24" t="str">
        <x:v>No</x:v>
      </x:c>
      <x:c r="J198" s="24" t="str">
        <x:v>PASS</x:v>
      </x:c>
      <x:c r="K198" s="24" t="str"/>
    </x:row>
    <x:row r="199" ht="36" customHeight="1">
      <x:c r="A199" s="17" t="n">
        <x:v>196</x:v>
      </x:c>
      <x:c r="B199" s="17" t="str">
        <x:v>V195</x:v>
      </x:c>
      <x:c r="C199" s="17" t="str">
        <x:v>bilibili</x:v>
      </x:c>
      <x:c r="D199" s="17" t="str">
        <x:v>3ds Max</x:v>
      </x:c>
      <x:c r="E199" s="24" t="str">
        <x:v>【3DMAX角色制作】“精品教程”传统手绘模型全流程制作</x:v>
      </x:c>
      <x:c r="F199" s="24" t="str">
        <x:v>http://www.bilibili.com/video/av579250289</x:v>
      </x:c>
      <x:c r="G199" s="24" t="str">
        <x:v>角色-全身</x:v>
      </x:c>
      <x:c r="H199" s="24" t="str">
        <x:v>3ds Max 角色 头部 雕刻 制作</x:v>
      </x:c>
      <x:c r="I199" s="24" t="str">
        <x:v>No</x:v>
      </x:c>
      <x:c r="J199" s="24" t="str">
        <x:v>PASS</x:v>
      </x:c>
      <x:c r="K199" s="24" t="str"/>
    </x:row>
    <x:row r="200" ht="36" customHeight="1">
      <x:c r="A200" s="17" t="n">
        <x:v>197</x:v>
      </x:c>
      <x:c r="B200" s="17" t="str">
        <x:v>V196</x:v>
      </x:c>
      <x:c r="C200" s="17" t="str">
        <x:v>bilibili</x:v>
      </x:c>
      <x:c r="D200" s="17" t="str">
        <x:v>Maya</x:v>
      </x:c>
      <x:c r="E200" s="24" t="str">
        <x:v>【Maya游戏建模】次世代高模，牛角头盔全流程讲解</x:v>
      </x:c>
      <x:c r="F200" s="24" t="str">
        <x:v>http://www.bilibili.com/video/av560846495</x:v>
      </x:c>
      <x:c r="G200" s="24" t="str">
        <x:v>道具-头盔</x:v>
      </x:c>
      <x:c r="H200" s="24" t="str">
        <x:v>Maya 头盔 硬表面 建模</x:v>
      </x:c>
      <x:c r="I200" s="24" t="str">
        <x:v>No</x:v>
      </x:c>
      <x:c r="J200" s="24" t="str">
        <x:v>PASS</x:v>
      </x:c>
      <x:c r="K200" s="24" t="str"/>
    </x:row>
    <x:row r="201" ht="36" customHeight="1">
      <x:c r="A201" s="17" t="n">
        <x:v>198</x:v>
      </x:c>
      <x:c r="B201" s="17" t="str">
        <x:v>V197</x:v>
      </x:c>
      <x:c r="C201" s="17" t="str">
        <x:v>bilibili</x:v>
      </x:c>
      <x:c r="D201" s="17" t="str">
        <x:v>3ds Max</x:v>
      </x:c>
      <x:c r="E201" s="24" t="str">
        <x:v>3ds Max角色制作全流程</x:v>
      </x:c>
      <x:c r="F201" s="24" t="str">
        <x:v>http://www.bilibili.com/video/av572041433</x:v>
      </x:c>
      <x:c r="G201" s="24" t="str">
        <x:v>角色-全身</x:v>
      </x:c>
      <x:c r="H201" s="24" t="str">
        <x:v>3ds Max 生物 角色 雕刻 制作</x:v>
      </x:c>
      <x:c r="I201" s="24" t="str">
        <x:v>No</x:v>
      </x:c>
      <x:c r="J201" s="24" t="str">
        <x:v>PASS</x:v>
      </x:c>
      <x:c r="K201" s="24" t="str"/>
    </x:row>
    <x:row r="202" ht="36" customHeight="1">
      <x:c r="A202" s="17" t="n">
        <x:v>199</x:v>
      </x:c>
      <x:c r="B202" s="17" t="str">
        <x:v>V198</x:v>
      </x:c>
      <x:c r="C202" s="17" t="str">
        <x:v>bilibili</x:v>
      </x:c>
      <x:c r="D202" s="17" t="str">
        <x:v>Maya</x:v>
      </x:c>
      <x:c r="E202" s="24" t="str">
        <x:v>【3D建模】兽人制作过程解析</x:v>
      </x:c>
      <x:c r="F202" s="24" t="str">
        <x:v>http://www.bilibili.com/video/av545589632</x:v>
      </x:c>
      <x:c r="G202" s="24" t="str">
        <x:v>生物</x:v>
      </x:c>
      <x:c r="H202" s="24" t="str">
        <x:v>Maya 兽人 角色 雕刻</x:v>
      </x:c>
      <x:c r="I202" s="24" t="str">
        <x:v>No</x:v>
      </x:c>
      <x:c r="J202" s="24" t="str">
        <x:v>PASS</x:v>
      </x:c>
      <x:c r="K202" s="24" t="str"/>
    </x:row>
    <x:row r="203" ht="36" customHeight="1">
      <x:c r="A203" s="17" t="n">
        <x:v>200</x:v>
      </x:c>
      <x:c r="B203" s="17" t="str">
        <x:v>V199</x:v>
      </x:c>
      <x:c r="C203" s="17" t="str">
        <x:v>bilibili</x:v>
      </x:c>
      <x:c r="D203" s="17" t="str">
        <x:v>ZBrush</x:v>
      </x:c>
      <x:c r="E203" s="24" t="str">
        <x:v>【Zbrush+Blender】福瑞什么的最棒了!狐狸角色part-1 建模和雕刻流程教学</x:v>
      </x:c>
      <x:c r="F203" s="24" t="str">
        <x:v>http://www.bilibili.com/video/av613412301</x:v>
      </x:c>
      <x:c r="G203" s="24" t="str">
        <x:v>角色-全身</x:v>
      </x:c>
      <x:c r="H203" s="24" t="str">
        <x:v>Blender 兽人 角色 雕刻</x:v>
      </x:c>
      <x:c r="I203" s="24" t="str">
        <x:v>No</x:v>
      </x:c>
      <x:c r="J203" s="24" t="str">
        <x:v>PASS</x:v>
      </x:c>
      <x:c r="K203" s="24" t="str"/>
    </x:row>
    <x:row r="204" ht="36" customHeight="1">
      <x:c r="A204" s="18" t="n">
        <x:v>201</x:v>
      </x:c>
      <x:c r="B204" s="18" t="str">
        <x:v>V200</x:v>
      </x:c>
      <x:c r="C204" s="18" t="str">
        <x:v>bilibili</x:v>
      </x:c>
      <x:c r="D204" s="18" t="str">
        <x:v>ZBrush</x:v>
      </x:c>
      <x:c r="E204" s="25" t="str">
        <x:v>【zbrush雕刻】zbrush建模教程来了 十年建模大佬手把手带你学zb zbrush魔兽世界兽人模型建模制作教程！</x:v>
      </x:c>
      <x:c r="F204" s="25" t="str">
        <x:v>http://www.bilibili.com/video/av748397375</x:v>
      </x:c>
      <x:c r="G204" s="25" t="str">
        <x:v>生物</x:v>
      </x:c>
      <x:c r="H204" s="25" t="str">
        <x:v>ZBrush 兽人 角色 雕刻</x:v>
      </x:c>
      <x:c r="I204" s="25" t="str">
        <x:v>No</x:v>
      </x:c>
      <x:c r="J204" s="25" t="str">
        <x:v>PASS</x:v>
      </x:c>
      <x:c r="K204" s="25" t="str"/>
    </x:row>
  </x:sheetData>
  <x:mergeCells>
    <x:mergeCell ref="A1:K1"/>
    <x:mergeCell ref="A2:K2"/>
  </x:mergeCells>
  <x:conditionalFormatting sqref="I5:I204">
    <x:cfRule type="containsText" dxfId="0" priority="1" operator="containsText" text="Yes"/>
  </x:conditionalFormatting>
  <x:conditionalFormatting sqref="J5:J204">
    <x:cfRule type="containsText" dxfId="1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589f30e1c6cc49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66" hidden="0" customWidth="1"/>
    <x:col min="6" max="6" width="46" hidden="0" customWidth="1"/>
    <x:col min="7" max="7" width="34" hidden="0" customWidth="1"/>
    <x:col min="8" max="8" width="22" hidden="0" customWidth="1"/>
    <x:col min="9" max="9" width="16" hidden="0" customWidth="1"/>
    <x:col min="10" max="10" width="20" hidden="0" customWidth="1"/>
    <x:col min="11" max="11" width="45" hidden="0" customWidth="1"/>
  </x:cols>
  <x:sheetData>
    <x:row r="1" ht="30" customHeight="1">
      <x:c r="A1" s="3" t="str">
        <x:v>首轮 Pilot：6 条视频</x:v>
      </x:c>
    </x:row>
    <x:row r="2" ht="32" customHeight="1">
      <x:c r="A2" s="7" t="str">
        <x:v>先做可访问性/时长/剪辑方式筛查；不合格时从 Video_Index_200 中按同软件和相近对象替换。</x:v>
      </x:c>
    </x:row>
    <x:row r="4" ht="32" customHeight="1">
      <x:c r="A4" s="16" t="str">
        <x:v>video_id</x:v>
      </x:c>
      <x:c r="B4" s="16" t="str">
        <x:v>platform</x:v>
      </x:c>
      <x:c r="C4" s="16" t="str">
        <x:v>software</x:v>
      </x:c>
      <x:c r="D4" s="16" t="str">
        <x:v>content_object</x:v>
      </x:c>
      <x:c r="E4" s="16" t="str">
        <x:v>title</x:v>
      </x:c>
      <x:c r="F4" s="16" t="str">
        <x:v>url</x:v>
      </x:c>
      <x:c r="G4" s="16" t="str">
        <x:v>selection_reason</x:v>
      </x:c>
      <x:c r="H4" s="16" t="str">
        <x:v>feasibility_status</x:v>
      </x:c>
      <x:c r="I4" s="16" t="str">
        <x:v>coders</x:v>
      </x:c>
      <x:c r="J4" s="16" t="str">
        <x:v>target_episodes</x:v>
      </x:c>
      <x:c r="K4" s="16" t="str">
        <x:v>screening_note</x:v>
      </x:c>
    </x:row>
    <x:row r="5" ht="42" customHeight="1">
      <x:c r="A5" s="17" t="str">
        <x:v>V001</x:v>
      </x:c>
      <x:c r="B5" s="17" t="str">
        <x:v>bilibili</x:v>
      </x:c>
      <x:c r="C5" s="17" t="str">
        <x:v>Maya</x:v>
      </x:c>
      <x:c r="D5" s="17" t="str">
        <x:v>头脸</x:v>
      </x:c>
      <x:c r="E5" s="24" t="str">
        <x:v>【MAYA人头建模】人物五官布线详细建模教程，100%成功角色头部布线方法（眼睛，鼻子，嘴巴，耳朵MAYA零基础五官布线建模教学）</x:v>
      </x:c>
      <x:c r="F5" s="24" t="str">
        <x:v>http://www.bilibili.com/video/av998707807</x:v>
      </x:c>
      <x:c r="G5" s="24" t="str">
        <x:v>头脸；Maya；Bilibili</x:v>
      </x:c>
      <x:c r="H5" s="24" t="str">
        <x:v>Needs check</x:v>
      </x:c>
      <x:c r="I5" s="24" t="str">
        <x:v>A;B;C</x:v>
      </x:c>
      <x:c r="J5" s="24" t="str">
        <x:v>8–12</x:v>
      </x:c>
      <x:c r="K5" s="24" t="str">
        <x:v>检查访问、操作可见性、连续性和时长</x:v>
      </x:c>
    </x:row>
    <x:row r="6" ht="42" customHeight="1">
      <x:c r="A6" s="17" t="str">
        <x:v>V009</x:v>
      </x:c>
      <x:c r="B6" s="17" t="str">
        <x:v>bilibili</x:v>
      </x:c>
      <x:c r="C6" s="17" t="str">
        <x:v>ZBrush</x:v>
      </x:c>
      <x:c r="D6" s="17" t="str">
        <x:v>生物</x:v>
      </x:c>
      <x:c r="E6" s="24" t="str">
        <x:v>生物模型制作全流程，如何快速掌握雕刻技巧？zbrush怪物角色雕刻</x:v>
      </x:c>
      <x:c r="F6" s="24" t="str">
        <x:v>http://www.bilibili.com/video/av116611197438124</x:v>
      </x:c>
      <x:c r="G6" s="24" t="str">
        <x:v>生物；ZBrush；Bilibili</x:v>
      </x:c>
      <x:c r="H6" s="24" t="str">
        <x:v>Needs check</x:v>
      </x:c>
      <x:c r="I6" s="24" t="str">
        <x:v>A;B;C</x:v>
      </x:c>
      <x:c r="J6" s="24" t="str">
        <x:v>8–12</x:v>
      </x:c>
      <x:c r="K6" s="24" t="str">
        <x:v>检查访问、操作可见性、连续性和时长</x:v>
      </x:c>
    </x:row>
    <x:row r="7" ht="42" customHeight="1">
      <x:c r="A7" s="17" t="str">
        <x:v>V010</x:v>
      </x:c>
      <x:c r="B7" s="17" t="str">
        <x:v>bilibili</x:v>
      </x:c>
      <x:c r="C7" s="17" t="str">
        <x:v>3ds Max</x:v>
      </x:c>
      <x:c r="D7" s="17" t="str">
        <x:v>道具-武器</x:v>
      </x:c>
      <x:c r="E7" s="24" t="str">
        <x:v>【3dmax武器建模】原神-剑建模全流程制作，适合初学者的3dmax入门案例！</x:v>
      </x:c>
      <x:c r="F7" s="24" t="str">
        <x:v>http://www.bilibili.com/video/av115263500453295</x:v>
      </x:c>
      <x:c r="G7" s="24" t="str">
        <x:v>武器；3ds Max；Bilibili</x:v>
      </x:c>
      <x:c r="H7" s="24" t="str">
        <x:v>Needs check</x:v>
      </x:c>
      <x:c r="I7" s="24" t="str">
        <x:v>A;B;C</x:v>
      </x:c>
      <x:c r="J7" s="24" t="str">
        <x:v>8–12</x:v>
      </x:c>
      <x:c r="K7" s="24" t="str">
        <x:v>检查访问、操作可见性、连续性和时长</x:v>
      </x:c>
    </x:row>
    <x:row r="8" ht="42" customHeight="1">
      <x:c r="A8" s="17" t="str">
        <x:v>V016</x:v>
      </x:c>
      <x:c r="B8" s="17" t="str">
        <x:v>youtube</x:v>
      </x:c>
      <x:c r="C8" s="17" t="str">
        <x:v>Nomad Sculpt</x:v>
      </x:c>
      <x:c r="D8" s="17" t="str">
        <x:v>角色-部分</x:v>
      </x:c>
      <x:c r="E8" s="24" t="str">
        <x:v>NOMAD SCULPT | SCULPTING CLOTHING | Part III: Folds &amp; Creases</x:v>
      </x:c>
      <x:c r="F8" s="24" t="str">
        <x:v>https://www.youtube.com/watch?v=jSscw3gjVI8</x:v>
      </x:c>
      <x:c r="G8" s="24" t="str">
        <x:v>角色局部；Nomad；YouTube</x:v>
      </x:c>
      <x:c r="H8" s="24" t="str">
        <x:v>Needs check</x:v>
      </x:c>
      <x:c r="I8" s="24" t="str">
        <x:v>A;B;C</x:v>
      </x:c>
      <x:c r="J8" s="24" t="str">
        <x:v>8–12</x:v>
      </x:c>
      <x:c r="K8" s="24" t="str">
        <x:v>检查访问、操作可见性、连续性和时长</x:v>
      </x:c>
    </x:row>
    <x:row r="9" ht="42" customHeight="1">
      <x:c r="A9" s="17" t="str">
        <x:v>V061</x:v>
      </x:c>
      <x:c r="B9" s="17" t="str">
        <x:v>youtube</x:v>
      </x:c>
      <x:c r="C9" s="17" t="str">
        <x:v>Blender</x:v>
      </x:c>
      <x:c r="D9" s="17" t="str">
        <x:v>道具-自然</x:v>
      </x:c>
      <x:c r="E9" s="24" t="str">
        <x:v>How to Create Low Poly Rocks in 1 Minute</x:v>
      </x:c>
      <x:c r="F9" s="24" t="str">
        <x:v>https://www.youtube.com/watch?v=4EqLyGsu3AA</x:v>
      </x:c>
      <x:c r="G9" s="24" t="str">
        <x:v>自然道具；Blender；YouTube</x:v>
      </x:c>
      <x:c r="H9" s="24" t="str">
        <x:v>Needs check</x:v>
      </x:c>
      <x:c r="I9" s="24" t="str">
        <x:v>A;B;C</x:v>
      </x:c>
      <x:c r="J9" s="24" t="str">
        <x:v>8–12</x:v>
      </x:c>
      <x:c r="K9" s="24" t="str">
        <x:v>检查访问、操作可见性、连续性和时长</x:v>
      </x:c>
    </x:row>
    <x:row r="10" ht="42" customHeight="1">
      <x:c r="A10" s="18" t="str">
        <x:v>V137</x:v>
      </x:c>
      <x:c r="B10" s="18" t="str">
        <x:v>youtube</x:v>
      </x:c>
      <x:c r="C10" s="18" t="str">
        <x:v>Cinema 4D</x:v>
      </x:c>
      <x:c r="D10" s="18" t="str">
        <x:v>PROP_OBJECT</x:v>
      </x:c>
      <x:c r="E10" s="25" t="str">
        <x:v>Modeling Game Props in Mid Poly Workflow | 01 | Cinema 4D</x:v>
      </x:c>
      <x:c r="F10" s="25" t="str">
        <x:v>https://www.youtube.com/watch?v=gTV6vJZRVX4</x:v>
      </x:c>
      <x:c r="G10" s="25" t="str">
        <x:v>一般道具；Cinema 4D；YouTube</x:v>
      </x:c>
      <x:c r="H10" s="25" t="str">
        <x:v>Needs check</x:v>
      </x:c>
      <x:c r="I10" s="25" t="str">
        <x:v>A;B;C</x:v>
      </x:c>
      <x:c r="J10" s="25" t="str">
        <x:v>8–12</x:v>
      </x:c>
      <x:c r="K10" s="25" t="str">
        <x:v>检查访问、操作可见性、连续性和时长</x:v>
      </x:c>
    </x:row>
  </x:sheetData>
  <x:mergeCells>
    <x:mergeCell ref="A1:K1"/>
    <x:mergeCell ref="A2:K2"/>
  </x:mergeCells>
  <x:dataValidations count="1">
    <x:dataValidation type="list" sqref="H5:H10">
      <x:formula1>"Needs check,Eligible,Replace,Completed"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47aa80b93544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8" hidden="0" customWidth="1"/>
    <x:col min="3" max="3" width="62" hidden="0" customWidth="1"/>
    <x:col min="4" max="4" width="30" hidden="0" customWidth="1"/>
    <x:col min="5" max="5" width="32" hidden="0" customWidth="1"/>
  </x:cols>
  <x:sheetData>
    <x:row r="1" ht="30" customHeight="1">
      <x:c r="A1" s="3" t="str">
        <x:v>最小 Taxonomy 与判定规则</x:v>
      </x:c>
    </x:row>
    <x:row r="2" ht="32" customHeight="1">
      <x:c r="A2" s="7" t="str">
        <x:v>只保留能支持前端 episode 检索、意图假设与修复学习的字段。unknown 是合法值，不要猜。</x:v>
      </x:c>
    </x:row>
    <x:row r="4" ht="32" customHeight="1">
      <x:c r="A4" s="16" t="str">
        <x:v>field</x:v>
      </x:c>
      <x:c r="B4" s="16" t="str">
        <x:v>how_to_label</x:v>
      </x:c>
      <x:c r="C4" s="16" t="str">
        <x:v>allowed_value_or_example</x:v>
      </x:c>
      <x:c r="D4" s="16" t="str">
        <x:v>case_library_role</x:v>
      </x:c>
      <x:c r="E4" s="16" t="str">
        <x:v>responsibility</x:v>
      </x:c>
    </x:row>
    <x:row r="5" ht="48" customHeight="1">
      <x:c r="A5" s="24" t="str">
        <x:v>episode_id</x:v>
      </x:c>
      <x:c r="B5" s="24" t="str">
        <x:v>同一视频中的连续意图片段 ID；A/B/C 对相同片段尽量共用</x:v>
      </x:c>
      <x:c r="C5" s="24" t="str">
        <x:v>E_&lt;video&gt;_&lt;序号&gt;</x:v>
      </x:c>
      <x:c r="D5" s="24" t="str">
        <x:v>边界先于语义</x:v>
      </x:c>
      <x:c r="E5" s="24" t="str">
        <x:v>人工</x:v>
      </x:c>
    </x:row>
    <x:row r="6" ht="48" customHeight="1">
      <x:c r="A6" s="24" t="str">
        <x:v>observable_action_sequence</x:v>
      </x:c>
      <x:c r="B6" s="24" t="str">
        <x:v>按时间写可见动作，不写目的</x:v>
      </x:c>
      <x:c r="C6" s="24" t="str">
        <x:v>select; scale; orbit; scale</x:v>
      </x:c>
      <x:c r="D6" s="24" t="str">
        <x:v>检索输入</x:v>
      </x:c>
      <x:c r="E6" s="24" t="str">
        <x:v>VLM预标+人工复核</x:v>
      </x:c>
    </x:row>
    <x:row r="7" ht="48" customHeight="1">
      <x:c r="A7" s="24" t="str">
        <x:v>target</x:v>
      </x:c>
      <x:c r="B7" s="24" t="str">
        <x:v>被操作对象/部件；不知道写 unknown</x:v>
      </x:c>
      <x:c r="C7" s="24" t="str">
        <x:v>left_wing / face_12 / whole_model / unknown</x:v>
      </x:c>
      <x:c r="D7" s="24" t="str">
        <x:v>检索输入</x:v>
      </x:c>
      <x:c r="E7" s="24" t="str">
        <x:v>VLM预标+人工复核</x:v>
      </x:c>
    </x:row>
    <x:row r="8" ht="48" customHeight="1">
      <x:c r="A8" s="24" t="str">
        <x:v>scene_change</x:v>
      </x:c>
      <x:c r="B8" s="24" t="str">
        <x:v>操作前后可观察状态差异；没有则写 no_visible_change</x:v>
      </x:c>
      <x:c r="C8" s="24" t="str">
        <x:v>wing_width:+8%; topology unchanged</x:v>
      </x:c>
      <x:c r="D8" s="24" t="str">
        <x:v>检索输入/结果证据</x:v>
      </x:c>
      <x:c r="E8" s="24" t="str">
        <x:v>VLM预标+人工复核</x:v>
      </x:c>
    </x:row>
    <x:row r="9" ht="48" customHeight="1">
      <x:c r="A9" s="24" t="str">
        <x:v>goal</x:v>
      </x:c>
      <x:c r="B9" s="24" t="str">
        <x:v>当前阶段目标，不写具体鼠标动作</x:v>
      </x:c>
      <x:c r="C9" s="24" t="str">
        <x:v>explore / construct / refine / compare / repair / commit / unknown</x:v>
      </x:c>
      <x:c r="D9" s="24" t="str">
        <x:v>预测目标</x:v>
      </x:c>
      <x:c r="E9" s="24" t="str">
        <x:v>人工复核</x:v>
      </x:c>
    </x:row>
    <x:row r="10" ht="48" customHeight="1">
      <x:c r="A10" s="24" t="str">
        <x:v>desired_effect</x:v>
      </x:c>
      <x:c r="B10" s="24" t="str">
        <x:v>对象应变成什么状态，用动词+属性描述</x:v>
      </x:c>
      <x:c r="C10" s="24" t="str">
        <x:v>increase wing width while keeping attachment</x:v>
      </x:c>
      <x:c r="D10" s="24" t="str">
        <x:v>预测目标</x:v>
      </x:c>
      <x:c r="E10" s="24" t="str">
        <x:v>人工；叙述/任务优先</x:v>
      </x:c>
    </x:row>
    <x:row r="11" ht="48" customHeight="1">
      <x:c r="A11" s="24" t="str">
        <x:v>interaction_function</x:v>
      </x:c>
      <x:c r="B11" s="24" t="str">
        <x:v>这段操作发挥什么作用</x:v>
      </x:c>
      <x:c r="C11" s="24" t="str">
        <x:v>epistemic / pragmatic / communicative / repair / mixed / unknown</x:v>
      </x:c>
      <x:c r="D11" s="24" t="str">
        <x:v>状态预测</x:v>
      </x:c>
      <x:c r="E11" s="24" t="str">
        <x:v>人工复核</x:v>
      </x:c>
    </x:row>
    <x:row r="12" ht="48" customHeight="1">
      <x:c r="A12" s="24" t="str">
        <x:v>preserve_constraint</x:v>
      </x:c>
      <x:c r="B12" s="24" t="str">
        <x:v>意图中不能被改变的内容；无证据写 unknown</x:v>
      </x:c>
      <x:c r="C12" s="24" t="str">
        <x:v>keep attachment / preserve symmetry / unknown</x:v>
      </x:c>
      <x:c r="D12" s="24" t="str">
        <x:v>安全与接管</x:v>
      </x:c>
      <x:c r="E12" s="24" t="str">
        <x:v>参与者/任务证据优先</x:v>
      </x:c>
    </x:row>
    <x:row r="13" ht="48" customHeight="1">
      <x:c r="A13" s="24" t="str">
        <x:v>alternative_intent</x:v>
      </x:c>
      <x:c r="B13" s="24" t="str">
        <x:v>同一动作的第二合理解释；必须具体</x:v>
      </x:c>
      <x:c r="C13" s="24" t="str">
        <x:v>inspect connection rather than resize</x:v>
      </x:c>
      <x:c r="D13" s="24" t="str">
        <x:v>防止单标签过拟合</x:v>
      </x:c>
      <x:c r="E13" s="24" t="str">
        <x:v>人工/VLM提议</x:v>
      </x:c>
    </x:row>
    <x:row r="14" ht="48" customHeight="1">
      <x:c r="A14" s="24" t="str">
        <x:v>confidence</x:v>
      </x:c>
      <x:c r="B14" s="24" t="str">
        <x:v>对主意图解释的置信，0–1；不是执行权限</x:v>
      </x:c>
      <x:c r="C14" s="24" t="n">
        <x:v>0.7</x:v>
      </x:c>
      <x:c r="D14" s="24" t="str">
        <x:v>排序/复核</x:v>
      </x:c>
      <x:c r="E14" s="24" t="str">
        <x:v>编码者</x:v>
      </x:c>
    </x:row>
    <x:row r="15" ht="48" customHeight="1">
      <x:c r="A15" s="24" t="str">
        <x:v>outcome_repair</x:v>
      </x:c>
      <x:c r="B15" s="24" t="str">
        <x:v>片段后结果；只标观察到的状态</x:v>
      </x:c>
      <x:c r="C15" s="24" t="str">
        <x:v>accepted / adjusted / undone / rejected / unresolved</x:v>
      </x:c>
      <x:c r="D15" s="24" t="str">
        <x:v>案例角色与保留</x:v>
      </x:c>
      <x:c r="E15" s="24" t="str">
        <x:v>日志+人工</x:v>
      </x:c>
    </x:row>
    <x:row r="16" ht="48" customHeight="1">
      <x:c r="A16" s="24" t="str">
        <x:v>evidence_note</x:v>
      </x:c>
      <x:c r="B16" s="24" t="str">
        <x:v>支撑意图的画面/字幕/前后状态；写时间点</x:v>
      </x:c>
      <x:c r="C16" s="24" t="str">
        <x:v>00:42 tool card + selected face + shape change</x:v>
      </x:c>
      <x:c r="D16" s="24" t="str">
        <x:v>可审计性</x:v>
      </x:c>
      <x:c r="E16" s="24" t="str">
        <x:v>人工</x:v>
      </x:c>
    </x:row>
    <x:row r="17" ht="48" customHeight="1">
      <x:c r="A17" s="25" t="str">
        <x:v>provenance</x:v>
      </x:c>
      <x:c r="B17" s="25" t="str">
        <x:v>该意图字段来自哪里</x:v>
      </x:c>
      <x:c r="C17" s="25" t="str">
        <x:v>tutorial_visual / tutorial_narration / vlm_prelabel / human_coded / creator_recalled / task_ground_truth</x:v>
      </x:c>
      <x:c r="D17" s="25" t="str">
        <x:v>证据等级</x:v>
      </x:c>
      <x:c r="E17" s="25" t="str">
        <x:v>自动+人工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656bdb62f7045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8" hidden="0" customWidth="1"/>
    <x:col min="9" max="9" width="28" hidden="0" customWidth="1"/>
    <x:col min="10" max="10" width="42" hidden="0" customWidth="1"/>
    <x:col min="11" max="11" width="18" hidden="0" customWidth="1"/>
    <x:col min="12" max="12" width="48" hidden="0" customWidth="1"/>
    <x:col min="13" max="13" width="24" hidden="0" customWidth="1"/>
    <x:col min="14" max="14" width="40" hidden="0" customWidth="1"/>
    <x:col min="15" max="15" width="46" hidden="0" customWidth="1"/>
    <x:col min="16" max="16" width="16" hidden="0" customWidth="1"/>
    <x:col min="17" max="17" width="22" hidden="0" customWidth="1"/>
    <x:col min="18" max="18" width="52" hidden="0" customWidth="1"/>
    <x:col min="19" max="19" width="28" hidden="0" customWidth="1"/>
    <x:col min="20" max="20" width="18" hidden="0" customWidth="1"/>
  </x:cols>
  <x:sheetData>
    <x:row r="1" ht="30" customHeight="1">
      <x:c r="A1" s="3" t="str">
        <x:v>连续 Episode 标注表</x:v>
      </x:c>
    </x:row>
    <x:row r="2" ht="32" customHeight="1">
      <x:c r="A2" s="7" t="str">
        <x:v>每行是“一位编码者对一个连续 episode 的判断”。不要把每个点击拆成一行；annotation_id 唯一，episode_id 用于对齐多名编码者。</x:v>
      </x:c>
    </x:row>
    <x:row r="4" ht="32" customHeight="1">
      <x:c r="A4" s="16" t="str">
        <x:v>annotation_id</x:v>
      </x:c>
      <x:c r="B4" s="16" t="str">
        <x:v>episode_id</x:v>
      </x:c>
      <x:c r="C4" s="16" t="str">
        <x:v>video_id</x:v>
      </x:c>
      <x:c r="D4" s="16" t="str">
        <x:v>coder_id</x:v>
      </x:c>
      <x:c r="E4" s="16" t="str">
        <x:v>start_s</x:v>
      </x:c>
      <x:c r="F4" s="16" t="str">
        <x:v>end_s</x:v>
      </x:c>
      <x:c r="G4" s="16" t="str">
        <x:v>duration_s</x:v>
      </x:c>
      <x:c r="H4" s="16" t="str">
        <x:v>observable_action_sequence</x:v>
      </x:c>
      <x:c r="I4" s="16" t="str">
        <x:v>target</x:v>
      </x:c>
      <x:c r="J4" s="16" t="str">
        <x:v>scene_change</x:v>
      </x:c>
      <x:c r="K4" s="16" t="str">
        <x:v>goal</x:v>
      </x:c>
      <x:c r="L4" s="16" t="str">
        <x:v>desired_effect</x:v>
      </x:c>
      <x:c r="M4" s="16" t="str">
        <x:v>interaction_function</x:v>
      </x:c>
      <x:c r="N4" s="16" t="str">
        <x:v>preserve_constraint</x:v>
      </x:c>
      <x:c r="O4" s="16" t="str">
        <x:v>alternative_intent</x:v>
      </x:c>
      <x:c r="P4" s="16" t="str">
        <x:v>confidence</x:v>
      </x:c>
      <x:c r="Q4" s="16" t="str">
        <x:v>outcome_repair</x:v>
      </x:c>
      <x:c r="R4" s="16" t="str">
        <x:v>evidence_note</x:v>
      </x:c>
      <x:c r="S4" s="16" t="str">
        <x:v>provenance</x:v>
      </x:c>
      <x:c r="T4" s="16" t="str">
        <x:v>QA_status</x:v>
      </x:c>
    </x:row>
    <x:row r="5" ht="42" customHeight="1">
      <x:c r="A5" s="17" t="str"/>
      <x:c r="B5" s="17" t="str"/>
      <x:c r="C5" s="17" t="str"/>
      <x:c r="D5" s="17" t="str"/>
      <x:c r="E5" s="26" t="str"/>
      <x:c r="F5" s="26" t="str"/>
      <x:c r="G5" s="26" t="str">
        <x:f>IF(OR(E5="",F5=""),"",F5-E5)</x:f>
      </x:c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30" t="str"/>
      <x:c r="Q5" s="24" t="str"/>
      <x:c r="R5" s="24" t="str"/>
      <x:c r="S5" s="24" t="str"/>
      <x:c r="T5" s="24" t="str">
        <x:f>IF(AND(A5="",B5="",C5="",D5="",E5="",F5="",H5="",I5="",J5="",K5="",L5="",M5="",N5="",O5="",P5="",Q5="",R5="",S5=""),"",IF(OR(A5="",B5="",C5="",D5="",E5="",F5="",F5&lt;=E5,H5="",I5="",J5="",K5="",L5="",M5="",N5="",O5="",P5="",Q5="",R5="",S5=""),"REVIEW","READY"))</x:f>
      </x:c>
    </x:row>
    <x:row r="6" ht="42" customHeight="1">
      <x:c r="A6" s="17" t="str"/>
      <x:c r="B6" s="17" t="str"/>
      <x:c r="C6" s="17" t="str"/>
      <x:c r="D6" s="17" t="str"/>
      <x:c r="E6" s="26" t="str"/>
      <x:c r="F6" s="26" t="str"/>
      <x:c r="G6" s="26" t="str">
        <x:f>IF(OR(E6="",F6=""),"",F6-E6)</x:f>
      </x:c>
      <x:c r="H6" s="24" t="str"/>
      <x:c r="I6" s="24" t="str"/>
      <x:c r="J6" s="24" t="str"/>
      <x:c r="K6" s="24" t="str"/>
      <x:c r="L6" s="24" t="str"/>
      <x:c r="M6" s="24" t="str"/>
      <x:c r="N6" s="24" t="str"/>
      <x:c r="O6" s="24" t="str"/>
      <x:c r="P6" s="30" t="str"/>
      <x:c r="Q6" s="24" t="str"/>
      <x:c r="R6" s="24" t="str"/>
      <x:c r="S6" s="24" t="str"/>
      <x:c r="T6" s="24" t="str">
        <x:f>IF(AND(A6="",B6="",C6="",D6="",E6="",F6="",H6="",I6="",J6="",K6="",L6="",M6="",N6="",O6="",P6="",Q6="",R6="",S6=""),"",IF(OR(A6="",B6="",C6="",D6="",E6="",F6="",F6&lt;=E6,H6="",I6="",J6="",K6="",L6="",M6="",N6="",O6="",P6="",Q6="",R6="",S6=""),"REVIEW","READY"))</x:f>
      </x:c>
    </x:row>
    <x:row r="7" ht="42" customHeight="1">
      <x:c r="A7" s="17" t="str"/>
      <x:c r="B7" s="17" t="str"/>
      <x:c r="C7" s="17" t="str"/>
      <x:c r="D7" s="17" t="str"/>
      <x:c r="E7" s="26" t="str"/>
      <x:c r="F7" s="26" t="str"/>
      <x:c r="G7" s="26" t="str">
        <x:f>IF(OR(E7="",F7=""),"",F7-E7)</x:f>
      </x:c>
      <x:c r="H7" s="24" t="str"/>
      <x:c r="I7" s="24" t="str"/>
      <x:c r="J7" s="24" t="str"/>
      <x:c r="K7" s="24" t="str"/>
      <x:c r="L7" s="24" t="str"/>
      <x:c r="M7" s="24" t="str"/>
      <x:c r="N7" s="24" t="str"/>
      <x:c r="O7" s="24" t="str"/>
      <x:c r="P7" s="30" t="str"/>
      <x:c r="Q7" s="24" t="str"/>
      <x:c r="R7" s="24" t="str"/>
      <x:c r="S7" s="24" t="str"/>
      <x:c r="T7" s="24" t="str">
        <x:f>IF(AND(A7="",B7="",C7="",D7="",E7="",F7="",H7="",I7="",J7="",K7="",L7="",M7="",N7="",O7="",P7="",Q7="",R7="",S7=""),"",IF(OR(A7="",B7="",C7="",D7="",E7="",F7="",F7&lt;=E7,H7="",I7="",J7="",K7="",L7="",M7="",N7="",O7="",P7="",Q7="",R7="",S7=""),"REVIEW","READY"))</x:f>
      </x:c>
    </x:row>
    <x:row r="8" ht="42" customHeight="1">
      <x:c r="A8" s="17" t="str"/>
      <x:c r="B8" s="17" t="str"/>
      <x:c r="C8" s="17" t="str"/>
      <x:c r="D8" s="17" t="str"/>
      <x:c r="E8" s="26" t="str"/>
      <x:c r="F8" s="26" t="str"/>
      <x:c r="G8" s="26" t="str">
        <x:f>IF(OR(E8="",F8=""),"",F8-E8)</x:f>
      </x:c>
      <x:c r="H8" s="24" t="str"/>
      <x:c r="I8" s="24" t="str"/>
      <x:c r="J8" s="24" t="str"/>
      <x:c r="K8" s="24" t="str"/>
      <x:c r="L8" s="24" t="str"/>
      <x:c r="M8" s="24" t="str"/>
      <x:c r="N8" s="24" t="str"/>
      <x:c r="O8" s="24" t="str"/>
      <x:c r="P8" s="30" t="str"/>
      <x:c r="Q8" s="24" t="str"/>
      <x:c r="R8" s="24" t="str"/>
      <x:c r="S8" s="24" t="str"/>
      <x:c r="T8" s="24" t="str">
        <x:f>IF(AND(A8="",B8="",C8="",D8="",E8="",F8="",H8="",I8="",J8="",K8="",L8="",M8="",N8="",O8="",P8="",Q8="",R8="",S8=""),"",IF(OR(A8="",B8="",C8="",D8="",E8="",F8="",F8&lt;=E8,H8="",I8="",J8="",K8="",L8="",M8="",N8="",O8="",P8="",Q8="",R8="",S8=""),"REVIEW","READY"))</x:f>
      </x:c>
    </x:row>
    <x:row r="9" ht="42" customHeight="1">
      <x:c r="A9" s="17" t="str"/>
      <x:c r="B9" s="17" t="str"/>
      <x:c r="C9" s="17" t="str"/>
      <x:c r="D9" s="17" t="str"/>
      <x:c r="E9" s="26" t="str"/>
      <x:c r="F9" s="26" t="str"/>
      <x:c r="G9" s="26" t="str">
        <x:f>IF(OR(E9="",F9=""),"",F9-E9)</x:f>
      </x:c>
      <x:c r="H9" s="24" t="str"/>
      <x:c r="I9" s="24" t="str"/>
      <x:c r="J9" s="24" t="str"/>
      <x:c r="K9" s="24" t="str"/>
      <x:c r="L9" s="24" t="str"/>
      <x:c r="M9" s="24" t="str"/>
      <x:c r="N9" s="24" t="str"/>
      <x:c r="O9" s="24" t="str"/>
      <x:c r="P9" s="30" t="str"/>
      <x:c r="Q9" s="24" t="str"/>
      <x:c r="R9" s="24" t="str"/>
      <x:c r="S9" s="24" t="str"/>
      <x:c r="T9" s="24" t="str">
        <x:f>IF(AND(A9="",B9="",C9="",D9="",E9="",F9="",H9="",I9="",J9="",K9="",L9="",M9="",N9="",O9="",P9="",Q9="",R9="",S9=""),"",IF(OR(A9="",B9="",C9="",D9="",E9="",F9="",F9&lt;=E9,H9="",I9="",J9="",K9="",L9="",M9="",N9="",O9="",P9="",Q9="",R9="",S9=""),"REVIEW","READY"))</x:f>
      </x:c>
    </x:row>
    <x:row r="10" ht="42" customHeight="1">
      <x:c r="A10" s="17" t="str"/>
      <x:c r="B10" s="17" t="str"/>
      <x:c r="C10" s="17" t="str"/>
      <x:c r="D10" s="17" t="str"/>
      <x:c r="E10" s="26" t="str"/>
      <x:c r="F10" s="26" t="str"/>
      <x:c r="G10" s="26" t="str">
        <x:f>IF(OR(E10="",F10=""),"",F10-E10)</x:f>
      </x:c>
      <x:c r="H10" s="24" t="str"/>
      <x:c r="I10" s="24" t="str"/>
      <x:c r="J10" s="24" t="str"/>
      <x:c r="K10" s="24" t="str"/>
      <x:c r="L10" s="24" t="str"/>
      <x:c r="M10" s="24" t="str"/>
      <x:c r="N10" s="24" t="str"/>
      <x:c r="O10" s="24" t="str"/>
      <x:c r="P10" s="30" t="str"/>
      <x:c r="Q10" s="24" t="str"/>
      <x:c r="R10" s="24" t="str"/>
      <x:c r="S10" s="24" t="str"/>
      <x:c r="T10" s="24" t="str">
        <x:f>IF(AND(A10="",B10="",C10="",D10="",E10="",F10="",H10="",I10="",J10="",K10="",L10="",M10="",N10="",O10="",P10="",Q10="",R10="",S10=""),"",IF(OR(A10="",B10="",C10="",D10="",E10="",F10="",F10&lt;=E10,H10="",I10="",J10="",K10="",L10="",M10="",N10="",O10="",P10="",Q10="",R10="",S10=""),"REVIEW","READY"))</x:f>
      </x:c>
    </x:row>
    <x:row r="11" ht="42" customHeight="1">
      <x:c r="A11" s="17" t="str"/>
      <x:c r="B11" s="17" t="str"/>
      <x:c r="C11" s="17" t="str"/>
      <x:c r="D11" s="17" t="str"/>
      <x:c r="E11" s="26" t="str"/>
      <x:c r="F11" s="26" t="str"/>
      <x:c r="G11" s="26" t="str">
        <x:f>IF(OR(E11="",F11=""),"",F11-E11)</x:f>
      </x:c>
      <x:c r="H11" s="24" t="str"/>
      <x:c r="I11" s="24" t="str"/>
      <x:c r="J11" s="24" t="str"/>
      <x:c r="K11" s="24" t="str"/>
      <x:c r="L11" s="24" t="str"/>
      <x:c r="M11" s="24" t="str"/>
      <x:c r="N11" s="24" t="str"/>
      <x:c r="O11" s="24" t="str"/>
      <x:c r="P11" s="30" t="str"/>
      <x:c r="Q11" s="24" t="str"/>
      <x:c r="R11" s="24" t="str"/>
      <x:c r="S11" s="24" t="str"/>
      <x:c r="T11" s="24" t="str">
        <x:f>IF(AND(A11="",B11="",C11="",D11="",E11="",F11="",H11="",I11="",J11="",K11="",L11="",M11="",N11="",O11="",P11="",Q11="",R11="",S11=""),"",IF(OR(A11="",B11="",C11="",D11="",E11="",F11="",F11&lt;=E11,H11="",I11="",J11="",K11="",L11="",M11="",N11="",O11="",P11="",Q11="",R11="",S11=""),"REVIEW","READY"))</x:f>
      </x:c>
    </x:row>
    <x:row r="12" ht="42" customHeight="1">
      <x:c r="A12" s="17" t="str"/>
      <x:c r="B12" s="17" t="str"/>
      <x:c r="C12" s="17" t="str"/>
      <x:c r="D12" s="17" t="str"/>
      <x:c r="E12" s="26" t="str"/>
      <x:c r="F12" s="26" t="str"/>
      <x:c r="G12" s="26" t="str">
        <x:f>IF(OR(E12="",F12=""),"",F12-E12)</x:f>
      </x:c>
      <x:c r="H12" s="24" t="str"/>
      <x:c r="I12" s="24" t="str"/>
      <x:c r="J12" s="24" t="str"/>
      <x:c r="K12" s="24" t="str"/>
      <x:c r="L12" s="24" t="str"/>
      <x:c r="M12" s="24" t="str"/>
      <x:c r="N12" s="24" t="str"/>
      <x:c r="O12" s="24" t="str"/>
      <x:c r="P12" s="30" t="str"/>
      <x:c r="Q12" s="24" t="str"/>
      <x:c r="R12" s="24" t="str"/>
      <x:c r="S12" s="24" t="str"/>
      <x:c r="T12" s="24" t="str">
        <x:f>IF(AND(A12="",B12="",C12="",D12="",E12="",F12="",H12="",I12="",J12="",K12="",L12="",M12="",N12="",O12="",P12="",Q12="",R12="",S12=""),"",IF(OR(A12="",B12="",C12="",D12="",E12="",F12="",F12&lt;=E12,H12="",I12="",J12="",K12="",L12="",M12="",N12="",O12="",P12="",Q12="",R12="",S12=""),"REVIEW","READY"))</x:f>
      </x:c>
    </x:row>
    <x:row r="13" ht="42" customHeight="1">
      <x:c r="A13" s="17" t="str"/>
      <x:c r="B13" s="17" t="str"/>
      <x:c r="C13" s="17" t="str"/>
      <x:c r="D13" s="17" t="str"/>
      <x:c r="E13" s="26" t="str"/>
      <x:c r="F13" s="26" t="str"/>
      <x:c r="G13" s="26" t="str">
        <x:f>IF(OR(E13="",F13=""),"",F13-E13)</x:f>
      </x:c>
      <x:c r="H13" s="24" t="str"/>
      <x:c r="I13" s="24" t="str"/>
      <x:c r="J13" s="24" t="str"/>
      <x:c r="K13" s="24" t="str"/>
      <x:c r="L13" s="24" t="str"/>
      <x:c r="M13" s="24" t="str"/>
      <x:c r="N13" s="24" t="str"/>
      <x:c r="O13" s="24" t="str"/>
      <x:c r="P13" s="30" t="str"/>
      <x:c r="Q13" s="24" t="str"/>
      <x:c r="R13" s="24" t="str"/>
      <x:c r="S13" s="24" t="str"/>
      <x:c r="T13" s="24" t="str">
        <x:f>IF(AND(A13="",B13="",C13="",D13="",E13="",F13="",H13="",I13="",J13="",K13="",L13="",M13="",N13="",O13="",P13="",Q13="",R13="",S13=""),"",IF(OR(A13="",B13="",C13="",D13="",E13="",F13="",F13&lt;=E13,H13="",I13="",J13="",K13="",L13="",M13="",N13="",O13="",P13="",Q13="",R13="",S13=""),"REVIEW","READY"))</x:f>
      </x:c>
    </x:row>
    <x:row r="14" ht="42" customHeight="1">
      <x:c r="A14" s="17" t="str"/>
      <x:c r="B14" s="17" t="str"/>
      <x:c r="C14" s="17" t="str"/>
      <x:c r="D14" s="17" t="str"/>
      <x:c r="E14" s="26" t="str"/>
      <x:c r="F14" s="26" t="str"/>
      <x:c r="G14" s="26" t="str">
        <x:f>IF(OR(E14="",F14=""),"",F14-E14)</x:f>
      </x:c>
      <x:c r="H14" s="24" t="str"/>
      <x:c r="I14" s="24" t="str"/>
      <x:c r="J14" s="24" t="str"/>
      <x:c r="K14" s="24" t="str"/>
      <x:c r="L14" s="24" t="str"/>
      <x:c r="M14" s="24" t="str"/>
      <x:c r="N14" s="24" t="str"/>
      <x:c r="O14" s="24" t="str"/>
      <x:c r="P14" s="30" t="str"/>
      <x:c r="Q14" s="24" t="str"/>
      <x:c r="R14" s="24" t="str"/>
      <x:c r="S14" s="24" t="str"/>
      <x:c r="T14" s="24" t="str">
        <x:f>IF(AND(A14="",B14="",C14="",D14="",E14="",F14="",H14="",I14="",J14="",K14="",L14="",M14="",N14="",O14="",P14="",Q14="",R14="",S14=""),"",IF(OR(A14="",B14="",C14="",D14="",E14="",F14="",F14&lt;=E14,H14="",I14="",J14="",K14="",L14="",M14="",N14="",O14="",P14="",Q14="",R14="",S14=""),"REVIEW","READY"))</x:f>
      </x:c>
    </x:row>
    <x:row r="15" ht="42" customHeight="1">
      <x:c r="A15" s="17" t="str"/>
      <x:c r="B15" s="17" t="str"/>
      <x:c r="C15" s="17" t="str"/>
      <x:c r="D15" s="17" t="str"/>
      <x:c r="E15" s="26" t="str"/>
      <x:c r="F15" s="26" t="str"/>
      <x:c r="G15" s="26" t="str">
        <x:f>IF(OR(E15="",F15=""),"",F15-E15)</x:f>
      </x:c>
      <x:c r="H15" s="24" t="str"/>
      <x:c r="I15" s="24" t="str"/>
      <x:c r="J15" s="24" t="str"/>
      <x:c r="K15" s="24" t="str"/>
      <x:c r="L15" s="24" t="str"/>
      <x:c r="M15" s="24" t="str"/>
      <x:c r="N15" s="24" t="str"/>
      <x:c r="O15" s="24" t="str"/>
      <x:c r="P15" s="30" t="str"/>
      <x:c r="Q15" s="24" t="str"/>
      <x:c r="R15" s="24" t="str"/>
      <x:c r="S15" s="24" t="str"/>
      <x:c r="T15" s="24" t="str">
        <x:f>IF(AND(A15="",B15="",C15="",D15="",E15="",F15="",H15="",I15="",J15="",K15="",L15="",M15="",N15="",O15="",P15="",Q15="",R15="",S15=""),"",IF(OR(A15="",B15="",C15="",D15="",E15="",F15="",F15&lt;=E15,H15="",I15="",J15="",K15="",L15="",M15="",N15="",O15="",P15="",Q15="",R15="",S15=""),"REVIEW","READY"))</x:f>
      </x:c>
    </x:row>
    <x:row r="16" ht="42" customHeight="1">
      <x:c r="A16" s="17" t="str"/>
      <x:c r="B16" s="17" t="str"/>
      <x:c r="C16" s="17" t="str"/>
      <x:c r="D16" s="17" t="str"/>
      <x:c r="E16" s="26" t="str"/>
      <x:c r="F16" s="26" t="str"/>
      <x:c r="G16" s="26" t="str">
        <x:f>IF(OR(E16="",F16=""),"",F16-E16)</x:f>
      </x:c>
      <x:c r="H16" s="24" t="str"/>
      <x:c r="I16" s="24" t="str"/>
      <x:c r="J16" s="24" t="str"/>
      <x:c r="K16" s="24" t="str"/>
      <x:c r="L16" s="24" t="str"/>
      <x:c r="M16" s="24" t="str"/>
      <x:c r="N16" s="24" t="str"/>
      <x:c r="O16" s="24" t="str"/>
      <x:c r="P16" s="30" t="str"/>
      <x:c r="Q16" s="24" t="str"/>
      <x:c r="R16" s="24" t="str"/>
      <x:c r="S16" s="24" t="str"/>
      <x:c r="T16" s="24" t="str">
        <x:f>IF(AND(A16="",B16="",C16="",D16="",E16="",F16="",H16="",I16="",J16="",K16="",L16="",M16="",N16="",O16="",P16="",Q16="",R16="",S16=""),"",IF(OR(A16="",B16="",C16="",D16="",E16="",F16="",F16&lt;=E16,H16="",I16="",J16="",K16="",L16="",M16="",N16="",O16="",P16="",Q16="",R16="",S16=""),"REVIEW","READY"))</x:f>
      </x:c>
    </x:row>
    <x:row r="17" ht="42" customHeight="1">
      <x:c r="A17" s="17" t="str"/>
      <x:c r="B17" s="17" t="str"/>
      <x:c r="C17" s="17" t="str"/>
      <x:c r="D17" s="17" t="str"/>
      <x:c r="E17" s="26" t="str"/>
      <x:c r="F17" s="26" t="str"/>
      <x:c r="G17" s="26" t="str">
        <x:f>IF(OR(E17="",F17=""),"",F17-E17)</x:f>
      </x:c>
      <x:c r="H17" s="24" t="str"/>
      <x:c r="I17" s="24" t="str"/>
      <x:c r="J17" s="24" t="str"/>
      <x:c r="K17" s="24" t="str"/>
      <x:c r="L17" s="24" t="str"/>
      <x:c r="M17" s="24" t="str"/>
      <x:c r="N17" s="24" t="str"/>
      <x:c r="O17" s="24" t="str"/>
      <x:c r="P17" s="30" t="str"/>
      <x:c r="Q17" s="24" t="str"/>
      <x:c r="R17" s="24" t="str"/>
      <x:c r="S17" s="24" t="str"/>
      <x:c r="T17" s="24" t="str">
        <x:f>IF(AND(A17="",B17="",C17="",D17="",E17="",F17="",H17="",I17="",J17="",K17="",L17="",M17="",N17="",O17="",P17="",Q17="",R17="",S17=""),"",IF(OR(A17="",B17="",C17="",D17="",E17="",F17="",F17&lt;=E17,H17="",I17="",J17="",K17="",L17="",M17="",N17="",O17="",P17="",Q17="",R17="",S17=""),"REVIEW","READY"))</x:f>
      </x:c>
    </x:row>
    <x:row r="18" ht="42" customHeight="1">
      <x:c r="A18" s="17" t="str"/>
      <x:c r="B18" s="17" t="str"/>
      <x:c r="C18" s="17" t="str"/>
      <x:c r="D18" s="17" t="str"/>
      <x:c r="E18" s="26" t="str"/>
      <x:c r="F18" s="26" t="str"/>
      <x:c r="G18" s="26" t="str">
        <x:f>IF(OR(E18="",F18=""),"",F18-E18)</x:f>
      </x:c>
      <x:c r="H18" s="24" t="str"/>
      <x:c r="I18" s="24" t="str"/>
      <x:c r="J18" s="24" t="str"/>
      <x:c r="K18" s="24" t="str"/>
      <x:c r="L18" s="24" t="str"/>
      <x:c r="M18" s="24" t="str"/>
      <x:c r="N18" s="24" t="str"/>
      <x:c r="O18" s="24" t="str"/>
      <x:c r="P18" s="30" t="str"/>
      <x:c r="Q18" s="24" t="str"/>
      <x:c r="R18" s="24" t="str"/>
      <x:c r="S18" s="24" t="str"/>
      <x:c r="T18" s="24" t="str">
        <x:f>IF(AND(A18="",B18="",C18="",D18="",E18="",F18="",H18="",I18="",J18="",K18="",L18="",M18="",N18="",O18="",P18="",Q18="",R18="",S18=""),"",IF(OR(A18="",B18="",C18="",D18="",E18="",F18="",F18&lt;=E18,H18="",I18="",J18="",K18="",L18="",M18="",N18="",O18="",P18="",Q18="",R18="",S18=""),"REVIEW","READY"))</x:f>
      </x:c>
    </x:row>
    <x:row r="19" ht="42" customHeight="1">
      <x:c r="A19" s="17" t="str"/>
      <x:c r="B19" s="17" t="str"/>
      <x:c r="C19" s="17" t="str"/>
      <x:c r="D19" s="17" t="str"/>
      <x:c r="E19" s="26" t="str"/>
      <x:c r="F19" s="26" t="str"/>
      <x:c r="G19" s="26" t="str">
        <x:f>IF(OR(E19="",F19=""),"",F19-E19)</x:f>
      </x:c>
      <x:c r="H19" s="24" t="str"/>
      <x:c r="I19" s="24" t="str"/>
      <x:c r="J19" s="24" t="str"/>
      <x:c r="K19" s="24" t="str"/>
      <x:c r="L19" s="24" t="str"/>
      <x:c r="M19" s="24" t="str"/>
      <x:c r="N19" s="24" t="str"/>
      <x:c r="O19" s="24" t="str"/>
      <x:c r="P19" s="30" t="str"/>
      <x:c r="Q19" s="24" t="str"/>
      <x:c r="R19" s="24" t="str"/>
      <x:c r="S19" s="24" t="str"/>
      <x:c r="T19" s="24" t="str">
        <x:f>IF(AND(A19="",B19="",C19="",D19="",E19="",F19="",H19="",I19="",J19="",K19="",L19="",M19="",N19="",O19="",P19="",Q19="",R19="",S19=""),"",IF(OR(A19="",B19="",C19="",D19="",E19="",F19="",F19&lt;=E19,H19="",I19="",J19="",K19="",L19="",M19="",N19="",O19="",P19="",Q19="",R19="",S19=""),"REVIEW","READY"))</x:f>
      </x:c>
    </x:row>
    <x:row r="20" ht="42" customHeight="1">
      <x:c r="A20" s="17" t="str"/>
      <x:c r="B20" s="17" t="str"/>
      <x:c r="C20" s="17" t="str"/>
      <x:c r="D20" s="17" t="str"/>
      <x:c r="E20" s="26" t="str"/>
      <x:c r="F20" s="26" t="str"/>
      <x:c r="G20" s="26" t="str">
        <x:f>IF(OR(E20="",F20=""),"",F20-E20)</x:f>
      </x:c>
      <x:c r="H20" s="24" t="str"/>
      <x:c r="I20" s="24" t="str"/>
      <x:c r="J20" s="24" t="str"/>
      <x:c r="K20" s="24" t="str"/>
      <x:c r="L20" s="24" t="str"/>
      <x:c r="M20" s="24" t="str"/>
      <x:c r="N20" s="24" t="str"/>
      <x:c r="O20" s="24" t="str"/>
      <x:c r="P20" s="30" t="str"/>
      <x:c r="Q20" s="24" t="str"/>
      <x:c r="R20" s="24" t="str"/>
      <x:c r="S20" s="24" t="str"/>
      <x:c r="T20" s="24" t="str">
        <x:f>IF(AND(A20="",B20="",C20="",D20="",E20="",F20="",H20="",I20="",J20="",K20="",L20="",M20="",N20="",O20="",P20="",Q20="",R20="",S20=""),"",IF(OR(A20="",B20="",C20="",D20="",E20="",F20="",F20&lt;=E20,H20="",I20="",J20="",K20="",L20="",M20="",N20="",O20="",P20="",Q20="",R20="",S20=""),"REVIEW","READY"))</x:f>
      </x:c>
    </x:row>
    <x:row r="21" ht="42" customHeight="1">
      <x:c r="A21" s="17" t="str"/>
      <x:c r="B21" s="17" t="str"/>
      <x:c r="C21" s="17" t="str"/>
      <x:c r="D21" s="17" t="str"/>
      <x:c r="E21" s="26" t="str"/>
      <x:c r="F21" s="26" t="str"/>
      <x:c r="G21" s="26" t="str">
        <x:f>IF(OR(E21="",F21=""),"",F21-E21)</x:f>
      </x:c>
      <x:c r="H21" s="24" t="str"/>
      <x:c r="I21" s="24" t="str"/>
      <x:c r="J21" s="24" t="str"/>
      <x:c r="K21" s="24" t="str"/>
      <x:c r="L21" s="24" t="str"/>
      <x:c r="M21" s="24" t="str"/>
      <x:c r="N21" s="24" t="str"/>
      <x:c r="O21" s="24" t="str"/>
      <x:c r="P21" s="30" t="str"/>
      <x:c r="Q21" s="24" t="str"/>
      <x:c r="R21" s="24" t="str"/>
      <x:c r="S21" s="24" t="str"/>
      <x:c r="T21" s="24" t="str">
        <x:f>IF(AND(A21="",B21="",C21="",D21="",E21="",F21="",H21="",I21="",J21="",K21="",L21="",M21="",N21="",O21="",P21="",Q21="",R21="",S21=""),"",IF(OR(A21="",B21="",C21="",D21="",E21="",F21="",F21&lt;=E21,H21="",I21="",J21="",K21="",L21="",M21="",N21="",O21="",P21="",Q21="",R21="",S21=""),"REVIEW","READY"))</x:f>
      </x:c>
    </x:row>
    <x:row r="22" ht="42" customHeight="1">
      <x:c r="A22" s="17" t="str"/>
      <x:c r="B22" s="17" t="str"/>
      <x:c r="C22" s="17" t="str"/>
      <x:c r="D22" s="17" t="str"/>
      <x:c r="E22" s="26" t="str"/>
      <x:c r="F22" s="26" t="str"/>
      <x:c r="G22" s="26" t="str">
        <x:f>IF(OR(E22="",F22=""),"",F22-E22)</x:f>
      </x:c>
      <x:c r="H22" s="24" t="str"/>
      <x:c r="I22" s="24" t="str"/>
      <x:c r="J22" s="24" t="str"/>
      <x:c r="K22" s="24" t="str"/>
      <x:c r="L22" s="24" t="str"/>
      <x:c r="M22" s="24" t="str"/>
      <x:c r="N22" s="24" t="str"/>
      <x:c r="O22" s="24" t="str"/>
      <x:c r="P22" s="30" t="str"/>
      <x:c r="Q22" s="24" t="str"/>
      <x:c r="R22" s="24" t="str"/>
      <x:c r="S22" s="24" t="str"/>
      <x:c r="T22" s="24" t="str">
        <x:f>IF(AND(A22="",B22="",C22="",D22="",E22="",F22="",H22="",I22="",J22="",K22="",L22="",M22="",N22="",O22="",P22="",Q22="",R22="",S22=""),"",IF(OR(A22="",B22="",C22="",D22="",E22="",F22="",F22&lt;=E22,H22="",I22="",J22="",K22="",L22="",M22="",N22="",O22="",P22="",Q22="",R22="",S22=""),"REVIEW","READY"))</x:f>
      </x:c>
    </x:row>
    <x:row r="23" ht="42" customHeight="1">
      <x:c r="A23" s="17" t="str"/>
      <x:c r="B23" s="17" t="str"/>
      <x:c r="C23" s="17" t="str"/>
      <x:c r="D23" s="17" t="str"/>
      <x:c r="E23" s="26" t="str"/>
      <x:c r="F23" s="26" t="str"/>
      <x:c r="G23" s="26" t="str">
        <x:f>IF(OR(E23="",F23=""),"",F23-E23)</x:f>
      </x:c>
      <x:c r="H23" s="24" t="str"/>
      <x:c r="I23" s="24" t="str"/>
      <x:c r="J23" s="24" t="str"/>
      <x:c r="K23" s="24" t="str"/>
      <x:c r="L23" s="24" t="str"/>
      <x:c r="M23" s="24" t="str"/>
      <x:c r="N23" s="24" t="str"/>
      <x:c r="O23" s="24" t="str"/>
      <x:c r="P23" s="30" t="str"/>
      <x:c r="Q23" s="24" t="str"/>
      <x:c r="R23" s="24" t="str"/>
      <x:c r="S23" s="24" t="str"/>
      <x:c r="T23" s="24" t="str">
        <x:f>IF(AND(A23="",B23="",C23="",D23="",E23="",F23="",H23="",I23="",J23="",K23="",L23="",M23="",N23="",O23="",P23="",Q23="",R23="",S23=""),"",IF(OR(A23="",B23="",C23="",D23="",E23="",F23="",F23&lt;=E23,H23="",I23="",J23="",K23="",L23="",M23="",N23="",O23="",P23="",Q23="",R23="",S23=""),"REVIEW","READY"))</x:f>
      </x:c>
    </x:row>
    <x:row r="24" ht="42" customHeight="1">
      <x:c r="A24" s="17" t="str"/>
      <x:c r="B24" s="17" t="str"/>
      <x:c r="C24" s="17" t="str"/>
      <x:c r="D24" s="17" t="str"/>
      <x:c r="E24" s="26" t="str"/>
      <x:c r="F24" s="26" t="str"/>
      <x:c r="G24" s="26" t="str">
        <x:f>IF(OR(E24="",F24=""),"",F24-E24)</x:f>
      </x:c>
      <x:c r="H24" s="24" t="str"/>
      <x:c r="I24" s="24" t="str"/>
      <x:c r="J24" s="24" t="str"/>
      <x:c r="K24" s="24" t="str"/>
      <x:c r="L24" s="24" t="str"/>
      <x:c r="M24" s="24" t="str"/>
      <x:c r="N24" s="24" t="str"/>
      <x:c r="O24" s="24" t="str"/>
      <x:c r="P24" s="30" t="str"/>
      <x:c r="Q24" s="24" t="str"/>
      <x:c r="R24" s="24" t="str"/>
      <x:c r="S24" s="24" t="str"/>
      <x:c r="T24" s="24" t="str">
        <x:f>IF(AND(A24="",B24="",C24="",D24="",E24="",F24="",H24="",I24="",J24="",K24="",L24="",M24="",N24="",O24="",P24="",Q24="",R24="",S24=""),"",IF(OR(A24="",B24="",C24="",D24="",E24="",F24="",F24&lt;=E24,H24="",I24="",J24="",K24="",L24="",M24="",N24="",O24="",P24="",Q24="",R24="",S24=""),"REVIEW","READY"))</x:f>
      </x:c>
    </x:row>
    <x:row r="25" ht="42" customHeight="1">
      <x:c r="A25" s="17" t="str"/>
      <x:c r="B25" s="17" t="str"/>
      <x:c r="C25" s="17" t="str"/>
      <x:c r="D25" s="17" t="str"/>
      <x:c r="E25" s="26" t="str"/>
      <x:c r="F25" s="26" t="str"/>
      <x:c r="G25" s="26" t="str">
        <x:f>IF(OR(E25="",F25=""),"",F25-E25)</x:f>
      </x:c>
      <x:c r="H25" s="24" t="str"/>
      <x:c r="I25" s="24" t="str"/>
      <x:c r="J25" s="24" t="str"/>
      <x:c r="K25" s="24" t="str"/>
      <x:c r="L25" s="24" t="str"/>
      <x:c r="M25" s="24" t="str"/>
      <x:c r="N25" s="24" t="str"/>
      <x:c r="O25" s="24" t="str"/>
      <x:c r="P25" s="30" t="str"/>
      <x:c r="Q25" s="24" t="str"/>
      <x:c r="R25" s="24" t="str"/>
      <x:c r="S25" s="24" t="str"/>
      <x:c r="T25" s="24" t="str">
        <x:f>IF(AND(A25="",B25="",C25="",D25="",E25="",F25="",H25="",I25="",J25="",K25="",L25="",M25="",N25="",O25="",P25="",Q25="",R25="",S25=""),"",IF(OR(A25="",B25="",C25="",D25="",E25="",F25="",F25&lt;=E25,H25="",I25="",J25="",K25="",L25="",M25="",N25="",O25="",P25="",Q25="",R25="",S25=""),"REVIEW","READY"))</x:f>
      </x:c>
    </x:row>
    <x:row r="26" ht="42" customHeight="1">
      <x:c r="A26" s="17" t="str"/>
      <x:c r="B26" s="17" t="str"/>
      <x:c r="C26" s="17" t="str"/>
      <x:c r="D26" s="17" t="str"/>
      <x:c r="E26" s="26" t="str"/>
      <x:c r="F26" s="26" t="str"/>
      <x:c r="G26" s="26" t="str">
        <x:f>IF(OR(E26="",F26=""),"",F26-E26)</x:f>
      </x:c>
      <x:c r="H26" s="24" t="str"/>
      <x:c r="I26" s="24" t="str"/>
      <x:c r="J26" s="24" t="str"/>
      <x:c r="K26" s="24" t="str"/>
      <x:c r="L26" s="24" t="str"/>
      <x:c r="M26" s="24" t="str"/>
      <x:c r="N26" s="24" t="str"/>
      <x:c r="O26" s="24" t="str"/>
      <x:c r="P26" s="30" t="str"/>
      <x:c r="Q26" s="24" t="str"/>
      <x:c r="R26" s="24" t="str"/>
      <x:c r="S26" s="24" t="str"/>
      <x:c r="T26" s="24" t="str">
        <x:f>IF(AND(A26="",B26="",C26="",D26="",E26="",F26="",H26="",I26="",J26="",K26="",L26="",M26="",N26="",O26="",P26="",Q26="",R26="",S26=""),"",IF(OR(A26="",B26="",C26="",D26="",E26="",F26="",F26&lt;=E26,H26="",I26="",J26="",K26="",L26="",M26="",N26="",O26="",P26="",Q26="",R26="",S26=""),"REVIEW","READY"))</x:f>
      </x:c>
    </x:row>
    <x:row r="27" ht="42" customHeight="1">
      <x:c r="A27" s="17" t="str"/>
      <x:c r="B27" s="17" t="str"/>
      <x:c r="C27" s="17" t="str"/>
      <x:c r="D27" s="17" t="str"/>
      <x:c r="E27" s="26" t="str"/>
      <x:c r="F27" s="26" t="str"/>
      <x:c r="G27" s="26" t="str">
        <x:f>IF(OR(E27="",F27=""),"",F27-E27)</x:f>
      </x:c>
      <x:c r="H27" s="24" t="str"/>
      <x:c r="I27" s="24" t="str"/>
      <x:c r="J27" s="24" t="str"/>
      <x:c r="K27" s="24" t="str"/>
      <x:c r="L27" s="24" t="str"/>
      <x:c r="M27" s="24" t="str"/>
      <x:c r="N27" s="24" t="str"/>
      <x:c r="O27" s="24" t="str"/>
      <x:c r="P27" s="30" t="str"/>
      <x:c r="Q27" s="24" t="str"/>
      <x:c r="R27" s="24" t="str"/>
      <x:c r="S27" s="24" t="str"/>
      <x:c r="T27" s="24" t="str">
        <x:f>IF(AND(A27="",B27="",C27="",D27="",E27="",F27="",H27="",I27="",J27="",K27="",L27="",M27="",N27="",O27="",P27="",Q27="",R27="",S27=""),"",IF(OR(A27="",B27="",C27="",D27="",E27="",F27="",F27&lt;=E27,H27="",I27="",J27="",K27="",L27="",M27="",N27="",O27="",P27="",Q27="",R27="",S27=""),"REVIEW","READY"))</x:f>
      </x:c>
    </x:row>
    <x:row r="28" ht="42" customHeight="1">
      <x:c r="A28" s="17" t="str"/>
      <x:c r="B28" s="17" t="str"/>
      <x:c r="C28" s="17" t="str"/>
      <x:c r="D28" s="17" t="str"/>
      <x:c r="E28" s="26" t="str"/>
      <x:c r="F28" s="26" t="str"/>
      <x:c r="G28" s="26" t="str">
        <x:f>IF(OR(E28="",F28=""),"",F28-E28)</x:f>
      </x:c>
      <x:c r="H28" s="24" t="str"/>
      <x:c r="I28" s="24" t="str"/>
      <x:c r="J28" s="24" t="str"/>
      <x:c r="K28" s="24" t="str"/>
      <x:c r="L28" s="24" t="str"/>
      <x:c r="M28" s="24" t="str"/>
      <x:c r="N28" s="24" t="str"/>
      <x:c r="O28" s="24" t="str"/>
      <x:c r="P28" s="30" t="str"/>
      <x:c r="Q28" s="24" t="str"/>
      <x:c r="R28" s="24" t="str"/>
      <x:c r="S28" s="24" t="str"/>
      <x:c r="T28" s="24" t="str">
        <x:f>IF(AND(A28="",B28="",C28="",D28="",E28="",F28="",H28="",I28="",J28="",K28="",L28="",M28="",N28="",O28="",P28="",Q28="",R28="",S28=""),"",IF(OR(A28="",B28="",C28="",D28="",E28="",F28="",F28&lt;=E28,H28="",I28="",J28="",K28="",L28="",M28="",N28="",O28="",P28="",Q28="",R28="",S28=""),"REVIEW","READY"))</x:f>
      </x:c>
    </x:row>
    <x:row r="29" ht="42" customHeight="1">
      <x:c r="A29" s="17" t="str"/>
      <x:c r="B29" s="17" t="str"/>
      <x:c r="C29" s="17" t="str"/>
      <x:c r="D29" s="17" t="str"/>
      <x:c r="E29" s="26" t="str"/>
      <x:c r="F29" s="26" t="str"/>
      <x:c r="G29" s="26" t="str">
        <x:f>IF(OR(E29="",F29=""),"",F29-E29)</x:f>
      </x:c>
      <x:c r="H29" s="24" t="str"/>
      <x:c r="I29" s="24" t="str"/>
      <x:c r="J29" s="24" t="str"/>
      <x:c r="K29" s="24" t="str"/>
      <x:c r="L29" s="24" t="str"/>
      <x:c r="M29" s="24" t="str"/>
      <x:c r="N29" s="24" t="str"/>
      <x:c r="O29" s="24" t="str"/>
      <x:c r="P29" s="30" t="str"/>
      <x:c r="Q29" s="24" t="str"/>
      <x:c r="R29" s="24" t="str"/>
      <x:c r="S29" s="24" t="str"/>
      <x:c r="T29" s="24" t="str">
        <x:f>IF(AND(A29="",B29="",C29="",D29="",E29="",F29="",H29="",I29="",J29="",K29="",L29="",M29="",N29="",O29="",P29="",Q29="",R29="",S29=""),"",IF(OR(A29="",B29="",C29="",D29="",E29="",F29="",F29&lt;=E29,H29="",I29="",J29="",K29="",L29="",M29="",N29="",O29="",P29="",Q29="",R29="",S29=""),"REVIEW","READY"))</x:f>
      </x:c>
    </x:row>
    <x:row r="30" ht="42" customHeight="1">
      <x:c r="A30" s="17" t="str"/>
      <x:c r="B30" s="17" t="str"/>
      <x:c r="C30" s="17" t="str"/>
      <x:c r="D30" s="17" t="str"/>
      <x:c r="E30" s="26" t="str"/>
      <x:c r="F30" s="26" t="str"/>
      <x:c r="G30" s="26" t="str">
        <x:f>IF(OR(E30="",F30=""),"",F30-E30)</x:f>
      </x:c>
      <x:c r="H30" s="24" t="str"/>
      <x:c r="I30" s="24" t="str"/>
      <x:c r="J30" s="24" t="str"/>
      <x:c r="K30" s="24" t="str"/>
      <x:c r="L30" s="24" t="str"/>
      <x:c r="M30" s="24" t="str"/>
      <x:c r="N30" s="24" t="str"/>
      <x:c r="O30" s="24" t="str"/>
      <x:c r="P30" s="30" t="str"/>
      <x:c r="Q30" s="24" t="str"/>
      <x:c r="R30" s="24" t="str"/>
      <x:c r="S30" s="24" t="str"/>
      <x:c r="T30" s="24" t="str">
        <x:f>IF(AND(A30="",B30="",C30="",D30="",E30="",F30="",H30="",I30="",J30="",K30="",L30="",M30="",N30="",O30="",P30="",Q30="",R30="",S30=""),"",IF(OR(A30="",B30="",C30="",D30="",E30="",F30="",F30&lt;=E30,H30="",I30="",J30="",K30="",L30="",M30="",N30="",O30="",P30="",Q30="",R30="",S30=""),"REVIEW","READY"))</x:f>
      </x:c>
    </x:row>
    <x:row r="31" ht="42" customHeight="1">
      <x:c r="A31" s="17" t="str"/>
      <x:c r="B31" s="17" t="str"/>
      <x:c r="C31" s="17" t="str"/>
      <x:c r="D31" s="17" t="str"/>
      <x:c r="E31" s="26" t="str"/>
      <x:c r="F31" s="26" t="str"/>
      <x:c r="G31" s="26" t="str">
        <x:f>IF(OR(E31="",F31=""),"",F31-E31)</x:f>
      </x:c>
      <x:c r="H31" s="24" t="str"/>
      <x:c r="I31" s="24" t="str"/>
      <x:c r="J31" s="24" t="str"/>
      <x:c r="K31" s="24" t="str"/>
      <x:c r="L31" s="24" t="str"/>
      <x:c r="M31" s="24" t="str"/>
      <x:c r="N31" s="24" t="str"/>
      <x:c r="O31" s="24" t="str"/>
      <x:c r="P31" s="30" t="str"/>
      <x:c r="Q31" s="24" t="str"/>
      <x:c r="R31" s="24" t="str"/>
      <x:c r="S31" s="24" t="str"/>
      <x:c r="T31" s="24" t="str">
        <x:f>IF(AND(A31="",B31="",C31="",D31="",E31="",F31="",H31="",I31="",J31="",K31="",L31="",M31="",N31="",O31="",P31="",Q31="",R31="",S31=""),"",IF(OR(A31="",B31="",C31="",D31="",E31="",F31="",F31&lt;=E31,H31="",I31="",J31="",K31="",L31="",M31="",N31="",O31="",P31="",Q31="",R31="",S31=""),"REVIEW","READY"))</x:f>
      </x:c>
    </x:row>
    <x:row r="32" ht="42" customHeight="1">
      <x:c r="A32" s="17" t="str"/>
      <x:c r="B32" s="17" t="str"/>
      <x:c r="C32" s="17" t="str"/>
      <x:c r="D32" s="17" t="str"/>
      <x:c r="E32" s="26" t="str"/>
      <x:c r="F32" s="26" t="str"/>
      <x:c r="G32" s="26" t="str">
        <x:f>IF(OR(E32="",F32=""),"",F32-E32)</x:f>
      </x:c>
      <x:c r="H32" s="24" t="str"/>
      <x:c r="I32" s="24" t="str"/>
      <x:c r="J32" s="24" t="str"/>
      <x:c r="K32" s="24" t="str"/>
      <x:c r="L32" s="24" t="str"/>
      <x:c r="M32" s="24" t="str"/>
      <x:c r="N32" s="24" t="str"/>
      <x:c r="O32" s="24" t="str"/>
      <x:c r="P32" s="30" t="str"/>
      <x:c r="Q32" s="24" t="str"/>
      <x:c r="R32" s="24" t="str"/>
      <x:c r="S32" s="24" t="str"/>
      <x:c r="T32" s="24" t="str">
        <x:f>IF(AND(A32="",B32="",C32="",D32="",E32="",F32="",H32="",I32="",J32="",K32="",L32="",M32="",N32="",O32="",P32="",Q32="",R32="",S32=""),"",IF(OR(A32="",B32="",C32="",D32="",E32="",F32="",F32&lt;=E32,H32="",I32="",J32="",K32="",L32="",M32="",N32="",O32="",P32="",Q32="",R32="",S32=""),"REVIEW","READY"))</x:f>
      </x:c>
    </x:row>
    <x:row r="33" ht="42" customHeight="1">
      <x:c r="A33" s="17" t="str"/>
      <x:c r="B33" s="17" t="str"/>
      <x:c r="C33" s="17" t="str"/>
      <x:c r="D33" s="17" t="str"/>
      <x:c r="E33" s="26" t="str"/>
      <x:c r="F33" s="26" t="str"/>
      <x:c r="G33" s="26" t="str">
        <x:f>IF(OR(E33="",F33=""),"",F33-E33)</x:f>
      </x:c>
      <x:c r="H33" s="24" t="str"/>
      <x:c r="I33" s="24" t="str"/>
      <x:c r="J33" s="24" t="str"/>
      <x:c r="K33" s="24" t="str"/>
      <x:c r="L33" s="24" t="str"/>
      <x:c r="M33" s="24" t="str"/>
      <x:c r="N33" s="24" t="str"/>
      <x:c r="O33" s="24" t="str"/>
      <x:c r="P33" s="30" t="str"/>
      <x:c r="Q33" s="24" t="str"/>
      <x:c r="R33" s="24" t="str"/>
      <x:c r="S33" s="24" t="str"/>
      <x:c r="T33" s="24" t="str">
        <x:f>IF(AND(A33="",B33="",C33="",D33="",E33="",F33="",H33="",I33="",J33="",K33="",L33="",M33="",N33="",O33="",P33="",Q33="",R33="",S33=""),"",IF(OR(A33="",B33="",C33="",D33="",E33="",F33="",F33&lt;=E33,H33="",I33="",J33="",K33="",L33="",M33="",N33="",O33="",P33="",Q33="",R33="",S33=""),"REVIEW","READY"))</x:f>
      </x:c>
    </x:row>
    <x:row r="34" ht="42" customHeight="1">
      <x:c r="A34" s="17" t="str"/>
      <x:c r="B34" s="17" t="str"/>
      <x:c r="C34" s="17" t="str"/>
      <x:c r="D34" s="17" t="str"/>
      <x:c r="E34" s="26" t="str"/>
      <x:c r="F34" s="26" t="str"/>
      <x:c r="G34" s="26" t="str">
        <x:f>IF(OR(E34="",F34=""),"",F34-E34)</x:f>
      </x:c>
      <x:c r="H34" s="24" t="str"/>
      <x:c r="I34" s="24" t="str"/>
      <x:c r="J34" s="24" t="str"/>
      <x:c r="K34" s="24" t="str"/>
      <x:c r="L34" s="24" t="str"/>
      <x:c r="M34" s="24" t="str"/>
      <x:c r="N34" s="24" t="str"/>
      <x:c r="O34" s="24" t="str"/>
      <x:c r="P34" s="30" t="str"/>
      <x:c r="Q34" s="24" t="str"/>
      <x:c r="R34" s="24" t="str"/>
      <x:c r="S34" s="24" t="str"/>
      <x:c r="T34" s="24" t="str">
        <x:f>IF(AND(A34="",B34="",C34="",D34="",E34="",F34="",H34="",I34="",J34="",K34="",L34="",M34="",N34="",O34="",P34="",Q34="",R34="",S34=""),"",IF(OR(A34="",B34="",C34="",D34="",E34="",F34="",F34&lt;=E34,H34="",I34="",J34="",K34="",L34="",M34="",N34="",O34="",P34="",Q34="",R34="",S34=""),"REVIEW","READY"))</x:f>
      </x:c>
    </x:row>
    <x:row r="35" ht="42" customHeight="1">
      <x:c r="A35" s="17" t="str"/>
      <x:c r="B35" s="17" t="str"/>
      <x:c r="C35" s="17" t="str"/>
      <x:c r="D35" s="17" t="str"/>
      <x:c r="E35" s="26" t="str"/>
      <x:c r="F35" s="26" t="str"/>
      <x:c r="G35" s="26" t="str">
        <x:f>IF(OR(E35="",F35=""),"",F35-E35)</x:f>
      </x:c>
      <x:c r="H35" s="24" t="str"/>
      <x:c r="I35" s="24" t="str"/>
      <x:c r="J35" s="24" t="str"/>
      <x:c r="K35" s="24" t="str"/>
      <x:c r="L35" s="24" t="str"/>
      <x:c r="M35" s="24" t="str"/>
      <x:c r="N35" s="24" t="str"/>
      <x:c r="O35" s="24" t="str"/>
      <x:c r="P35" s="30" t="str"/>
      <x:c r="Q35" s="24" t="str"/>
      <x:c r="R35" s="24" t="str"/>
      <x:c r="S35" s="24" t="str"/>
      <x:c r="T35" s="24" t="str">
        <x:f>IF(AND(A35="",B35="",C35="",D35="",E35="",F35="",H35="",I35="",J35="",K35="",L35="",M35="",N35="",O35="",P35="",Q35="",R35="",S35=""),"",IF(OR(A35="",B35="",C35="",D35="",E35="",F35="",F35&lt;=E35,H35="",I35="",J35="",K35="",L35="",M35="",N35="",O35="",P35="",Q35="",R35="",S35=""),"REVIEW","READY"))</x:f>
      </x:c>
    </x:row>
    <x:row r="36" ht="42" customHeight="1">
      <x:c r="A36" s="17" t="str"/>
      <x:c r="B36" s="17" t="str"/>
      <x:c r="C36" s="17" t="str"/>
      <x:c r="D36" s="17" t="str"/>
      <x:c r="E36" s="26" t="str"/>
      <x:c r="F36" s="26" t="str"/>
      <x:c r="G36" s="26" t="str">
        <x:f>IF(OR(E36="",F36=""),"",F36-E36)</x:f>
      </x:c>
      <x:c r="H36" s="24" t="str"/>
      <x:c r="I36" s="24" t="str"/>
      <x:c r="J36" s="24" t="str"/>
      <x:c r="K36" s="24" t="str"/>
      <x:c r="L36" s="24" t="str"/>
      <x:c r="M36" s="24" t="str"/>
      <x:c r="N36" s="24" t="str"/>
      <x:c r="O36" s="24" t="str"/>
      <x:c r="P36" s="30" t="str"/>
      <x:c r="Q36" s="24" t="str"/>
      <x:c r="R36" s="24" t="str"/>
      <x:c r="S36" s="24" t="str"/>
      <x:c r="T36" s="24" t="str">
        <x:f>IF(AND(A36="",B36="",C36="",D36="",E36="",F36="",H36="",I36="",J36="",K36="",L36="",M36="",N36="",O36="",P36="",Q36="",R36="",S36=""),"",IF(OR(A36="",B36="",C36="",D36="",E36="",F36="",F36&lt;=E36,H36="",I36="",J36="",K36="",L36="",M36="",N36="",O36="",P36="",Q36="",R36="",S36=""),"REVIEW","READY"))</x:f>
      </x:c>
    </x:row>
    <x:row r="37" ht="42" customHeight="1">
      <x:c r="A37" s="17" t="str"/>
      <x:c r="B37" s="17" t="str"/>
      <x:c r="C37" s="17" t="str"/>
      <x:c r="D37" s="17" t="str"/>
      <x:c r="E37" s="26" t="str"/>
      <x:c r="F37" s="26" t="str"/>
      <x:c r="G37" s="26" t="str">
        <x:f>IF(OR(E37="",F37=""),"",F37-E37)</x:f>
      </x:c>
      <x:c r="H37" s="24" t="str"/>
      <x:c r="I37" s="24" t="str"/>
      <x:c r="J37" s="24" t="str"/>
      <x:c r="K37" s="24" t="str"/>
      <x:c r="L37" s="24" t="str"/>
      <x:c r="M37" s="24" t="str"/>
      <x:c r="N37" s="24" t="str"/>
      <x:c r="O37" s="24" t="str"/>
      <x:c r="P37" s="30" t="str"/>
      <x:c r="Q37" s="24" t="str"/>
      <x:c r="R37" s="24" t="str"/>
      <x:c r="S37" s="24" t="str"/>
      <x:c r="T37" s="24" t="str">
        <x:f>IF(AND(A37="",B37="",C37="",D37="",E37="",F37="",H37="",I37="",J37="",K37="",L37="",M37="",N37="",O37="",P37="",Q37="",R37="",S37=""),"",IF(OR(A37="",B37="",C37="",D37="",E37="",F37="",F37&lt;=E37,H37="",I37="",J37="",K37="",L37="",M37="",N37="",O37="",P37="",Q37="",R37="",S37=""),"REVIEW","READY"))</x:f>
      </x:c>
    </x:row>
    <x:row r="38" ht="42" customHeight="1">
      <x:c r="A38" s="17" t="str"/>
      <x:c r="B38" s="17" t="str"/>
      <x:c r="C38" s="17" t="str"/>
      <x:c r="D38" s="17" t="str"/>
      <x:c r="E38" s="26" t="str"/>
      <x:c r="F38" s="26" t="str"/>
      <x:c r="G38" s="26" t="str">
        <x:f>IF(OR(E38="",F38=""),"",F38-E38)</x:f>
      </x:c>
      <x:c r="H38" s="24" t="str"/>
      <x:c r="I38" s="24" t="str"/>
      <x:c r="J38" s="24" t="str"/>
      <x:c r="K38" s="24" t="str"/>
      <x:c r="L38" s="24" t="str"/>
      <x:c r="M38" s="24" t="str"/>
      <x:c r="N38" s="24" t="str"/>
      <x:c r="O38" s="24" t="str"/>
      <x:c r="P38" s="30" t="str"/>
      <x:c r="Q38" s="24" t="str"/>
      <x:c r="R38" s="24" t="str"/>
      <x:c r="S38" s="24" t="str"/>
      <x:c r="T38" s="24" t="str">
        <x:f>IF(AND(A38="",B38="",C38="",D38="",E38="",F38="",H38="",I38="",J38="",K38="",L38="",M38="",N38="",O38="",P38="",Q38="",R38="",S38=""),"",IF(OR(A38="",B38="",C38="",D38="",E38="",F38="",F38&lt;=E38,H38="",I38="",J38="",K38="",L38="",M38="",N38="",O38="",P38="",Q38="",R38="",S38=""),"REVIEW","READY"))</x:f>
      </x:c>
    </x:row>
    <x:row r="39" ht="42" customHeight="1">
      <x:c r="A39" s="17" t="str"/>
      <x:c r="B39" s="17" t="str"/>
      <x:c r="C39" s="17" t="str"/>
      <x:c r="D39" s="17" t="str"/>
      <x:c r="E39" s="26" t="str"/>
      <x:c r="F39" s="26" t="str"/>
      <x:c r="G39" s="26" t="str">
        <x:f>IF(OR(E39="",F39=""),"",F39-E39)</x:f>
      </x:c>
      <x:c r="H39" s="24" t="str"/>
      <x:c r="I39" s="24" t="str"/>
      <x:c r="J39" s="24" t="str"/>
      <x:c r="K39" s="24" t="str"/>
      <x:c r="L39" s="24" t="str"/>
      <x:c r="M39" s="24" t="str"/>
      <x:c r="N39" s="24" t="str"/>
      <x:c r="O39" s="24" t="str"/>
      <x:c r="P39" s="30" t="str"/>
      <x:c r="Q39" s="24" t="str"/>
      <x:c r="R39" s="24" t="str"/>
      <x:c r="S39" s="24" t="str"/>
      <x:c r="T39" s="24" t="str">
        <x:f>IF(AND(A39="",B39="",C39="",D39="",E39="",F39="",H39="",I39="",J39="",K39="",L39="",M39="",N39="",O39="",P39="",Q39="",R39="",S39=""),"",IF(OR(A39="",B39="",C39="",D39="",E39="",F39="",F39&lt;=E39,H39="",I39="",J39="",K39="",L39="",M39="",N39="",O39="",P39="",Q39="",R39="",S39=""),"REVIEW","READY"))</x:f>
      </x:c>
    </x:row>
    <x:row r="40" ht="42" customHeight="1">
      <x:c r="A40" s="17" t="str"/>
      <x:c r="B40" s="17" t="str"/>
      <x:c r="C40" s="17" t="str"/>
      <x:c r="D40" s="17" t="str"/>
      <x:c r="E40" s="26" t="str"/>
      <x:c r="F40" s="26" t="str"/>
      <x:c r="G40" s="26" t="str">
        <x:f>IF(OR(E40="",F40=""),"",F40-E40)</x:f>
      </x:c>
      <x:c r="H40" s="24" t="str"/>
      <x:c r="I40" s="24" t="str"/>
      <x:c r="J40" s="24" t="str"/>
      <x:c r="K40" s="24" t="str"/>
      <x:c r="L40" s="24" t="str"/>
      <x:c r="M40" s="24" t="str"/>
      <x:c r="N40" s="24" t="str"/>
      <x:c r="O40" s="24" t="str"/>
      <x:c r="P40" s="30" t="str"/>
      <x:c r="Q40" s="24" t="str"/>
      <x:c r="R40" s="24" t="str"/>
      <x:c r="S40" s="24" t="str"/>
      <x:c r="T40" s="24" t="str">
        <x:f>IF(AND(A40="",B40="",C40="",D40="",E40="",F40="",H40="",I40="",J40="",K40="",L40="",M40="",N40="",O40="",P40="",Q40="",R40="",S40=""),"",IF(OR(A40="",B40="",C40="",D40="",E40="",F40="",F40&lt;=E40,H40="",I40="",J40="",K40="",L40="",M40="",N40="",O40="",P40="",Q40="",R40="",S40=""),"REVIEW","READY"))</x:f>
      </x:c>
    </x:row>
    <x:row r="41" ht="42" customHeight="1">
      <x:c r="A41" s="17" t="str"/>
      <x:c r="B41" s="17" t="str"/>
      <x:c r="C41" s="17" t="str"/>
      <x:c r="D41" s="17" t="str"/>
      <x:c r="E41" s="26" t="str"/>
      <x:c r="F41" s="26" t="str"/>
      <x:c r="G41" s="26" t="str">
        <x:f>IF(OR(E41="",F41=""),"",F41-E41)</x:f>
      </x:c>
      <x:c r="H41" s="24" t="str"/>
      <x:c r="I41" s="24" t="str"/>
      <x:c r="J41" s="24" t="str"/>
      <x:c r="K41" s="24" t="str"/>
      <x:c r="L41" s="24" t="str"/>
      <x:c r="M41" s="24" t="str"/>
      <x:c r="N41" s="24" t="str"/>
      <x:c r="O41" s="24" t="str"/>
      <x:c r="P41" s="30" t="str"/>
      <x:c r="Q41" s="24" t="str"/>
      <x:c r="R41" s="24" t="str"/>
      <x:c r="S41" s="24" t="str"/>
      <x:c r="T41" s="24" t="str">
        <x:f>IF(AND(A41="",B41="",C41="",D41="",E41="",F41="",H41="",I41="",J41="",K41="",L41="",M41="",N41="",O41="",P41="",Q41="",R41="",S41=""),"",IF(OR(A41="",B41="",C41="",D41="",E41="",F41="",F41&lt;=E41,H41="",I41="",J41="",K41="",L41="",M41="",N41="",O41="",P41="",Q41="",R41="",S41=""),"REVIEW","READY"))</x:f>
      </x:c>
    </x:row>
    <x:row r="42" ht="42" customHeight="1">
      <x:c r="A42" s="17" t="str"/>
      <x:c r="B42" s="17" t="str"/>
      <x:c r="C42" s="17" t="str"/>
      <x:c r="D42" s="17" t="str"/>
      <x:c r="E42" s="26" t="str"/>
      <x:c r="F42" s="26" t="str"/>
      <x:c r="G42" s="26" t="str">
        <x:f>IF(OR(E42="",F42=""),"",F42-E42)</x:f>
      </x:c>
      <x:c r="H42" s="24" t="str"/>
      <x:c r="I42" s="24" t="str"/>
      <x:c r="J42" s="24" t="str"/>
      <x:c r="K42" s="24" t="str"/>
      <x:c r="L42" s="24" t="str"/>
      <x:c r="M42" s="24" t="str"/>
      <x:c r="N42" s="24" t="str"/>
      <x:c r="O42" s="24" t="str"/>
      <x:c r="P42" s="30" t="str"/>
      <x:c r="Q42" s="24" t="str"/>
      <x:c r="R42" s="24" t="str"/>
      <x:c r="S42" s="24" t="str"/>
      <x:c r="T42" s="24" t="str">
        <x:f>IF(AND(A42="",B42="",C42="",D42="",E42="",F42="",H42="",I42="",J42="",K42="",L42="",M42="",N42="",O42="",P42="",Q42="",R42="",S42=""),"",IF(OR(A42="",B42="",C42="",D42="",E42="",F42="",F42&lt;=E42,H42="",I42="",J42="",K42="",L42="",M42="",N42="",O42="",P42="",Q42="",R42="",S42=""),"REVIEW","READY"))</x:f>
      </x:c>
    </x:row>
    <x:row r="43" ht="42" customHeight="1">
      <x:c r="A43" s="17" t="str"/>
      <x:c r="B43" s="17" t="str"/>
      <x:c r="C43" s="17" t="str"/>
      <x:c r="D43" s="17" t="str"/>
      <x:c r="E43" s="26" t="str"/>
      <x:c r="F43" s="26" t="str"/>
      <x:c r="G43" s="26" t="str">
        <x:f>IF(OR(E43="",F43=""),"",F43-E43)</x:f>
      </x:c>
      <x:c r="H43" s="24" t="str"/>
      <x:c r="I43" s="24" t="str"/>
      <x:c r="J43" s="24" t="str"/>
      <x:c r="K43" s="24" t="str"/>
      <x:c r="L43" s="24" t="str"/>
      <x:c r="M43" s="24" t="str"/>
      <x:c r="N43" s="24" t="str"/>
      <x:c r="O43" s="24" t="str"/>
      <x:c r="P43" s="30" t="str"/>
      <x:c r="Q43" s="24" t="str"/>
      <x:c r="R43" s="24" t="str"/>
      <x:c r="S43" s="24" t="str"/>
      <x:c r="T43" s="24" t="str">
        <x:f>IF(AND(A43="",B43="",C43="",D43="",E43="",F43="",H43="",I43="",J43="",K43="",L43="",M43="",N43="",O43="",P43="",Q43="",R43="",S43=""),"",IF(OR(A43="",B43="",C43="",D43="",E43="",F43="",F43&lt;=E43,H43="",I43="",J43="",K43="",L43="",M43="",N43="",O43="",P43="",Q43="",R43="",S43=""),"REVIEW","READY"))</x:f>
      </x:c>
    </x:row>
    <x:row r="44" ht="42" customHeight="1">
      <x:c r="A44" s="17" t="str"/>
      <x:c r="B44" s="17" t="str"/>
      <x:c r="C44" s="17" t="str"/>
      <x:c r="D44" s="17" t="str"/>
      <x:c r="E44" s="26" t="str"/>
      <x:c r="F44" s="26" t="str"/>
      <x:c r="G44" s="26" t="str">
        <x:f>IF(OR(E44="",F44=""),"",F44-E44)</x:f>
      </x:c>
      <x:c r="H44" s="24" t="str"/>
      <x:c r="I44" s="24" t="str"/>
      <x:c r="J44" s="24" t="str"/>
      <x:c r="K44" s="24" t="str"/>
      <x:c r="L44" s="24" t="str"/>
      <x:c r="M44" s="24" t="str"/>
      <x:c r="N44" s="24" t="str"/>
      <x:c r="O44" s="24" t="str"/>
      <x:c r="P44" s="30" t="str"/>
      <x:c r="Q44" s="24" t="str"/>
      <x:c r="R44" s="24" t="str"/>
      <x:c r="S44" s="24" t="str"/>
      <x:c r="T44" s="24" t="str">
        <x:f>IF(AND(A44="",B44="",C44="",D44="",E44="",F44="",H44="",I44="",J44="",K44="",L44="",M44="",N44="",O44="",P44="",Q44="",R44="",S44=""),"",IF(OR(A44="",B44="",C44="",D44="",E44="",F44="",F44&lt;=E44,H44="",I44="",J44="",K44="",L44="",M44="",N44="",O44="",P44="",Q44="",R44="",S44=""),"REVIEW","READY"))</x:f>
      </x:c>
    </x:row>
    <x:row r="45" ht="42" customHeight="1">
      <x:c r="A45" s="17" t="str"/>
      <x:c r="B45" s="17" t="str"/>
      <x:c r="C45" s="17" t="str"/>
      <x:c r="D45" s="17" t="str"/>
      <x:c r="E45" s="26" t="str"/>
      <x:c r="F45" s="26" t="str"/>
      <x:c r="G45" s="26" t="str">
        <x:f>IF(OR(E45="",F45=""),"",F45-E45)</x:f>
      </x:c>
      <x:c r="H45" s="24" t="str"/>
      <x:c r="I45" s="24" t="str"/>
      <x:c r="J45" s="24" t="str"/>
      <x:c r="K45" s="24" t="str"/>
      <x:c r="L45" s="24" t="str"/>
      <x:c r="M45" s="24" t="str"/>
      <x:c r="N45" s="24" t="str"/>
      <x:c r="O45" s="24" t="str"/>
      <x:c r="P45" s="30" t="str"/>
      <x:c r="Q45" s="24" t="str"/>
      <x:c r="R45" s="24" t="str"/>
      <x:c r="S45" s="24" t="str"/>
      <x:c r="T45" s="24" t="str">
        <x:f>IF(AND(A45="",B45="",C45="",D45="",E45="",F45="",H45="",I45="",J45="",K45="",L45="",M45="",N45="",O45="",P45="",Q45="",R45="",S45=""),"",IF(OR(A45="",B45="",C45="",D45="",E45="",F45="",F45&lt;=E45,H45="",I45="",J45="",K45="",L45="",M45="",N45="",O45="",P45="",Q45="",R45="",S45=""),"REVIEW","READY"))</x:f>
      </x:c>
    </x:row>
    <x:row r="46" ht="42" customHeight="1">
      <x:c r="A46" s="17" t="str"/>
      <x:c r="B46" s="17" t="str"/>
      <x:c r="C46" s="17" t="str"/>
      <x:c r="D46" s="17" t="str"/>
      <x:c r="E46" s="26" t="str"/>
      <x:c r="F46" s="26" t="str"/>
      <x:c r="G46" s="26" t="str">
        <x:f>IF(OR(E46="",F46=""),"",F46-E46)</x:f>
      </x:c>
      <x:c r="H46" s="24" t="str"/>
      <x:c r="I46" s="24" t="str"/>
      <x:c r="J46" s="24" t="str"/>
      <x:c r="K46" s="24" t="str"/>
      <x:c r="L46" s="24" t="str"/>
      <x:c r="M46" s="24" t="str"/>
      <x:c r="N46" s="24" t="str"/>
      <x:c r="O46" s="24" t="str"/>
      <x:c r="P46" s="30" t="str"/>
      <x:c r="Q46" s="24" t="str"/>
      <x:c r="R46" s="24" t="str"/>
      <x:c r="S46" s="24" t="str"/>
      <x:c r="T46" s="24" t="str">
        <x:f>IF(AND(A46="",B46="",C46="",D46="",E46="",F46="",H46="",I46="",J46="",K46="",L46="",M46="",N46="",O46="",P46="",Q46="",R46="",S46=""),"",IF(OR(A46="",B46="",C46="",D46="",E46="",F46="",F46&lt;=E46,H46="",I46="",J46="",K46="",L46="",M46="",N46="",O46="",P46="",Q46="",R46="",S46=""),"REVIEW","READY"))</x:f>
      </x:c>
    </x:row>
    <x:row r="47" ht="42" customHeight="1">
      <x:c r="A47" s="17" t="str"/>
      <x:c r="B47" s="17" t="str"/>
      <x:c r="C47" s="17" t="str"/>
      <x:c r="D47" s="17" t="str"/>
      <x:c r="E47" s="26" t="str"/>
      <x:c r="F47" s="26" t="str"/>
      <x:c r="G47" s="26" t="str">
        <x:f>IF(OR(E47="",F47=""),"",F47-E47)</x:f>
      </x:c>
      <x:c r="H47" s="24" t="str"/>
      <x:c r="I47" s="24" t="str"/>
      <x:c r="J47" s="24" t="str"/>
      <x:c r="K47" s="24" t="str"/>
      <x:c r="L47" s="24" t="str"/>
      <x:c r="M47" s="24" t="str"/>
      <x:c r="N47" s="24" t="str"/>
      <x:c r="O47" s="24" t="str"/>
      <x:c r="P47" s="30" t="str"/>
      <x:c r="Q47" s="24" t="str"/>
      <x:c r="R47" s="24" t="str"/>
      <x:c r="S47" s="24" t="str"/>
      <x:c r="T47" s="24" t="str">
        <x:f>IF(AND(A47="",B47="",C47="",D47="",E47="",F47="",H47="",I47="",J47="",K47="",L47="",M47="",N47="",O47="",P47="",Q47="",R47="",S47=""),"",IF(OR(A47="",B47="",C47="",D47="",E47="",F47="",F47&lt;=E47,H47="",I47="",J47="",K47="",L47="",M47="",N47="",O47="",P47="",Q47="",R47="",S47=""),"REVIEW","READY"))</x:f>
      </x:c>
    </x:row>
    <x:row r="48" ht="42" customHeight="1">
      <x:c r="A48" s="17" t="str"/>
      <x:c r="B48" s="17" t="str"/>
      <x:c r="C48" s="17" t="str"/>
      <x:c r="D48" s="17" t="str"/>
      <x:c r="E48" s="26" t="str"/>
      <x:c r="F48" s="26" t="str"/>
      <x:c r="G48" s="26" t="str">
        <x:f>IF(OR(E48="",F48=""),"",F48-E48)</x:f>
      </x:c>
      <x:c r="H48" s="24" t="str"/>
      <x:c r="I48" s="24" t="str"/>
      <x:c r="J48" s="24" t="str"/>
      <x:c r="K48" s="24" t="str"/>
      <x:c r="L48" s="24" t="str"/>
      <x:c r="M48" s="24" t="str"/>
      <x:c r="N48" s="24" t="str"/>
      <x:c r="O48" s="24" t="str"/>
      <x:c r="P48" s="30" t="str"/>
      <x:c r="Q48" s="24" t="str"/>
      <x:c r="R48" s="24" t="str"/>
      <x:c r="S48" s="24" t="str"/>
      <x:c r="T48" s="24" t="str">
        <x:f>IF(AND(A48="",B48="",C48="",D48="",E48="",F48="",H48="",I48="",J48="",K48="",L48="",M48="",N48="",O48="",P48="",Q48="",R48="",S48=""),"",IF(OR(A48="",B48="",C48="",D48="",E48="",F48="",F48&lt;=E48,H48="",I48="",J48="",K48="",L48="",M48="",N48="",O48="",P48="",Q48="",R48="",S48=""),"REVIEW","READY"))</x:f>
      </x:c>
    </x:row>
    <x:row r="49" ht="42" customHeight="1">
      <x:c r="A49" s="17" t="str"/>
      <x:c r="B49" s="17" t="str"/>
      <x:c r="C49" s="17" t="str"/>
      <x:c r="D49" s="17" t="str"/>
      <x:c r="E49" s="26" t="str"/>
      <x:c r="F49" s="26" t="str"/>
      <x:c r="G49" s="26" t="str">
        <x:f>IF(OR(E49="",F49=""),"",F49-E49)</x:f>
      </x:c>
      <x:c r="H49" s="24" t="str"/>
      <x:c r="I49" s="24" t="str"/>
      <x:c r="J49" s="24" t="str"/>
      <x:c r="K49" s="24" t="str"/>
      <x:c r="L49" s="24" t="str"/>
      <x:c r="M49" s="24" t="str"/>
      <x:c r="N49" s="24" t="str"/>
      <x:c r="O49" s="24" t="str"/>
      <x:c r="P49" s="30" t="str"/>
      <x:c r="Q49" s="24" t="str"/>
      <x:c r="R49" s="24" t="str"/>
      <x:c r="S49" s="24" t="str"/>
      <x:c r="T49" s="24" t="str">
        <x:f>IF(AND(A49="",B49="",C49="",D49="",E49="",F49="",H49="",I49="",J49="",K49="",L49="",M49="",N49="",O49="",P49="",Q49="",R49="",S49=""),"",IF(OR(A49="",B49="",C49="",D49="",E49="",F49="",F49&lt;=E49,H49="",I49="",J49="",K49="",L49="",M49="",N49="",O49="",P49="",Q49="",R49="",S49=""),"REVIEW","READY"))</x:f>
      </x:c>
    </x:row>
    <x:row r="50" ht="42" customHeight="1">
      <x:c r="A50" s="17" t="str"/>
      <x:c r="B50" s="17" t="str"/>
      <x:c r="C50" s="17" t="str"/>
      <x:c r="D50" s="17" t="str"/>
      <x:c r="E50" s="26" t="str"/>
      <x:c r="F50" s="26" t="str"/>
      <x:c r="G50" s="26" t="str">
        <x:f>IF(OR(E50="",F50=""),"",F50-E50)</x:f>
      </x:c>
      <x:c r="H50" s="24" t="str"/>
      <x:c r="I50" s="24" t="str"/>
      <x:c r="J50" s="24" t="str"/>
      <x:c r="K50" s="24" t="str"/>
      <x:c r="L50" s="24" t="str"/>
      <x:c r="M50" s="24" t="str"/>
      <x:c r="N50" s="24" t="str"/>
      <x:c r="O50" s="24" t="str"/>
      <x:c r="P50" s="30" t="str"/>
      <x:c r="Q50" s="24" t="str"/>
      <x:c r="R50" s="24" t="str"/>
      <x:c r="S50" s="24" t="str"/>
      <x:c r="T50" s="24" t="str">
        <x:f>IF(AND(A50="",B50="",C50="",D50="",E50="",F50="",H50="",I50="",J50="",K50="",L50="",M50="",N50="",O50="",P50="",Q50="",R50="",S50=""),"",IF(OR(A50="",B50="",C50="",D50="",E50="",F50="",F50&lt;=E50,H50="",I50="",J50="",K50="",L50="",M50="",N50="",O50="",P50="",Q50="",R50="",S50=""),"REVIEW","READY"))</x:f>
      </x:c>
    </x:row>
    <x:row r="51" ht="42" customHeight="1">
      <x:c r="A51" s="17" t="str"/>
      <x:c r="B51" s="17" t="str"/>
      <x:c r="C51" s="17" t="str"/>
      <x:c r="D51" s="17" t="str"/>
      <x:c r="E51" s="26" t="str"/>
      <x:c r="F51" s="26" t="str"/>
      <x:c r="G51" s="26" t="str">
        <x:f>IF(OR(E51="",F51=""),"",F51-E51)</x:f>
      </x:c>
      <x:c r="H51" s="24" t="str"/>
      <x:c r="I51" s="24" t="str"/>
      <x:c r="J51" s="24" t="str"/>
      <x:c r="K51" s="24" t="str"/>
      <x:c r="L51" s="24" t="str"/>
      <x:c r="M51" s="24" t="str"/>
      <x:c r="N51" s="24" t="str"/>
      <x:c r="O51" s="24" t="str"/>
      <x:c r="P51" s="30" t="str"/>
      <x:c r="Q51" s="24" t="str"/>
      <x:c r="R51" s="24" t="str"/>
      <x:c r="S51" s="24" t="str"/>
      <x:c r="T51" s="24" t="str">
        <x:f>IF(AND(A51="",B51="",C51="",D51="",E51="",F51="",H51="",I51="",J51="",K51="",L51="",M51="",N51="",O51="",P51="",Q51="",R51="",S51=""),"",IF(OR(A51="",B51="",C51="",D51="",E51="",F51="",F51&lt;=E51,H51="",I51="",J51="",K51="",L51="",M51="",N51="",O51="",P51="",Q51="",R51="",S51=""),"REVIEW","READY"))</x:f>
      </x:c>
    </x:row>
    <x:row r="52" ht="42" customHeight="1">
      <x:c r="A52" s="17" t="str"/>
      <x:c r="B52" s="17" t="str"/>
      <x:c r="C52" s="17" t="str"/>
      <x:c r="D52" s="17" t="str"/>
      <x:c r="E52" s="26" t="str"/>
      <x:c r="F52" s="26" t="str"/>
      <x:c r="G52" s="26" t="str">
        <x:f>IF(OR(E52="",F52=""),"",F52-E52)</x:f>
      </x:c>
      <x:c r="H52" s="24" t="str"/>
      <x:c r="I52" s="24" t="str"/>
      <x:c r="J52" s="24" t="str"/>
      <x:c r="K52" s="24" t="str"/>
      <x:c r="L52" s="24" t="str"/>
      <x:c r="M52" s="24" t="str"/>
      <x:c r="N52" s="24" t="str"/>
      <x:c r="O52" s="24" t="str"/>
      <x:c r="P52" s="30" t="str"/>
      <x:c r="Q52" s="24" t="str"/>
      <x:c r="R52" s="24" t="str"/>
      <x:c r="S52" s="24" t="str"/>
      <x:c r="T52" s="24" t="str">
        <x:f>IF(AND(A52="",B52="",C52="",D52="",E52="",F52="",H52="",I52="",J52="",K52="",L52="",M52="",N52="",O52="",P52="",Q52="",R52="",S52=""),"",IF(OR(A52="",B52="",C52="",D52="",E52="",F52="",F52&lt;=E52,H52="",I52="",J52="",K52="",L52="",M52="",N52="",O52="",P52="",Q52="",R52="",S52=""),"REVIEW","READY"))</x:f>
      </x:c>
    </x:row>
    <x:row r="53" ht="42" customHeight="1">
      <x:c r="A53" s="17" t="str"/>
      <x:c r="B53" s="17" t="str"/>
      <x:c r="C53" s="17" t="str"/>
      <x:c r="D53" s="17" t="str"/>
      <x:c r="E53" s="26" t="str"/>
      <x:c r="F53" s="26" t="str"/>
      <x:c r="G53" s="26" t="str">
        <x:f>IF(OR(E53="",F53=""),"",F53-E53)</x:f>
      </x:c>
      <x:c r="H53" s="24" t="str"/>
      <x:c r="I53" s="24" t="str"/>
      <x:c r="J53" s="24" t="str"/>
      <x:c r="K53" s="24" t="str"/>
      <x:c r="L53" s="24" t="str"/>
      <x:c r="M53" s="24" t="str"/>
      <x:c r="N53" s="24" t="str"/>
      <x:c r="O53" s="24" t="str"/>
      <x:c r="P53" s="30" t="str"/>
      <x:c r="Q53" s="24" t="str"/>
      <x:c r="R53" s="24" t="str"/>
      <x:c r="S53" s="24" t="str"/>
      <x:c r="T53" s="24" t="str">
        <x:f>IF(AND(A53="",B53="",C53="",D53="",E53="",F53="",H53="",I53="",J53="",K53="",L53="",M53="",N53="",O53="",P53="",Q53="",R53="",S53=""),"",IF(OR(A53="",B53="",C53="",D53="",E53="",F53="",F53&lt;=E53,H53="",I53="",J53="",K53="",L53="",M53="",N53="",O53="",P53="",Q53="",R53="",S53=""),"REVIEW","READY"))</x:f>
      </x:c>
    </x:row>
    <x:row r="54" ht="42" customHeight="1">
      <x:c r="A54" s="17" t="str"/>
      <x:c r="B54" s="17" t="str"/>
      <x:c r="C54" s="17" t="str"/>
      <x:c r="D54" s="17" t="str"/>
      <x:c r="E54" s="26" t="str"/>
      <x:c r="F54" s="26" t="str"/>
      <x:c r="G54" s="26" t="str">
        <x:f>IF(OR(E54="",F54=""),"",F54-E54)</x:f>
      </x:c>
      <x:c r="H54" s="24" t="str"/>
      <x:c r="I54" s="24" t="str"/>
      <x:c r="J54" s="24" t="str"/>
      <x:c r="K54" s="24" t="str"/>
      <x:c r="L54" s="24" t="str"/>
      <x:c r="M54" s="24" t="str"/>
      <x:c r="N54" s="24" t="str"/>
      <x:c r="O54" s="24" t="str"/>
      <x:c r="P54" s="30" t="str"/>
      <x:c r="Q54" s="24" t="str"/>
      <x:c r="R54" s="24" t="str"/>
      <x:c r="S54" s="24" t="str"/>
      <x:c r="T54" s="24" t="str">
        <x:f>IF(AND(A54="",B54="",C54="",D54="",E54="",F54="",H54="",I54="",J54="",K54="",L54="",M54="",N54="",O54="",P54="",Q54="",R54="",S54=""),"",IF(OR(A54="",B54="",C54="",D54="",E54="",F54="",F54&lt;=E54,H54="",I54="",J54="",K54="",L54="",M54="",N54="",O54="",P54="",Q54="",R54="",S54=""),"REVIEW","READY"))</x:f>
      </x:c>
    </x:row>
    <x:row r="55" ht="42" customHeight="1">
      <x:c r="A55" s="17" t="str"/>
      <x:c r="B55" s="17" t="str"/>
      <x:c r="C55" s="17" t="str"/>
      <x:c r="D55" s="17" t="str"/>
      <x:c r="E55" s="26" t="str"/>
      <x:c r="F55" s="26" t="str"/>
      <x:c r="G55" s="26" t="str">
        <x:f>IF(OR(E55="",F55=""),"",F55-E55)</x:f>
      </x:c>
      <x:c r="H55" s="24" t="str"/>
      <x:c r="I55" s="24" t="str"/>
      <x:c r="J55" s="24" t="str"/>
      <x:c r="K55" s="24" t="str"/>
      <x:c r="L55" s="24" t="str"/>
      <x:c r="M55" s="24" t="str"/>
      <x:c r="N55" s="24" t="str"/>
      <x:c r="O55" s="24" t="str"/>
      <x:c r="P55" s="30" t="str"/>
      <x:c r="Q55" s="24" t="str"/>
      <x:c r="R55" s="24" t="str"/>
      <x:c r="S55" s="24" t="str"/>
      <x:c r="T55" s="24" t="str">
        <x:f>IF(AND(A55="",B55="",C55="",D55="",E55="",F55="",H55="",I55="",J55="",K55="",L55="",M55="",N55="",O55="",P55="",Q55="",R55="",S55=""),"",IF(OR(A55="",B55="",C55="",D55="",E55="",F55="",F55&lt;=E55,H55="",I55="",J55="",K55="",L55="",M55="",N55="",O55="",P55="",Q55="",R55="",S55=""),"REVIEW","READY"))</x:f>
      </x:c>
    </x:row>
    <x:row r="56" ht="42" customHeight="1">
      <x:c r="A56" s="17" t="str"/>
      <x:c r="B56" s="17" t="str"/>
      <x:c r="C56" s="17" t="str"/>
      <x:c r="D56" s="17" t="str"/>
      <x:c r="E56" s="26" t="str"/>
      <x:c r="F56" s="26" t="str"/>
      <x:c r="G56" s="26" t="str">
        <x:f>IF(OR(E56="",F56=""),"",F56-E56)</x:f>
      </x:c>
      <x:c r="H56" s="24" t="str"/>
      <x:c r="I56" s="24" t="str"/>
      <x:c r="J56" s="24" t="str"/>
      <x:c r="K56" s="24" t="str"/>
      <x:c r="L56" s="24" t="str"/>
      <x:c r="M56" s="24" t="str"/>
      <x:c r="N56" s="24" t="str"/>
      <x:c r="O56" s="24" t="str"/>
      <x:c r="P56" s="30" t="str"/>
      <x:c r="Q56" s="24" t="str"/>
      <x:c r="R56" s="24" t="str"/>
      <x:c r="S56" s="24" t="str"/>
      <x:c r="T56" s="24" t="str">
        <x:f>IF(AND(A56="",B56="",C56="",D56="",E56="",F56="",H56="",I56="",J56="",K56="",L56="",M56="",N56="",O56="",P56="",Q56="",R56="",S56=""),"",IF(OR(A56="",B56="",C56="",D56="",E56="",F56="",F56&lt;=E56,H56="",I56="",J56="",K56="",L56="",M56="",N56="",O56="",P56="",Q56="",R56="",S56=""),"REVIEW","READY"))</x:f>
      </x:c>
    </x:row>
    <x:row r="57" ht="42" customHeight="1">
      <x:c r="A57" s="17" t="str"/>
      <x:c r="B57" s="17" t="str"/>
      <x:c r="C57" s="17" t="str"/>
      <x:c r="D57" s="17" t="str"/>
      <x:c r="E57" s="26" t="str"/>
      <x:c r="F57" s="26" t="str"/>
      <x:c r="G57" s="26" t="str">
        <x:f>IF(OR(E57="",F57=""),"",F57-E57)</x:f>
      </x:c>
      <x:c r="H57" s="24" t="str"/>
      <x:c r="I57" s="24" t="str"/>
      <x:c r="J57" s="24" t="str"/>
      <x:c r="K57" s="24" t="str"/>
      <x:c r="L57" s="24" t="str"/>
      <x:c r="M57" s="24" t="str"/>
      <x:c r="N57" s="24" t="str"/>
      <x:c r="O57" s="24" t="str"/>
      <x:c r="P57" s="30" t="str"/>
      <x:c r="Q57" s="24" t="str"/>
      <x:c r="R57" s="24" t="str"/>
      <x:c r="S57" s="24" t="str"/>
      <x:c r="T57" s="24" t="str">
        <x:f>IF(AND(A57="",B57="",C57="",D57="",E57="",F57="",H57="",I57="",J57="",K57="",L57="",M57="",N57="",O57="",P57="",Q57="",R57="",S57=""),"",IF(OR(A57="",B57="",C57="",D57="",E57="",F57="",F57&lt;=E57,H57="",I57="",J57="",K57="",L57="",M57="",N57="",O57="",P57="",Q57="",R57="",S57=""),"REVIEW","READY"))</x:f>
      </x:c>
    </x:row>
    <x:row r="58" ht="42" customHeight="1">
      <x:c r="A58" s="17" t="str"/>
      <x:c r="B58" s="17" t="str"/>
      <x:c r="C58" s="17" t="str"/>
      <x:c r="D58" s="17" t="str"/>
      <x:c r="E58" s="26" t="str"/>
      <x:c r="F58" s="26" t="str"/>
      <x:c r="G58" s="26" t="str">
        <x:f>IF(OR(E58="",F58=""),"",F58-E58)</x:f>
      </x:c>
      <x:c r="H58" s="24" t="str"/>
      <x:c r="I58" s="24" t="str"/>
      <x:c r="J58" s="24" t="str"/>
      <x:c r="K58" s="24" t="str"/>
      <x:c r="L58" s="24" t="str"/>
      <x:c r="M58" s="24" t="str"/>
      <x:c r="N58" s="24" t="str"/>
      <x:c r="O58" s="24" t="str"/>
      <x:c r="P58" s="30" t="str"/>
      <x:c r="Q58" s="24" t="str"/>
      <x:c r="R58" s="24" t="str"/>
      <x:c r="S58" s="24" t="str"/>
      <x:c r="T58" s="24" t="str">
        <x:f>IF(AND(A58="",B58="",C58="",D58="",E58="",F58="",H58="",I58="",J58="",K58="",L58="",M58="",N58="",O58="",P58="",Q58="",R58="",S58=""),"",IF(OR(A58="",B58="",C58="",D58="",E58="",F58="",F58&lt;=E58,H58="",I58="",J58="",K58="",L58="",M58="",N58="",O58="",P58="",Q58="",R58="",S58=""),"REVIEW","READY"))</x:f>
      </x:c>
    </x:row>
    <x:row r="59" ht="42" customHeight="1">
      <x:c r="A59" s="17" t="str"/>
      <x:c r="B59" s="17" t="str"/>
      <x:c r="C59" s="17" t="str"/>
      <x:c r="D59" s="17" t="str"/>
      <x:c r="E59" s="26" t="str"/>
      <x:c r="F59" s="26" t="str"/>
      <x:c r="G59" s="26" t="str">
        <x:f>IF(OR(E59="",F59=""),"",F59-E59)</x:f>
      </x:c>
      <x:c r="H59" s="24" t="str"/>
      <x:c r="I59" s="24" t="str"/>
      <x:c r="J59" s="24" t="str"/>
      <x:c r="K59" s="24" t="str"/>
      <x:c r="L59" s="24" t="str"/>
      <x:c r="M59" s="24" t="str"/>
      <x:c r="N59" s="24" t="str"/>
      <x:c r="O59" s="24" t="str"/>
      <x:c r="P59" s="30" t="str"/>
      <x:c r="Q59" s="24" t="str"/>
      <x:c r="R59" s="24" t="str"/>
      <x:c r="S59" s="24" t="str"/>
      <x:c r="T59" s="24" t="str">
        <x:f>IF(AND(A59="",B59="",C59="",D59="",E59="",F59="",H59="",I59="",J59="",K59="",L59="",M59="",N59="",O59="",P59="",Q59="",R59="",S59=""),"",IF(OR(A59="",B59="",C59="",D59="",E59="",F59="",F59&lt;=E59,H59="",I59="",J59="",K59="",L59="",M59="",N59="",O59="",P59="",Q59="",R59="",S59=""),"REVIEW","READY"))</x:f>
      </x:c>
    </x:row>
    <x:row r="60" ht="42" customHeight="1">
      <x:c r="A60" s="17" t="str"/>
      <x:c r="B60" s="17" t="str"/>
      <x:c r="C60" s="17" t="str"/>
      <x:c r="D60" s="17" t="str"/>
      <x:c r="E60" s="26" t="str"/>
      <x:c r="F60" s="26" t="str"/>
      <x:c r="G60" s="26" t="str">
        <x:f>IF(OR(E60="",F60=""),"",F60-E60)</x:f>
      </x:c>
      <x:c r="H60" s="24" t="str"/>
      <x:c r="I60" s="24" t="str"/>
      <x:c r="J60" s="24" t="str"/>
      <x:c r="K60" s="24" t="str"/>
      <x:c r="L60" s="24" t="str"/>
      <x:c r="M60" s="24" t="str"/>
      <x:c r="N60" s="24" t="str"/>
      <x:c r="O60" s="24" t="str"/>
      <x:c r="P60" s="30" t="str"/>
      <x:c r="Q60" s="24" t="str"/>
      <x:c r="R60" s="24" t="str"/>
      <x:c r="S60" s="24" t="str"/>
      <x:c r="T60" s="24" t="str">
        <x:f>IF(AND(A60="",B60="",C60="",D60="",E60="",F60="",H60="",I60="",J60="",K60="",L60="",M60="",N60="",O60="",P60="",Q60="",R60="",S60=""),"",IF(OR(A60="",B60="",C60="",D60="",E60="",F60="",F60&lt;=E60,H60="",I60="",J60="",K60="",L60="",M60="",N60="",O60="",P60="",Q60="",R60="",S60=""),"REVIEW","READY"))</x:f>
      </x:c>
    </x:row>
    <x:row r="61" ht="42" customHeight="1">
      <x:c r="A61" s="17" t="str"/>
      <x:c r="B61" s="17" t="str"/>
      <x:c r="C61" s="17" t="str"/>
      <x:c r="D61" s="17" t="str"/>
      <x:c r="E61" s="26" t="str"/>
      <x:c r="F61" s="26" t="str"/>
      <x:c r="G61" s="26" t="str">
        <x:f>IF(OR(E61="",F61=""),"",F61-E61)</x:f>
      </x:c>
      <x:c r="H61" s="24" t="str"/>
      <x:c r="I61" s="24" t="str"/>
      <x:c r="J61" s="24" t="str"/>
      <x:c r="K61" s="24" t="str"/>
      <x:c r="L61" s="24" t="str"/>
      <x:c r="M61" s="24" t="str"/>
      <x:c r="N61" s="24" t="str"/>
      <x:c r="O61" s="24" t="str"/>
      <x:c r="P61" s="30" t="str"/>
      <x:c r="Q61" s="24" t="str"/>
      <x:c r="R61" s="24" t="str"/>
      <x:c r="S61" s="24" t="str"/>
      <x:c r="T61" s="24" t="str">
        <x:f>IF(AND(A61="",B61="",C61="",D61="",E61="",F61="",H61="",I61="",J61="",K61="",L61="",M61="",N61="",O61="",P61="",Q61="",R61="",S61=""),"",IF(OR(A61="",B61="",C61="",D61="",E61="",F61="",F61&lt;=E61,H61="",I61="",J61="",K61="",L61="",M61="",N61="",O61="",P61="",Q61="",R61="",S61=""),"REVIEW","READY"))</x:f>
      </x:c>
    </x:row>
    <x:row r="62" ht="42" customHeight="1">
      <x:c r="A62" s="17" t="str"/>
      <x:c r="B62" s="17" t="str"/>
      <x:c r="C62" s="17" t="str"/>
      <x:c r="D62" s="17" t="str"/>
      <x:c r="E62" s="26" t="str"/>
      <x:c r="F62" s="26" t="str"/>
      <x:c r="G62" s="26" t="str">
        <x:f>IF(OR(E62="",F62=""),"",F62-E62)</x:f>
      </x:c>
      <x:c r="H62" s="24" t="str"/>
      <x:c r="I62" s="24" t="str"/>
      <x:c r="J62" s="24" t="str"/>
      <x:c r="K62" s="24" t="str"/>
      <x:c r="L62" s="24" t="str"/>
      <x:c r="M62" s="24" t="str"/>
      <x:c r="N62" s="24" t="str"/>
      <x:c r="O62" s="24" t="str"/>
      <x:c r="P62" s="30" t="str"/>
      <x:c r="Q62" s="24" t="str"/>
      <x:c r="R62" s="24" t="str"/>
      <x:c r="S62" s="24" t="str"/>
      <x:c r="T62" s="24" t="str">
        <x:f>IF(AND(A62="",B62="",C62="",D62="",E62="",F62="",H62="",I62="",J62="",K62="",L62="",M62="",N62="",O62="",P62="",Q62="",R62="",S62=""),"",IF(OR(A62="",B62="",C62="",D62="",E62="",F62="",F62&lt;=E62,H62="",I62="",J62="",K62="",L62="",M62="",N62="",O62="",P62="",Q62="",R62="",S62=""),"REVIEW","READY"))</x:f>
      </x:c>
    </x:row>
    <x:row r="63" ht="42" customHeight="1">
      <x:c r="A63" s="17" t="str"/>
      <x:c r="B63" s="17" t="str"/>
      <x:c r="C63" s="17" t="str"/>
      <x:c r="D63" s="17" t="str"/>
      <x:c r="E63" s="26" t="str"/>
      <x:c r="F63" s="26" t="str"/>
      <x:c r="G63" s="26" t="str">
        <x:f>IF(OR(E63="",F63=""),"",F63-E63)</x:f>
      </x:c>
      <x:c r="H63" s="24" t="str"/>
      <x:c r="I63" s="24" t="str"/>
      <x:c r="J63" s="24" t="str"/>
      <x:c r="K63" s="24" t="str"/>
      <x:c r="L63" s="24" t="str"/>
      <x:c r="M63" s="24" t="str"/>
      <x:c r="N63" s="24" t="str"/>
      <x:c r="O63" s="24" t="str"/>
      <x:c r="P63" s="30" t="str"/>
      <x:c r="Q63" s="24" t="str"/>
      <x:c r="R63" s="24" t="str"/>
      <x:c r="S63" s="24" t="str"/>
      <x:c r="T63" s="24" t="str">
        <x:f>IF(AND(A63="",B63="",C63="",D63="",E63="",F63="",H63="",I63="",J63="",K63="",L63="",M63="",N63="",O63="",P63="",Q63="",R63="",S63=""),"",IF(OR(A63="",B63="",C63="",D63="",E63="",F63="",F63&lt;=E63,H63="",I63="",J63="",K63="",L63="",M63="",N63="",O63="",P63="",Q63="",R63="",S63=""),"REVIEW","READY"))</x:f>
      </x:c>
    </x:row>
    <x:row r="64" ht="42" customHeight="1">
      <x:c r="A64" s="17" t="str"/>
      <x:c r="B64" s="17" t="str"/>
      <x:c r="C64" s="17" t="str"/>
      <x:c r="D64" s="17" t="str"/>
      <x:c r="E64" s="26" t="str"/>
      <x:c r="F64" s="26" t="str"/>
      <x:c r="G64" s="26" t="str">
        <x:f>IF(OR(E64="",F64=""),"",F64-E64)</x:f>
      </x:c>
      <x:c r="H64" s="24" t="str"/>
      <x:c r="I64" s="24" t="str"/>
      <x:c r="J64" s="24" t="str"/>
      <x:c r="K64" s="24" t="str"/>
      <x:c r="L64" s="24" t="str"/>
      <x:c r="M64" s="24" t="str"/>
      <x:c r="N64" s="24" t="str"/>
      <x:c r="O64" s="24" t="str"/>
      <x:c r="P64" s="30" t="str"/>
      <x:c r="Q64" s="24" t="str"/>
      <x:c r="R64" s="24" t="str"/>
      <x:c r="S64" s="24" t="str"/>
      <x:c r="T64" s="24" t="str">
        <x:f>IF(AND(A64="",B64="",C64="",D64="",E64="",F64="",H64="",I64="",J64="",K64="",L64="",M64="",N64="",O64="",P64="",Q64="",R64="",S64=""),"",IF(OR(A64="",B64="",C64="",D64="",E64="",F64="",F64&lt;=E64,H64="",I64="",J64="",K64="",L64="",M64="",N64="",O64="",P64="",Q64="",R64="",S64=""),"REVIEW","READY"))</x:f>
      </x:c>
    </x:row>
    <x:row r="65" ht="42" customHeight="1">
      <x:c r="A65" s="17" t="str"/>
      <x:c r="B65" s="17" t="str"/>
      <x:c r="C65" s="17" t="str"/>
      <x:c r="D65" s="17" t="str"/>
      <x:c r="E65" s="26" t="str"/>
      <x:c r="F65" s="26" t="str"/>
      <x:c r="G65" s="26" t="str">
        <x:f>IF(OR(E65="",F65=""),"",F65-E65)</x:f>
      </x:c>
      <x:c r="H65" s="24" t="str"/>
      <x:c r="I65" s="24" t="str"/>
      <x:c r="J65" s="24" t="str"/>
      <x:c r="K65" s="24" t="str"/>
      <x:c r="L65" s="24" t="str"/>
      <x:c r="M65" s="24" t="str"/>
      <x:c r="N65" s="24" t="str"/>
      <x:c r="O65" s="24" t="str"/>
      <x:c r="P65" s="30" t="str"/>
      <x:c r="Q65" s="24" t="str"/>
      <x:c r="R65" s="24" t="str"/>
      <x:c r="S65" s="24" t="str"/>
      <x:c r="T65" s="24" t="str">
        <x:f>IF(AND(A65="",B65="",C65="",D65="",E65="",F65="",H65="",I65="",J65="",K65="",L65="",M65="",N65="",O65="",P65="",Q65="",R65="",S65=""),"",IF(OR(A65="",B65="",C65="",D65="",E65="",F65="",F65&lt;=E65,H65="",I65="",J65="",K65="",L65="",M65="",N65="",O65="",P65="",Q65="",R65="",S65=""),"REVIEW","READY"))</x:f>
      </x:c>
    </x:row>
    <x:row r="66" ht="42" customHeight="1">
      <x:c r="A66" s="17" t="str"/>
      <x:c r="B66" s="17" t="str"/>
      <x:c r="C66" s="17" t="str"/>
      <x:c r="D66" s="17" t="str"/>
      <x:c r="E66" s="26" t="str"/>
      <x:c r="F66" s="26" t="str"/>
      <x:c r="G66" s="26" t="str">
        <x:f>IF(OR(E66="",F66=""),"",F66-E66)</x:f>
      </x:c>
      <x:c r="H66" s="24" t="str"/>
      <x:c r="I66" s="24" t="str"/>
      <x:c r="J66" s="24" t="str"/>
      <x:c r="K66" s="24" t="str"/>
      <x:c r="L66" s="24" t="str"/>
      <x:c r="M66" s="24" t="str"/>
      <x:c r="N66" s="24" t="str"/>
      <x:c r="O66" s="24" t="str"/>
      <x:c r="P66" s="30" t="str"/>
      <x:c r="Q66" s="24" t="str"/>
      <x:c r="R66" s="24" t="str"/>
      <x:c r="S66" s="24" t="str"/>
      <x:c r="T66" s="24" t="str">
        <x:f>IF(AND(A66="",B66="",C66="",D66="",E66="",F66="",H66="",I66="",J66="",K66="",L66="",M66="",N66="",O66="",P66="",Q66="",R66="",S66=""),"",IF(OR(A66="",B66="",C66="",D66="",E66="",F66="",F66&lt;=E66,H66="",I66="",J66="",K66="",L66="",M66="",N66="",O66="",P66="",Q66="",R66="",S66=""),"REVIEW","READY"))</x:f>
      </x:c>
    </x:row>
    <x:row r="67" ht="42" customHeight="1">
      <x:c r="A67" s="17" t="str"/>
      <x:c r="B67" s="17" t="str"/>
      <x:c r="C67" s="17" t="str"/>
      <x:c r="D67" s="17" t="str"/>
      <x:c r="E67" s="26" t="str"/>
      <x:c r="F67" s="26" t="str"/>
      <x:c r="G67" s="26" t="str">
        <x:f>IF(OR(E67="",F67=""),"",F67-E67)</x:f>
      </x:c>
      <x:c r="H67" s="24" t="str"/>
      <x:c r="I67" s="24" t="str"/>
      <x:c r="J67" s="24" t="str"/>
      <x:c r="K67" s="24" t="str"/>
      <x:c r="L67" s="24" t="str"/>
      <x:c r="M67" s="24" t="str"/>
      <x:c r="N67" s="24" t="str"/>
      <x:c r="O67" s="24" t="str"/>
      <x:c r="P67" s="30" t="str"/>
      <x:c r="Q67" s="24" t="str"/>
      <x:c r="R67" s="24" t="str"/>
      <x:c r="S67" s="24" t="str"/>
      <x:c r="T67" s="24" t="str">
        <x:f>IF(AND(A67="",B67="",C67="",D67="",E67="",F67="",H67="",I67="",J67="",K67="",L67="",M67="",N67="",O67="",P67="",Q67="",R67="",S67=""),"",IF(OR(A67="",B67="",C67="",D67="",E67="",F67="",F67&lt;=E67,H67="",I67="",J67="",K67="",L67="",M67="",N67="",O67="",P67="",Q67="",R67="",S67=""),"REVIEW","READY"))</x:f>
      </x:c>
    </x:row>
    <x:row r="68" ht="42" customHeight="1">
      <x:c r="A68" s="17" t="str"/>
      <x:c r="B68" s="17" t="str"/>
      <x:c r="C68" s="17" t="str"/>
      <x:c r="D68" s="17" t="str"/>
      <x:c r="E68" s="26" t="str"/>
      <x:c r="F68" s="26" t="str"/>
      <x:c r="G68" s="26" t="str">
        <x:f>IF(OR(E68="",F68=""),"",F68-E68)</x:f>
      </x:c>
      <x:c r="H68" s="24" t="str"/>
      <x:c r="I68" s="24" t="str"/>
      <x:c r="J68" s="24" t="str"/>
      <x:c r="K68" s="24" t="str"/>
      <x:c r="L68" s="24" t="str"/>
      <x:c r="M68" s="24" t="str"/>
      <x:c r="N68" s="24" t="str"/>
      <x:c r="O68" s="24" t="str"/>
      <x:c r="P68" s="30" t="str"/>
      <x:c r="Q68" s="24" t="str"/>
      <x:c r="R68" s="24" t="str"/>
      <x:c r="S68" s="24" t="str"/>
      <x:c r="T68" s="24" t="str">
        <x:f>IF(AND(A68="",B68="",C68="",D68="",E68="",F68="",H68="",I68="",J68="",K68="",L68="",M68="",N68="",O68="",P68="",Q68="",R68="",S68=""),"",IF(OR(A68="",B68="",C68="",D68="",E68="",F68="",F68&lt;=E68,H68="",I68="",J68="",K68="",L68="",M68="",N68="",O68="",P68="",Q68="",R68="",S68=""),"REVIEW","READY"))</x:f>
      </x:c>
    </x:row>
    <x:row r="69" ht="42" customHeight="1">
      <x:c r="A69" s="17" t="str"/>
      <x:c r="B69" s="17" t="str"/>
      <x:c r="C69" s="17" t="str"/>
      <x:c r="D69" s="17" t="str"/>
      <x:c r="E69" s="26" t="str"/>
      <x:c r="F69" s="26" t="str"/>
      <x:c r="G69" s="26" t="str">
        <x:f>IF(OR(E69="",F69=""),"",F69-E69)</x:f>
      </x:c>
      <x:c r="H69" s="24" t="str"/>
      <x:c r="I69" s="24" t="str"/>
      <x:c r="J69" s="24" t="str"/>
      <x:c r="K69" s="24" t="str"/>
      <x:c r="L69" s="24" t="str"/>
      <x:c r="M69" s="24" t="str"/>
      <x:c r="N69" s="24" t="str"/>
      <x:c r="O69" s="24" t="str"/>
      <x:c r="P69" s="30" t="str"/>
      <x:c r="Q69" s="24" t="str"/>
      <x:c r="R69" s="24" t="str"/>
      <x:c r="S69" s="24" t="str"/>
      <x:c r="T69" s="24" t="str">
        <x:f>IF(AND(A69="",B69="",C69="",D69="",E69="",F69="",H69="",I69="",J69="",K69="",L69="",M69="",N69="",O69="",P69="",Q69="",R69="",S69=""),"",IF(OR(A69="",B69="",C69="",D69="",E69="",F69="",F69&lt;=E69,H69="",I69="",J69="",K69="",L69="",M69="",N69="",O69="",P69="",Q69="",R69="",S69=""),"REVIEW","READY"))</x:f>
      </x:c>
    </x:row>
    <x:row r="70" ht="42" customHeight="1">
      <x:c r="A70" s="17" t="str"/>
      <x:c r="B70" s="17" t="str"/>
      <x:c r="C70" s="17" t="str"/>
      <x:c r="D70" s="17" t="str"/>
      <x:c r="E70" s="26" t="str"/>
      <x:c r="F70" s="26" t="str"/>
      <x:c r="G70" s="26" t="str">
        <x:f>IF(OR(E70="",F70=""),"",F70-E70)</x:f>
      </x:c>
      <x:c r="H70" s="24" t="str"/>
      <x:c r="I70" s="24" t="str"/>
      <x:c r="J70" s="24" t="str"/>
      <x:c r="K70" s="24" t="str"/>
      <x:c r="L70" s="24" t="str"/>
      <x:c r="M70" s="24" t="str"/>
      <x:c r="N70" s="24" t="str"/>
      <x:c r="O70" s="24" t="str"/>
      <x:c r="P70" s="30" t="str"/>
      <x:c r="Q70" s="24" t="str"/>
      <x:c r="R70" s="24" t="str"/>
      <x:c r="S70" s="24" t="str"/>
      <x:c r="T70" s="24" t="str">
        <x:f>IF(AND(A70="",B70="",C70="",D70="",E70="",F70="",H70="",I70="",J70="",K70="",L70="",M70="",N70="",O70="",P70="",Q70="",R70="",S70=""),"",IF(OR(A70="",B70="",C70="",D70="",E70="",F70="",F70&lt;=E70,H70="",I70="",J70="",K70="",L70="",M70="",N70="",O70="",P70="",Q70="",R70="",S70=""),"REVIEW","READY"))</x:f>
      </x:c>
    </x:row>
    <x:row r="71" ht="42" customHeight="1">
      <x:c r="A71" s="17" t="str"/>
      <x:c r="B71" s="17" t="str"/>
      <x:c r="C71" s="17" t="str"/>
      <x:c r="D71" s="17" t="str"/>
      <x:c r="E71" s="26" t="str"/>
      <x:c r="F71" s="26" t="str"/>
      <x:c r="G71" s="26" t="str">
        <x:f>IF(OR(E71="",F71=""),"",F71-E71)</x:f>
      </x:c>
      <x:c r="H71" s="24" t="str"/>
      <x:c r="I71" s="24" t="str"/>
      <x:c r="J71" s="24" t="str"/>
      <x:c r="K71" s="24" t="str"/>
      <x:c r="L71" s="24" t="str"/>
      <x:c r="M71" s="24" t="str"/>
      <x:c r="N71" s="24" t="str"/>
      <x:c r="O71" s="24" t="str"/>
      <x:c r="P71" s="30" t="str"/>
      <x:c r="Q71" s="24" t="str"/>
      <x:c r="R71" s="24" t="str"/>
      <x:c r="S71" s="24" t="str"/>
      <x:c r="T71" s="24" t="str">
        <x:f>IF(AND(A71="",B71="",C71="",D71="",E71="",F71="",H71="",I71="",J71="",K71="",L71="",M71="",N71="",O71="",P71="",Q71="",R71="",S71=""),"",IF(OR(A71="",B71="",C71="",D71="",E71="",F71="",F71&lt;=E71,H71="",I71="",J71="",K71="",L71="",M71="",N71="",O71="",P71="",Q71="",R71="",S71=""),"REVIEW","READY"))</x:f>
      </x:c>
    </x:row>
    <x:row r="72" ht="42" customHeight="1">
      <x:c r="A72" s="17" t="str"/>
      <x:c r="B72" s="17" t="str"/>
      <x:c r="C72" s="17" t="str"/>
      <x:c r="D72" s="17" t="str"/>
      <x:c r="E72" s="26" t="str"/>
      <x:c r="F72" s="26" t="str"/>
      <x:c r="G72" s="26" t="str">
        <x:f>IF(OR(E72="",F72=""),"",F72-E72)</x:f>
      </x:c>
      <x:c r="H72" s="24" t="str"/>
      <x:c r="I72" s="24" t="str"/>
      <x:c r="J72" s="24" t="str"/>
      <x:c r="K72" s="24" t="str"/>
      <x:c r="L72" s="24" t="str"/>
      <x:c r="M72" s="24" t="str"/>
      <x:c r="N72" s="24" t="str"/>
      <x:c r="O72" s="24" t="str"/>
      <x:c r="P72" s="30" t="str"/>
      <x:c r="Q72" s="24" t="str"/>
      <x:c r="R72" s="24" t="str"/>
      <x:c r="S72" s="24" t="str"/>
      <x:c r="T72" s="24" t="str">
        <x:f>IF(AND(A72="",B72="",C72="",D72="",E72="",F72="",H72="",I72="",J72="",K72="",L72="",M72="",N72="",O72="",P72="",Q72="",R72="",S72=""),"",IF(OR(A72="",B72="",C72="",D72="",E72="",F72="",F72&lt;=E72,H72="",I72="",J72="",K72="",L72="",M72="",N72="",O72="",P72="",Q72="",R72="",S72=""),"REVIEW","READY"))</x:f>
      </x:c>
    </x:row>
    <x:row r="73" ht="42" customHeight="1">
      <x:c r="A73" s="17" t="str"/>
      <x:c r="B73" s="17" t="str"/>
      <x:c r="C73" s="17" t="str"/>
      <x:c r="D73" s="17" t="str"/>
      <x:c r="E73" s="26" t="str"/>
      <x:c r="F73" s="26" t="str"/>
      <x:c r="G73" s="26" t="str">
        <x:f>IF(OR(E73="",F73=""),"",F73-E73)</x:f>
      </x:c>
      <x:c r="H73" s="24" t="str"/>
      <x:c r="I73" s="24" t="str"/>
      <x:c r="J73" s="24" t="str"/>
      <x:c r="K73" s="24" t="str"/>
      <x:c r="L73" s="24" t="str"/>
      <x:c r="M73" s="24" t="str"/>
      <x:c r="N73" s="24" t="str"/>
      <x:c r="O73" s="24" t="str"/>
      <x:c r="P73" s="30" t="str"/>
      <x:c r="Q73" s="24" t="str"/>
      <x:c r="R73" s="24" t="str"/>
      <x:c r="S73" s="24" t="str"/>
      <x:c r="T73" s="24" t="str">
        <x:f>IF(AND(A73="",B73="",C73="",D73="",E73="",F73="",H73="",I73="",J73="",K73="",L73="",M73="",N73="",O73="",P73="",Q73="",R73="",S73=""),"",IF(OR(A73="",B73="",C73="",D73="",E73="",F73="",F73&lt;=E73,H73="",I73="",J73="",K73="",L73="",M73="",N73="",O73="",P73="",Q73="",R73="",S73=""),"REVIEW","READY"))</x:f>
      </x:c>
    </x:row>
    <x:row r="74" ht="42" customHeight="1">
      <x:c r="A74" s="17" t="str"/>
      <x:c r="B74" s="17" t="str"/>
      <x:c r="C74" s="17" t="str"/>
      <x:c r="D74" s="17" t="str"/>
      <x:c r="E74" s="26" t="str"/>
      <x:c r="F74" s="26" t="str"/>
      <x:c r="G74" s="26" t="str">
        <x:f>IF(OR(E74="",F74=""),"",F74-E74)</x:f>
      </x:c>
      <x:c r="H74" s="24" t="str"/>
      <x:c r="I74" s="24" t="str"/>
      <x:c r="J74" s="24" t="str"/>
      <x:c r="K74" s="24" t="str"/>
      <x:c r="L74" s="24" t="str"/>
      <x:c r="M74" s="24" t="str"/>
      <x:c r="N74" s="24" t="str"/>
      <x:c r="O74" s="24" t="str"/>
      <x:c r="P74" s="30" t="str"/>
      <x:c r="Q74" s="24" t="str"/>
      <x:c r="R74" s="24" t="str"/>
      <x:c r="S74" s="24" t="str"/>
      <x:c r="T74" s="24" t="str">
        <x:f>IF(AND(A74="",B74="",C74="",D74="",E74="",F74="",H74="",I74="",J74="",K74="",L74="",M74="",N74="",O74="",P74="",Q74="",R74="",S74=""),"",IF(OR(A74="",B74="",C74="",D74="",E74="",F74="",F74&lt;=E74,H74="",I74="",J74="",K74="",L74="",M74="",N74="",O74="",P74="",Q74="",R74="",S74=""),"REVIEW","READY"))</x:f>
      </x:c>
    </x:row>
    <x:row r="75" ht="42" customHeight="1">
      <x:c r="A75" s="17" t="str"/>
      <x:c r="B75" s="17" t="str"/>
      <x:c r="C75" s="17" t="str"/>
      <x:c r="D75" s="17" t="str"/>
      <x:c r="E75" s="26" t="str"/>
      <x:c r="F75" s="26" t="str"/>
      <x:c r="G75" s="26" t="str">
        <x:f>IF(OR(E75="",F75=""),"",F75-E75)</x:f>
      </x:c>
      <x:c r="H75" s="24" t="str"/>
      <x:c r="I75" s="24" t="str"/>
      <x:c r="J75" s="24" t="str"/>
      <x:c r="K75" s="24" t="str"/>
      <x:c r="L75" s="24" t="str"/>
      <x:c r="M75" s="24" t="str"/>
      <x:c r="N75" s="24" t="str"/>
      <x:c r="O75" s="24" t="str"/>
      <x:c r="P75" s="30" t="str"/>
      <x:c r="Q75" s="24" t="str"/>
      <x:c r="R75" s="24" t="str"/>
      <x:c r="S75" s="24" t="str"/>
      <x:c r="T75" s="24" t="str">
        <x:f>IF(AND(A75="",B75="",C75="",D75="",E75="",F75="",H75="",I75="",J75="",K75="",L75="",M75="",N75="",O75="",P75="",Q75="",R75="",S75=""),"",IF(OR(A75="",B75="",C75="",D75="",E75="",F75="",F75&lt;=E75,H75="",I75="",J75="",K75="",L75="",M75="",N75="",O75="",P75="",Q75="",R75="",S75=""),"REVIEW","READY"))</x:f>
      </x:c>
    </x:row>
    <x:row r="76" ht="42" customHeight="1">
      <x:c r="A76" s="17" t="str"/>
      <x:c r="B76" s="17" t="str"/>
      <x:c r="C76" s="17" t="str"/>
      <x:c r="D76" s="17" t="str"/>
      <x:c r="E76" s="26" t="str"/>
      <x:c r="F76" s="26" t="str"/>
      <x:c r="G76" s="26" t="str">
        <x:f>IF(OR(E76="",F76=""),"",F76-E76)</x:f>
      </x:c>
      <x:c r="H76" s="24" t="str"/>
      <x:c r="I76" s="24" t="str"/>
      <x:c r="J76" s="24" t="str"/>
      <x:c r="K76" s="24" t="str"/>
      <x:c r="L76" s="24" t="str"/>
      <x:c r="M76" s="24" t="str"/>
      <x:c r="N76" s="24" t="str"/>
      <x:c r="O76" s="24" t="str"/>
      <x:c r="P76" s="30" t="str"/>
      <x:c r="Q76" s="24" t="str"/>
      <x:c r="R76" s="24" t="str"/>
      <x:c r="S76" s="24" t="str"/>
      <x:c r="T76" s="24" t="str">
        <x:f>IF(AND(A76="",B76="",C76="",D76="",E76="",F76="",H76="",I76="",J76="",K76="",L76="",M76="",N76="",O76="",P76="",Q76="",R76="",S76=""),"",IF(OR(A76="",B76="",C76="",D76="",E76="",F76="",F76&lt;=E76,H76="",I76="",J76="",K76="",L76="",M76="",N76="",O76="",P76="",Q76="",R76="",S76=""),"REVIEW","READY"))</x:f>
      </x:c>
    </x:row>
    <x:row r="77" ht="42" customHeight="1">
      <x:c r="A77" s="17" t="str"/>
      <x:c r="B77" s="17" t="str"/>
      <x:c r="C77" s="17" t="str"/>
      <x:c r="D77" s="17" t="str"/>
      <x:c r="E77" s="26" t="str"/>
      <x:c r="F77" s="26" t="str"/>
      <x:c r="G77" s="26" t="str">
        <x:f>IF(OR(E77="",F77=""),"",F77-E77)</x:f>
      </x:c>
      <x:c r="H77" s="24" t="str"/>
      <x:c r="I77" s="24" t="str"/>
      <x:c r="J77" s="24" t="str"/>
      <x:c r="K77" s="24" t="str"/>
      <x:c r="L77" s="24" t="str"/>
      <x:c r="M77" s="24" t="str"/>
      <x:c r="N77" s="24" t="str"/>
      <x:c r="O77" s="24" t="str"/>
      <x:c r="P77" s="30" t="str"/>
      <x:c r="Q77" s="24" t="str"/>
      <x:c r="R77" s="24" t="str"/>
      <x:c r="S77" s="24" t="str"/>
      <x:c r="T77" s="24" t="str">
        <x:f>IF(AND(A77="",B77="",C77="",D77="",E77="",F77="",H77="",I77="",J77="",K77="",L77="",M77="",N77="",O77="",P77="",Q77="",R77="",S77=""),"",IF(OR(A77="",B77="",C77="",D77="",E77="",F77="",F77&lt;=E77,H77="",I77="",J77="",K77="",L77="",M77="",N77="",O77="",P77="",Q77="",R77="",S77=""),"REVIEW","READY"))</x:f>
      </x:c>
    </x:row>
    <x:row r="78" ht="42" customHeight="1">
      <x:c r="A78" s="17" t="str"/>
      <x:c r="B78" s="17" t="str"/>
      <x:c r="C78" s="17" t="str"/>
      <x:c r="D78" s="17" t="str"/>
      <x:c r="E78" s="26" t="str"/>
      <x:c r="F78" s="26" t="str"/>
      <x:c r="G78" s="26" t="str">
        <x:f>IF(OR(E78="",F78=""),"",F78-E78)</x:f>
      </x:c>
      <x:c r="H78" s="24" t="str"/>
      <x:c r="I78" s="24" t="str"/>
      <x:c r="J78" s="24" t="str"/>
      <x:c r="K78" s="24" t="str"/>
      <x:c r="L78" s="24" t="str"/>
      <x:c r="M78" s="24" t="str"/>
      <x:c r="N78" s="24" t="str"/>
      <x:c r="O78" s="24" t="str"/>
      <x:c r="P78" s="30" t="str"/>
      <x:c r="Q78" s="24" t="str"/>
      <x:c r="R78" s="24" t="str"/>
      <x:c r="S78" s="24" t="str"/>
      <x:c r="T78" s="24" t="str">
        <x:f>IF(AND(A78="",B78="",C78="",D78="",E78="",F78="",H78="",I78="",J78="",K78="",L78="",M78="",N78="",O78="",P78="",Q78="",R78="",S78=""),"",IF(OR(A78="",B78="",C78="",D78="",E78="",F78="",F78&lt;=E78,H78="",I78="",J78="",K78="",L78="",M78="",N78="",O78="",P78="",Q78="",R78="",S78=""),"REVIEW","READY"))</x:f>
      </x:c>
    </x:row>
    <x:row r="79" ht="42" customHeight="1">
      <x:c r="A79" s="17" t="str"/>
      <x:c r="B79" s="17" t="str"/>
      <x:c r="C79" s="17" t="str"/>
      <x:c r="D79" s="17" t="str"/>
      <x:c r="E79" s="26" t="str"/>
      <x:c r="F79" s="26" t="str"/>
      <x:c r="G79" s="26" t="str">
        <x:f>IF(OR(E79="",F79=""),"",F79-E79)</x:f>
      </x:c>
      <x:c r="H79" s="24" t="str"/>
      <x:c r="I79" s="24" t="str"/>
      <x:c r="J79" s="24" t="str"/>
      <x:c r="K79" s="24" t="str"/>
      <x:c r="L79" s="24" t="str"/>
      <x:c r="M79" s="24" t="str"/>
      <x:c r="N79" s="24" t="str"/>
      <x:c r="O79" s="24" t="str"/>
      <x:c r="P79" s="30" t="str"/>
      <x:c r="Q79" s="24" t="str"/>
      <x:c r="R79" s="24" t="str"/>
      <x:c r="S79" s="24" t="str"/>
      <x:c r="T79" s="24" t="str">
        <x:f>IF(AND(A79="",B79="",C79="",D79="",E79="",F79="",H79="",I79="",J79="",K79="",L79="",M79="",N79="",O79="",P79="",Q79="",R79="",S79=""),"",IF(OR(A79="",B79="",C79="",D79="",E79="",F79="",F79&lt;=E79,H79="",I79="",J79="",K79="",L79="",M79="",N79="",O79="",P79="",Q79="",R79="",S79=""),"REVIEW","READY"))</x:f>
      </x:c>
    </x:row>
    <x:row r="80" ht="42" customHeight="1">
      <x:c r="A80" s="17" t="str"/>
      <x:c r="B80" s="17" t="str"/>
      <x:c r="C80" s="17" t="str"/>
      <x:c r="D80" s="17" t="str"/>
      <x:c r="E80" s="26" t="str"/>
      <x:c r="F80" s="26" t="str"/>
      <x:c r="G80" s="26" t="str">
        <x:f>IF(OR(E80="",F80=""),"",F80-E80)</x:f>
      </x:c>
      <x:c r="H80" s="24" t="str"/>
      <x:c r="I80" s="24" t="str"/>
      <x:c r="J80" s="24" t="str"/>
      <x:c r="K80" s="24" t="str"/>
      <x:c r="L80" s="24" t="str"/>
      <x:c r="M80" s="24" t="str"/>
      <x:c r="N80" s="24" t="str"/>
      <x:c r="O80" s="24" t="str"/>
      <x:c r="P80" s="30" t="str"/>
      <x:c r="Q80" s="24" t="str"/>
      <x:c r="R80" s="24" t="str"/>
      <x:c r="S80" s="24" t="str"/>
      <x:c r="T80" s="24" t="str">
        <x:f>IF(AND(A80="",B80="",C80="",D80="",E80="",F80="",H80="",I80="",J80="",K80="",L80="",M80="",N80="",O80="",P80="",Q80="",R80="",S80=""),"",IF(OR(A80="",B80="",C80="",D80="",E80="",F80="",F80&lt;=E80,H80="",I80="",J80="",K80="",L80="",M80="",N80="",O80="",P80="",Q80="",R80="",S80=""),"REVIEW","READY"))</x:f>
      </x:c>
    </x:row>
    <x:row r="81" ht="42" customHeight="1">
      <x:c r="A81" s="17" t="str"/>
      <x:c r="B81" s="17" t="str"/>
      <x:c r="C81" s="17" t="str"/>
      <x:c r="D81" s="17" t="str"/>
      <x:c r="E81" s="26" t="str"/>
      <x:c r="F81" s="26" t="str"/>
      <x:c r="G81" s="26" t="str">
        <x:f>IF(OR(E81="",F81=""),"",F81-E81)</x:f>
      </x:c>
      <x:c r="H81" s="24" t="str"/>
      <x:c r="I81" s="24" t="str"/>
      <x:c r="J81" s="24" t="str"/>
      <x:c r="K81" s="24" t="str"/>
      <x:c r="L81" s="24" t="str"/>
      <x:c r="M81" s="24" t="str"/>
      <x:c r="N81" s="24" t="str"/>
      <x:c r="O81" s="24" t="str"/>
      <x:c r="P81" s="30" t="str"/>
      <x:c r="Q81" s="24" t="str"/>
      <x:c r="R81" s="24" t="str"/>
      <x:c r="S81" s="24" t="str"/>
      <x:c r="T81" s="24" t="str">
        <x:f>IF(AND(A81="",B81="",C81="",D81="",E81="",F81="",H81="",I81="",J81="",K81="",L81="",M81="",N81="",O81="",P81="",Q81="",R81="",S81=""),"",IF(OR(A81="",B81="",C81="",D81="",E81="",F81="",F81&lt;=E81,H81="",I81="",J81="",K81="",L81="",M81="",N81="",O81="",P81="",Q81="",R81="",S81=""),"REVIEW","READY"))</x:f>
      </x:c>
    </x:row>
    <x:row r="82" ht="42" customHeight="1">
      <x:c r="A82" s="17" t="str"/>
      <x:c r="B82" s="17" t="str"/>
      <x:c r="C82" s="17" t="str"/>
      <x:c r="D82" s="17" t="str"/>
      <x:c r="E82" s="26" t="str"/>
      <x:c r="F82" s="26" t="str"/>
      <x:c r="G82" s="26" t="str">
        <x:f>IF(OR(E82="",F82=""),"",F82-E82)</x:f>
      </x:c>
      <x:c r="H82" s="24" t="str"/>
      <x:c r="I82" s="24" t="str"/>
      <x:c r="J82" s="24" t="str"/>
      <x:c r="K82" s="24" t="str"/>
      <x:c r="L82" s="24" t="str"/>
      <x:c r="M82" s="24" t="str"/>
      <x:c r="N82" s="24" t="str"/>
      <x:c r="O82" s="24" t="str"/>
      <x:c r="P82" s="30" t="str"/>
      <x:c r="Q82" s="24" t="str"/>
      <x:c r="R82" s="24" t="str"/>
      <x:c r="S82" s="24" t="str"/>
      <x:c r="T82" s="24" t="str">
        <x:f>IF(AND(A82="",B82="",C82="",D82="",E82="",F82="",H82="",I82="",J82="",K82="",L82="",M82="",N82="",O82="",P82="",Q82="",R82="",S82=""),"",IF(OR(A82="",B82="",C82="",D82="",E82="",F82="",F82&lt;=E82,H82="",I82="",J82="",K82="",L82="",M82="",N82="",O82="",P82="",Q82="",R82="",S82=""),"REVIEW","READY"))</x:f>
      </x:c>
    </x:row>
    <x:row r="83" ht="42" customHeight="1">
      <x:c r="A83" s="17" t="str"/>
      <x:c r="B83" s="17" t="str"/>
      <x:c r="C83" s="17" t="str"/>
      <x:c r="D83" s="17" t="str"/>
      <x:c r="E83" s="26" t="str"/>
      <x:c r="F83" s="26" t="str"/>
      <x:c r="G83" s="26" t="str">
        <x:f>IF(OR(E83="",F83=""),"",F83-E83)</x:f>
      </x:c>
      <x:c r="H83" s="24" t="str"/>
      <x:c r="I83" s="24" t="str"/>
      <x:c r="J83" s="24" t="str"/>
      <x:c r="K83" s="24" t="str"/>
      <x:c r="L83" s="24" t="str"/>
      <x:c r="M83" s="24" t="str"/>
      <x:c r="N83" s="24" t="str"/>
      <x:c r="O83" s="24" t="str"/>
      <x:c r="P83" s="30" t="str"/>
      <x:c r="Q83" s="24" t="str"/>
      <x:c r="R83" s="24" t="str"/>
      <x:c r="S83" s="24" t="str"/>
      <x:c r="T83" s="24" t="str">
        <x:f>IF(AND(A83="",B83="",C83="",D83="",E83="",F83="",H83="",I83="",J83="",K83="",L83="",M83="",N83="",O83="",P83="",Q83="",R83="",S83=""),"",IF(OR(A83="",B83="",C83="",D83="",E83="",F83="",F83&lt;=E83,H83="",I83="",J83="",K83="",L83="",M83="",N83="",O83="",P83="",Q83="",R83="",S83=""),"REVIEW","READY"))</x:f>
      </x:c>
    </x:row>
    <x:row r="84" ht="42" customHeight="1">
      <x:c r="A84" s="17" t="str"/>
      <x:c r="B84" s="17" t="str"/>
      <x:c r="C84" s="17" t="str"/>
      <x:c r="D84" s="17" t="str"/>
      <x:c r="E84" s="26" t="str"/>
      <x:c r="F84" s="26" t="str"/>
      <x:c r="G84" s="26" t="str">
        <x:f>IF(OR(E84="",F84=""),"",F84-E84)</x:f>
      </x:c>
      <x:c r="H84" s="24" t="str"/>
      <x:c r="I84" s="24" t="str"/>
      <x:c r="J84" s="24" t="str"/>
      <x:c r="K84" s="24" t="str"/>
      <x:c r="L84" s="24" t="str"/>
      <x:c r="M84" s="24" t="str"/>
      <x:c r="N84" s="24" t="str"/>
      <x:c r="O84" s="24" t="str"/>
      <x:c r="P84" s="30" t="str"/>
      <x:c r="Q84" s="24" t="str"/>
      <x:c r="R84" s="24" t="str"/>
      <x:c r="S84" s="24" t="str"/>
      <x:c r="T84" s="24" t="str">
        <x:f>IF(AND(A84="",B84="",C84="",D84="",E84="",F84="",H84="",I84="",J84="",K84="",L84="",M84="",N84="",O84="",P84="",Q84="",R84="",S84=""),"",IF(OR(A84="",B84="",C84="",D84="",E84="",F84="",F84&lt;=E84,H84="",I84="",J84="",K84="",L84="",M84="",N84="",O84="",P84="",Q84="",R84="",S84=""),"REVIEW","READY"))</x:f>
      </x:c>
    </x:row>
    <x:row r="85" ht="42" customHeight="1">
      <x:c r="A85" s="17" t="str"/>
      <x:c r="B85" s="17" t="str"/>
      <x:c r="C85" s="17" t="str"/>
      <x:c r="D85" s="17" t="str"/>
      <x:c r="E85" s="26" t="str"/>
      <x:c r="F85" s="26" t="str"/>
      <x:c r="G85" s="26" t="str">
        <x:f>IF(OR(E85="",F85=""),"",F85-E85)</x:f>
      </x:c>
      <x:c r="H85" s="24" t="str"/>
      <x:c r="I85" s="24" t="str"/>
      <x:c r="J85" s="24" t="str"/>
      <x:c r="K85" s="24" t="str"/>
      <x:c r="L85" s="24" t="str"/>
      <x:c r="M85" s="24" t="str"/>
      <x:c r="N85" s="24" t="str"/>
      <x:c r="O85" s="24" t="str"/>
      <x:c r="P85" s="30" t="str"/>
      <x:c r="Q85" s="24" t="str"/>
      <x:c r="R85" s="24" t="str"/>
      <x:c r="S85" s="24" t="str"/>
      <x:c r="T85" s="24" t="str">
        <x:f>IF(AND(A85="",B85="",C85="",D85="",E85="",F85="",H85="",I85="",J85="",K85="",L85="",M85="",N85="",O85="",P85="",Q85="",R85="",S85=""),"",IF(OR(A85="",B85="",C85="",D85="",E85="",F85="",F85&lt;=E85,H85="",I85="",J85="",K85="",L85="",M85="",N85="",O85="",P85="",Q85="",R85="",S85=""),"REVIEW","READY"))</x:f>
      </x:c>
    </x:row>
    <x:row r="86" ht="42" customHeight="1">
      <x:c r="A86" s="17" t="str"/>
      <x:c r="B86" s="17" t="str"/>
      <x:c r="C86" s="17" t="str"/>
      <x:c r="D86" s="17" t="str"/>
      <x:c r="E86" s="26" t="str"/>
      <x:c r="F86" s="26" t="str"/>
      <x:c r="G86" s="26" t="str">
        <x:f>IF(OR(E86="",F86=""),"",F86-E86)</x:f>
      </x:c>
      <x:c r="H86" s="24" t="str"/>
      <x:c r="I86" s="24" t="str"/>
      <x:c r="J86" s="24" t="str"/>
      <x:c r="K86" s="24" t="str"/>
      <x:c r="L86" s="24" t="str"/>
      <x:c r="M86" s="24" t="str"/>
      <x:c r="N86" s="24" t="str"/>
      <x:c r="O86" s="24" t="str"/>
      <x:c r="P86" s="30" t="str"/>
      <x:c r="Q86" s="24" t="str"/>
      <x:c r="R86" s="24" t="str"/>
      <x:c r="S86" s="24" t="str"/>
      <x:c r="T86" s="24" t="str">
        <x:f>IF(AND(A86="",B86="",C86="",D86="",E86="",F86="",H86="",I86="",J86="",K86="",L86="",M86="",N86="",O86="",P86="",Q86="",R86="",S86=""),"",IF(OR(A86="",B86="",C86="",D86="",E86="",F86="",F86&lt;=E86,H86="",I86="",J86="",K86="",L86="",M86="",N86="",O86="",P86="",Q86="",R86="",S86=""),"REVIEW","READY"))</x:f>
      </x:c>
    </x:row>
    <x:row r="87" ht="42" customHeight="1">
      <x:c r="A87" s="17" t="str"/>
      <x:c r="B87" s="17" t="str"/>
      <x:c r="C87" s="17" t="str"/>
      <x:c r="D87" s="17" t="str"/>
      <x:c r="E87" s="26" t="str"/>
      <x:c r="F87" s="26" t="str"/>
      <x:c r="G87" s="26" t="str">
        <x:f>IF(OR(E87="",F87=""),"",F87-E87)</x:f>
      </x:c>
      <x:c r="H87" s="24" t="str"/>
      <x:c r="I87" s="24" t="str"/>
      <x:c r="J87" s="24" t="str"/>
      <x:c r="K87" s="24" t="str"/>
      <x:c r="L87" s="24" t="str"/>
      <x:c r="M87" s="24" t="str"/>
      <x:c r="N87" s="24" t="str"/>
      <x:c r="O87" s="24" t="str"/>
      <x:c r="P87" s="30" t="str"/>
      <x:c r="Q87" s="24" t="str"/>
      <x:c r="R87" s="24" t="str"/>
      <x:c r="S87" s="24" t="str"/>
      <x:c r="T87" s="24" t="str">
        <x:f>IF(AND(A87="",B87="",C87="",D87="",E87="",F87="",H87="",I87="",J87="",K87="",L87="",M87="",N87="",O87="",P87="",Q87="",R87="",S87=""),"",IF(OR(A87="",B87="",C87="",D87="",E87="",F87="",F87&lt;=E87,H87="",I87="",J87="",K87="",L87="",M87="",N87="",O87="",P87="",Q87="",R87="",S87=""),"REVIEW","READY"))</x:f>
      </x:c>
    </x:row>
    <x:row r="88" ht="42" customHeight="1">
      <x:c r="A88" s="17" t="str"/>
      <x:c r="B88" s="17" t="str"/>
      <x:c r="C88" s="17" t="str"/>
      <x:c r="D88" s="17" t="str"/>
      <x:c r="E88" s="26" t="str"/>
      <x:c r="F88" s="26" t="str"/>
      <x:c r="G88" s="26" t="str">
        <x:f>IF(OR(E88="",F88=""),"",F88-E88)</x:f>
      </x:c>
      <x:c r="H88" s="24" t="str"/>
      <x:c r="I88" s="24" t="str"/>
      <x:c r="J88" s="24" t="str"/>
      <x:c r="K88" s="24" t="str"/>
      <x:c r="L88" s="24" t="str"/>
      <x:c r="M88" s="24" t="str"/>
      <x:c r="N88" s="24" t="str"/>
      <x:c r="O88" s="24" t="str"/>
      <x:c r="P88" s="30" t="str"/>
      <x:c r="Q88" s="24" t="str"/>
      <x:c r="R88" s="24" t="str"/>
      <x:c r="S88" s="24" t="str"/>
      <x:c r="T88" s="24" t="str">
        <x:f>IF(AND(A88="",B88="",C88="",D88="",E88="",F88="",H88="",I88="",J88="",K88="",L88="",M88="",N88="",O88="",P88="",Q88="",R88="",S88=""),"",IF(OR(A88="",B88="",C88="",D88="",E88="",F88="",F88&lt;=E88,H88="",I88="",J88="",K88="",L88="",M88="",N88="",O88="",P88="",Q88="",R88="",S88=""),"REVIEW","READY"))</x:f>
      </x:c>
    </x:row>
    <x:row r="89" ht="42" customHeight="1">
      <x:c r="A89" s="17" t="str"/>
      <x:c r="B89" s="17" t="str"/>
      <x:c r="C89" s="17" t="str"/>
      <x:c r="D89" s="17" t="str"/>
      <x:c r="E89" s="26" t="str"/>
      <x:c r="F89" s="26" t="str"/>
      <x:c r="G89" s="26" t="str">
        <x:f>IF(OR(E89="",F89=""),"",F89-E89)</x:f>
      </x:c>
      <x:c r="H89" s="24" t="str"/>
      <x:c r="I89" s="24" t="str"/>
      <x:c r="J89" s="24" t="str"/>
      <x:c r="K89" s="24" t="str"/>
      <x:c r="L89" s="24" t="str"/>
      <x:c r="M89" s="24" t="str"/>
      <x:c r="N89" s="24" t="str"/>
      <x:c r="O89" s="24" t="str"/>
      <x:c r="P89" s="30" t="str"/>
      <x:c r="Q89" s="24" t="str"/>
      <x:c r="R89" s="24" t="str"/>
      <x:c r="S89" s="24" t="str"/>
      <x:c r="T89" s="24" t="str">
        <x:f>IF(AND(A89="",B89="",C89="",D89="",E89="",F89="",H89="",I89="",J89="",K89="",L89="",M89="",N89="",O89="",P89="",Q89="",R89="",S89=""),"",IF(OR(A89="",B89="",C89="",D89="",E89="",F89="",F89&lt;=E89,H89="",I89="",J89="",K89="",L89="",M89="",N89="",O89="",P89="",Q89="",R89="",S89=""),"REVIEW","READY"))</x:f>
      </x:c>
    </x:row>
    <x:row r="90" ht="42" customHeight="1">
      <x:c r="A90" s="17" t="str"/>
      <x:c r="B90" s="17" t="str"/>
      <x:c r="C90" s="17" t="str"/>
      <x:c r="D90" s="17" t="str"/>
      <x:c r="E90" s="26" t="str"/>
      <x:c r="F90" s="26" t="str"/>
      <x:c r="G90" s="26" t="str">
        <x:f>IF(OR(E90="",F90=""),"",F90-E90)</x:f>
      </x:c>
      <x:c r="H90" s="24" t="str"/>
      <x:c r="I90" s="24" t="str"/>
      <x:c r="J90" s="24" t="str"/>
      <x:c r="K90" s="24" t="str"/>
      <x:c r="L90" s="24" t="str"/>
      <x:c r="M90" s="24" t="str"/>
      <x:c r="N90" s="24" t="str"/>
      <x:c r="O90" s="24" t="str"/>
      <x:c r="P90" s="30" t="str"/>
      <x:c r="Q90" s="24" t="str"/>
      <x:c r="R90" s="24" t="str"/>
      <x:c r="S90" s="24" t="str"/>
      <x:c r="T90" s="24" t="str">
        <x:f>IF(AND(A90="",B90="",C90="",D90="",E90="",F90="",H90="",I90="",J90="",K90="",L90="",M90="",N90="",O90="",P90="",Q90="",R90="",S90=""),"",IF(OR(A90="",B90="",C90="",D90="",E90="",F90="",F90&lt;=E90,H90="",I90="",J90="",K90="",L90="",M90="",N90="",O90="",P90="",Q90="",R90="",S90=""),"REVIEW","READY"))</x:f>
      </x:c>
    </x:row>
    <x:row r="91" ht="42" customHeight="1">
      <x:c r="A91" s="17" t="str"/>
      <x:c r="B91" s="17" t="str"/>
      <x:c r="C91" s="17" t="str"/>
      <x:c r="D91" s="17" t="str"/>
      <x:c r="E91" s="26" t="str"/>
      <x:c r="F91" s="26" t="str"/>
      <x:c r="G91" s="26" t="str">
        <x:f>IF(OR(E91="",F91=""),"",F91-E91)</x:f>
      </x:c>
      <x:c r="H91" s="24" t="str"/>
      <x:c r="I91" s="24" t="str"/>
      <x:c r="J91" s="24" t="str"/>
      <x:c r="K91" s="24" t="str"/>
      <x:c r="L91" s="24" t="str"/>
      <x:c r="M91" s="24" t="str"/>
      <x:c r="N91" s="24" t="str"/>
      <x:c r="O91" s="24" t="str"/>
      <x:c r="P91" s="30" t="str"/>
      <x:c r="Q91" s="24" t="str"/>
      <x:c r="R91" s="24" t="str"/>
      <x:c r="S91" s="24" t="str"/>
      <x:c r="T91" s="24" t="str">
        <x:f>IF(AND(A91="",B91="",C91="",D91="",E91="",F91="",H91="",I91="",J91="",K91="",L91="",M91="",N91="",O91="",P91="",Q91="",R91="",S91=""),"",IF(OR(A91="",B91="",C91="",D91="",E91="",F91="",F91&lt;=E91,H91="",I91="",J91="",K91="",L91="",M91="",N91="",O91="",P91="",Q91="",R91="",S91=""),"REVIEW","READY"))</x:f>
      </x:c>
    </x:row>
    <x:row r="92" ht="42" customHeight="1">
      <x:c r="A92" s="17" t="str"/>
      <x:c r="B92" s="17" t="str"/>
      <x:c r="C92" s="17" t="str"/>
      <x:c r="D92" s="17" t="str"/>
      <x:c r="E92" s="26" t="str"/>
      <x:c r="F92" s="26" t="str"/>
      <x:c r="G92" s="26" t="str">
        <x:f>IF(OR(E92="",F92=""),"",F92-E92)</x:f>
      </x:c>
      <x:c r="H92" s="24" t="str"/>
      <x:c r="I92" s="24" t="str"/>
      <x:c r="J92" s="24" t="str"/>
      <x:c r="K92" s="24" t="str"/>
      <x:c r="L92" s="24" t="str"/>
      <x:c r="M92" s="24" t="str"/>
      <x:c r="N92" s="24" t="str"/>
      <x:c r="O92" s="24" t="str"/>
      <x:c r="P92" s="30" t="str"/>
      <x:c r="Q92" s="24" t="str"/>
      <x:c r="R92" s="24" t="str"/>
      <x:c r="S92" s="24" t="str"/>
      <x:c r="T92" s="24" t="str">
        <x:f>IF(AND(A92="",B92="",C92="",D92="",E92="",F92="",H92="",I92="",J92="",K92="",L92="",M92="",N92="",O92="",P92="",Q92="",R92="",S92=""),"",IF(OR(A92="",B92="",C92="",D92="",E92="",F92="",F92&lt;=E92,H92="",I92="",J92="",K92="",L92="",M92="",N92="",O92="",P92="",Q92="",R92="",S92=""),"REVIEW","READY"))</x:f>
      </x:c>
    </x:row>
    <x:row r="93" ht="42" customHeight="1">
      <x:c r="A93" s="17" t="str"/>
      <x:c r="B93" s="17" t="str"/>
      <x:c r="C93" s="17" t="str"/>
      <x:c r="D93" s="17" t="str"/>
      <x:c r="E93" s="26" t="str"/>
      <x:c r="F93" s="26" t="str"/>
      <x:c r="G93" s="26" t="str">
        <x:f>IF(OR(E93="",F93=""),"",F93-E93)</x:f>
      </x:c>
      <x:c r="H93" s="24" t="str"/>
      <x:c r="I93" s="24" t="str"/>
      <x:c r="J93" s="24" t="str"/>
      <x:c r="K93" s="24" t="str"/>
      <x:c r="L93" s="24" t="str"/>
      <x:c r="M93" s="24" t="str"/>
      <x:c r="N93" s="24" t="str"/>
      <x:c r="O93" s="24" t="str"/>
      <x:c r="P93" s="30" t="str"/>
      <x:c r="Q93" s="24" t="str"/>
      <x:c r="R93" s="24" t="str"/>
      <x:c r="S93" s="24" t="str"/>
      <x:c r="T93" s="24" t="str">
        <x:f>IF(AND(A93="",B93="",C93="",D93="",E93="",F93="",H93="",I93="",J93="",K93="",L93="",M93="",N93="",O93="",P93="",Q93="",R93="",S93=""),"",IF(OR(A93="",B93="",C93="",D93="",E93="",F93="",F93&lt;=E93,H93="",I93="",J93="",K93="",L93="",M93="",N93="",O93="",P93="",Q93="",R93="",S93=""),"REVIEW","READY"))</x:f>
      </x:c>
    </x:row>
    <x:row r="94" ht="42" customHeight="1">
      <x:c r="A94" s="17" t="str"/>
      <x:c r="B94" s="17" t="str"/>
      <x:c r="C94" s="17" t="str"/>
      <x:c r="D94" s="17" t="str"/>
      <x:c r="E94" s="26" t="str"/>
      <x:c r="F94" s="26" t="str"/>
      <x:c r="G94" s="26" t="str">
        <x:f>IF(OR(E94="",F94=""),"",F94-E94)</x:f>
      </x:c>
      <x:c r="H94" s="24" t="str"/>
      <x:c r="I94" s="24" t="str"/>
      <x:c r="J94" s="24" t="str"/>
      <x:c r="K94" s="24" t="str"/>
      <x:c r="L94" s="24" t="str"/>
      <x:c r="M94" s="24" t="str"/>
      <x:c r="N94" s="24" t="str"/>
      <x:c r="O94" s="24" t="str"/>
      <x:c r="P94" s="30" t="str"/>
      <x:c r="Q94" s="24" t="str"/>
      <x:c r="R94" s="24" t="str"/>
      <x:c r="S94" s="24" t="str"/>
      <x:c r="T94" s="24" t="str">
        <x:f>IF(AND(A94="",B94="",C94="",D94="",E94="",F94="",H94="",I94="",J94="",K94="",L94="",M94="",N94="",O94="",P94="",Q94="",R94="",S94=""),"",IF(OR(A94="",B94="",C94="",D94="",E94="",F94="",F94&lt;=E94,H94="",I94="",J94="",K94="",L94="",M94="",N94="",O94="",P94="",Q94="",R94="",S94=""),"REVIEW","READY"))</x:f>
      </x:c>
    </x:row>
    <x:row r="95" ht="42" customHeight="1">
      <x:c r="A95" s="17" t="str"/>
      <x:c r="B95" s="17" t="str"/>
      <x:c r="C95" s="17" t="str"/>
      <x:c r="D95" s="17" t="str"/>
      <x:c r="E95" s="26" t="str"/>
      <x:c r="F95" s="26" t="str"/>
      <x:c r="G95" s="26" t="str">
        <x:f>IF(OR(E95="",F95=""),"",F95-E95)</x:f>
      </x:c>
      <x:c r="H95" s="24" t="str"/>
      <x:c r="I95" s="24" t="str"/>
      <x:c r="J95" s="24" t="str"/>
      <x:c r="K95" s="24" t="str"/>
      <x:c r="L95" s="24" t="str"/>
      <x:c r="M95" s="24" t="str"/>
      <x:c r="N95" s="24" t="str"/>
      <x:c r="O95" s="24" t="str"/>
      <x:c r="P95" s="30" t="str"/>
      <x:c r="Q95" s="24" t="str"/>
      <x:c r="R95" s="24" t="str"/>
      <x:c r="S95" s="24" t="str"/>
      <x:c r="T95" s="24" t="str">
        <x:f>IF(AND(A95="",B95="",C95="",D95="",E95="",F95="",H95="",I95="",J95="",K95="",L95="",M95="",N95="",O95="",P95="",Q95="",R95="",S95=""),"",IF(OR(A95="",B95="",C95="",D95="",E95="",F95="",F95&lt;=E95,H95="",I95="",J95="",K95="",L95="",M95="",N95="",O95="",P95="",Q95="",R95="",S95=""),"REVIEW","READY"))</x:f>
      </x:c>
    </x:row>
    <x:row r="96" ht="42" customHeight="1">
      <x:c r="A96" s="17" t="str"/>
      <x:c r="B96" s="17" t="str"/>
      <x:c r="C96" s="17" t="str"/>
      <x:c r="D96" s="17" t="str"/>
      <x:c r="E96" s="26" t="str"/>
      <x:c r="F96" s="26" t="str"/>
      <x:c r="G96" s="26" t="str">
        <x:f>IF(OR(E96="",F96=""),"",F96-E96)</x:f>
      </x:c>
      <x:c r="H96" s="24" t="str"/>
      <x:c r="I96" s="24" t="str"/>
      <x:c r="J96" s="24" t="str"/>
      <x:c r="K96" s="24" t="str"/>
      <x:c r="L96" s="24" t="str"/>
      <x:c r="M96" s="24" t="str"/>
      <x:c r="N96" s="24" t="str"/>
      <x:c r="O96" s="24" t="str"/>
      <x:c r="P96" s="30" t="str"/>
      <x:c r="Q96" s="24" t="str"/>
      <x:c r="R96" s="24" t="str"/>
      <x:c r="S96" s="24" t="str"/>
      <x:c r="T96" s="24" t="str">
        <x:f>IF(AND(A96="",B96="",C96="",D96="",E96="",F96="",H96="",I96="",J96="",K96="",L96="",M96="",N96="",O96="",P96="",Q96="",R96="",S96=""),"",IF(OR(A96="",B96="",C96="",D96="",E96="",F96="",F96&lt;=E96,H96="",I96="",J96="",K96="",L96="",M96="",N96="",O96="",P96="",Q96="",R96="",S96=""),"REVIEW","READY"))</x:f>
      </x:c>
    </x:row>
    <x:row r="97" ht="42" customHeight="1">
      <x:c r="A97" s="17" t="str"/>
      <x:c r="B97" s="17" t="str"/>
      <x:c r="C97" s="17" t="str"/>
      <x:c r="D97" s="17" t="str"/>
      <x:c r="E97" s="26" t="str"/>
      <x:c r="F97" s="26" t="str"/>
      <x:c r="G97" s="26" t="str">
        <x:f>IF(OR(E97="",F97=""),"",F97-E97)</x:f>
      </x:c>
      <x:c r="H97" s="24" t="str"/>
      <x:c r="I97" s="24" t="str"/>
      <x:c r="J97" s="24" t="str"/>
      <x:c r="K97" s="24" t="str"/>
      <x:c r="L97" s="24" t="str"/>
      <x:c r="M97" s="24" t="str"/>
      <x:c r="N97" s="24" t="str"/>
      <x:c r="O97" s="24" t="str"/>
      <x:c r="P97" s="30" t="str"/>
      <x:c r="Q97" s="24" t="str"/>
      <x:c r="R97" s="24" t="str"/>
      <x:c r="S97" s="24" t="str"/>
      <x:c r="T97" s="24" t="str">
        <x:f>IF(AND(A97="",B97="",C97="",D97="",E97="",F97="",H97="",I97="",J97="",K97="",L97="",M97="",N97="",O97="",P97="",Q97="",R97="",S97=""),"",IF(OR(A97="",B97="",C97="",D97="",E97="",F97="",F97&lt;=E97,H97="",I97="",J97="",K97="",L97="",M97="",N97="",O97="",P97="",Q97="",R97="",S97=""),"REVIEW","READY"))</x:f>
      </x:c>
    </x:row>
    <x:row r="98" ht="42" customHeight="1">
      <x:c r="A98" s="17" t="str"/>
      <x:c r="B98" s="17" t="str"/>
      <x:c r="C98" s="17" t="str"/>
      <x:c r="D98" s="17" t="str"/>
      <x:c r="E98" s="26" t="str"/>
      <x:c r="F98" s="26" t="str"/>
      <x:c r="G98" s="26" t="str">
        <x:f>IF(OR(E98="",F98=""),"",F98-E98)</x:f>
      </x:c>
      <x:c r="H98" s="24" t="str"/>
      <x:c r="I98" s="24" t="str"/>
      <x:c r="J98" s="24" t="str"/>
      <x:c r="K98" s="24" t="str"/>
      <x:c r="L98" s="24" t="str"/>
      <x:c r="M98" s="24" t="str"/>
      <x:c r="N98" s="24" t="str"/>
      <x:c r="O98" s="24" t="str"/>
      <x:c r="P98" s="30" t="str"/>
      <x:c r="Q98" s="24" t="str"/>
      <x:c r="R98" s="24" t="str"/>
      <x:c r="S98" s="24" t="str"/>
      <x:c r="T98" s="24" t="str">
        <x:f>IF(AND(A98="",B98="",C98="",D98="",E98="",F98="",H98="",I98="",J98="",K98="",L98="",M98="",N98="",O98="",P98="",Q98="",R98="",S98=""),"",IF(OR(A98="",B98="",C98="",D98="",E98="",F98="",F98&lt;=E98,H98="",I98="",J98="",K98="",L98="",M98="",N98="",O98="",P98="",Q98="",R98="",S98=""),"REVIEW","READY"))</x:f>
      </x:c>
    </x:row>
    <x:row r="99" ht="42" customHeight="1">
      <x:c r="A99" s="17" t="str"/>
      <x:c r="B99" s="17" t="str"/>
      <x:c r="C99" s="17" t="str"/>
      <x:c r="D99" s="17" t="str"/>
      <x:c r="E99" s="26" t="str"/>
      <x:c r="F99" s="26" t="str"/>
      <x:c r="G99" s="26" t="str">
        <x:f>IF(OR(E99="",F99=""),"",F99-E99)</x:f>
      </x:c>
      <x:c r="H99" s="24" t="str"/>
      <x:c r="I99" s="24" t="str"/>
      <x:c r="J99" s="24" t="str"/>
      <x:c r="K99" s="24" t="str"/>
      <x:c r="L99" s="24" t="str"/>
      <x:c r="M99" s="24" t="str"/>
      <x:c r="N99" s="24" t="str"/>
      <x:c r="O99" s="24" t="str"/>
      <x:c r="P99" s="30" t="str"/>
      <x:c r="Q99" s="24" t="str"/>
      <x:c r="R99" s="24" t="str"/>
      <x:c r="S99" s="24" t="str"/>
      <x:c r="T99" s="24" t="str">
        <x:f>IF(AND(A99="",B99="",C99="",D99="",E99="",F99="",H99="",I99="",J99="",K99="",L99="",M99="",N99="",O99="",P99="",Q99="",R99="",S99=""),"",IF(OR(A99="",B99="",C99="",D99="",E99="",F99="",F99&lt;=E99,H99="",I99="",J99="",K99="",L99="",M99="",N99="",O99="",P99="",Q99="",R99="",S99=""),"REVIEW","READY"))</x:f>
      </x:c>
    </x:row>
    <x:row r="100" ht="42" customHeight="1">
      <x:c r="A100" s="17" t="str"/>
      <x:c r="B100" s="17" t="str"/>
      <x:c r="C100" s="17" t="str"/>
      <x:c r="D100" s="17" t="str"/>
      <x:c r="E100" s="26" t="str"/>
      <x:c r="F100" s="26" t="str"/>
      <x:c r="G100" s="26" t="str">
        <x:f>IF(OR(E100="",F100=""),"",F100-E100)</x:f>
      </x:c>
      <x:c r="H100" s="24" t="str"/>
      <x:c r="I100" s="24" t="str"/>
      <x:c r="J100" s="24" t="str"/>
      <x:c r="K100" s="24" t="str"/>
      <x:c r="L100" s="24" t="str"/>
      <x:c r="M100" s="24" t="str"/>
      <x:c r="N100" s="24" t="str"/>
      <x:c r="O100" s="24" t="str"/>
      <x:c r="P100" s="30" t="str"/>
      <x:c r="Q100" s="24" t="str"/>
      <x:c r="R100" s="24" t="str"/>
      <x:c r="S100" s="24" t="str"/>
      <x:c r="T100" s="24" t="str">
        <x:f>IF(AND(A100="",B100="",C100="",D100="",E100="",F100="",H100="",I100="",J100="",K100="",L100="",M100="",N100="",O100="",P100="",Q100="",R100="",S100=""),"",IF(OR(A100="",B100="",C100="",D100="",E100="",F100="",F100&lt;=E100,H100="",I100="",J100="",K100="",L100="",M100="",N100="",O100="",P100="",Q100="",R100="",S100=""),"REVIEW","READY"))</x:f>
      </x:c>
    </x:row>
    <x:row r="101" ht="42" customHeight="1">
      <x:c r="A101" s="17" t="str"/>
      <x:c r="B101" s="17" t="str"/>
      <x:c r="C101" s="17" t="str"/>
      <x:c r="D101" s="17" t="str"/>
      <x:c r="E101" s="26" t="str"/>
      <x:c r="F101" s="26" t="str"/>
      <x:c r="G101" s="26" t="str">
        <x:f>IF(OR(E101="",F101=""),"",F101-E101)</x:f>
      </x:c>
      <x:c r="H101" s="24" t="str"/>
      <x:c r="I101" s="24" t="str"/>
      <x:c r="J101" s="24" t="str"/>
      <x:c r="K101" s="24" t="str"/>
      <x:c r="L101" s="24" t="str"/>
      <x:c r="M101" s="24" t="str"/>
      <x:c r="N101" s="24" t="str"/>
      <x:c r="O101" s="24" t="str"/>
      <x:c r="P101" s="30" t="str"/>
      <x:c r="Q101" s="24" t="str"/>
      <x:c r="R101" s="24" t="str"/>
      <x:c r="S101" s="24" t="str"/>
      <x:c r="T101" s="24" t="str">
        <x:f>IF(AND(A101="",B101="",C101="",D101="",E101="",F101="",H101="",I101="",J101="",K101="",L101="",M101="",N101="",O101="",P101="",Q101="",R101="",S101=""),"",IF(OR(A101="",B101="",C101="",D101="",E101="",F101="",F101&lt;=E101,H101="",I101="",J101="",K101="",L101="",M101="",N101="",O101="",P101="",Q101="",R101="",S101=""),"REVIEW","READY"))</x:f>
      </x:c>
    </x:row>
    <x:row r="102" ht="42" customHeight="1">
      <x:c r="A102" s="17" t="str"/>
      <x:c r="B102" s="17" t="str"/>
      <x:c r="C102" s="17" t="str"/>
      <x:c r="D102" s="17" t="str"/>
      <x:c r="E102" s="26" t="str"/>
      <x:c r="F102" s="26" t="str"/>
      <x:c r="G102" s="26" t="str">
        <x:f>IF(OR(E102="",F102=""),"",F102-E102)</x:f>
      </x:c>
      <x:c r="H102" s="24" t="str"/>
      <x:c r="I102" s="24" t="str"/>
      <x:c r="J102" s="24" t="str"/>
      <x:c r="K102" s="24" t="str"/>
      <x:c r="L102" s="24" t="str"/>
      <x:c r="M102" s="24" t="str"/>
      <x:c r="N102" s="24" t="str"/>
      <x:c r="O102" s="24" t="str"/>
      <x:c r="P102" s="30" t="str"/>
      <x:c r="Q102" s="24" t="str"/>
      <x:c r="R102" s="24" t="str"/>
      <x:c r="S102" s="24" t="str"/>
      <x:c r="T102" s="24" t="str">
        <x:f>IF(AND(A102="",B102="",C102="",D102="",E102="",F102="",H102="",I102="",J102="",K102="",L102="",M102="",N102="",O102="",P102="",Q102="",R102="",S102=""),"",IF(OR(A102="",B102="",C102="",D102="",E102="",F102="",F102&lt;=E102,H102="",I102="",J102="",K102="",L102="",M102="",N102="",O102="",P102="",Q102="",R102="",S102=""),"REVIEW","READY"))</x:f>
      </x:c>
    </x:row>
    <x:row r="103" ht="42" customHeight="1">
      <x:c r="A103" s="17" t="str"/>
      <x:c r="B103" s="17" t="str"/>
      <x:c r="C103" s="17" t="str"/>
      <x:c r="D103" s="17" t="str"/>
      <x:c r="E103" s="26" t="str"/>
      <x:c r="F103" s="26" t="str"/>
      <x:c r="G103" s="26" t="str">
        <x:f>IF(OR(E103="",F103=""),"",F103-E103)</x:f>
      </x:c>
      <x:c r="H103" s="24" t="str"/>
      <x:c r="I103" s="24" t="str"/>
      <x:c r="J103" s="24" t="str"/>
      <x:c r="K103" s="24" t="str"/>
      <x:c r="L103" s="24" t="str"/>
      <x:c r="M103" s="24" t="str"/>
      <x:c r="N103" s="24" t="str"/>
      <x:c r="O103" s="24" t="str"/>
      <x:c r="P103" s="30" t="str"/>
      <x:c r="Q103" s="24" t="str"/>
      <x:c r="R103" s="24" t="str"/>
      <x:c r="S103" s="24" t="str"/>
      <x:c r="T103" s="24" t="str">
        <x:f>IF(AND(A103="",B103="",C103="",D103="",E103="",F103="",H103="",I103="",J103="",K103="",L103="",M103="",N103="",O103="",P103="",Q103="",R103="",S103=""),"",IF(OR(A103="",B103="",C103="",D103="",E103="",F103="",F103&lt;=E103,H103="",I103="",J103="",K103="",L103="",M103="",N103="",O103="",P103="",Q103="",R103="",S103=""),"REVIEW","READY"))</x:f>
      </x:c>
    </x:row>
    <x:row r="104" ht="42" customHeight="1">
      <x:c r="A104" s="17" t="str"/>
      <x:c r="B104" s="17" t="str"/>
      <x:c r="C104" s="17" t="str"/>
      <x:c r="D104" s="17" t="str"/>
      <x:c r="E104" s="26" t="str"/>
      <x:c r="F104" s="26" t="str"/>
      <x:c r="G104" s="26" t="str">
        <x:f>IF(OR(E104="",F104=""),"",F104-E104)</x:f>
      </x:c>
      <x:c r="H104" s="24" t="str"/>
      <x:c r="I104" s="24" t="str"/>
      <x:c r="J104" s="24" t="str"/>
      <x:c r="K104" s="24" t="str"/>
      <x:c r="L104" s="24" t="str"/>
      <x:c r="M104" s="24" t="str"/>
      <x:c r="N104" s="24" t="str"/>
      <x:c r="O104" s="24" t="str"/>
      <x:c r="P104" s="30" t="str"/>
      <x:c r="Q104" s="24" t="str"/>
      <x:c r="R104" s="24" t="str"/>
      <x:c r="S104" s="24" t="str"/>
      <x:c r="T104" s="24" t="str">
        <x:f>IF(AND(A104="",B104="",C104="",D104="",E104="",F104="",H104="",I104="",J104="",K104="",L104="",M104="",N104="",O104="",P104="",Q104="",R104="",S104=""),"",IF(OR(A104="",B104="",C104="",D104="",E104="",F104="",F104&lt;=E104,H104="",I104="",J104="",K104="",L104="",M104="",N104="",O104="",P104="",Q104="",R104="",S104=""),"REVIEW","READY"))</x:f>
      </x:c>
    </x:row>
    <x:row r="105" ht="42" customHeight="1">
      <x:c r="A105" s="17" t="str"/>
      <x:c r="B105" s="17" t="str"/>
      <x:c r="C105" s="17" t="str"/>
      <x:c r="D105" s="17" t="str"/>
      <x:c r="E105" s="26" t="str"/>
      <x:c r="F105" s="26" t="str"/>
      <x:c r="G105" s="26" t="str">
        <x:f>IF(OR(E105="",F105=""),"",F105-E105)</x:f>
      </x:c>
      <x:c r="H105" s="24" t="str"/>
      <x:c r="I105" s="24" t="str"/>
      <x:c r="J105" s="24" t="str"/>
      <x:c r="K105" s="24" t="str"/>
      <x:c r="L105" s="24" t="str"/>
      <x:c r="M105" s="24" t="str"/>
      <x:c r="N105" s="24" t="str"/>
      <x:c r="O105" s="24" t="str"/>
      <x:c r="P105" s="30" t="str"/>
      <x:c r="Q105" s="24" t="str"/>
      <x:c r="R105" s="24" t="str"/>
      <x:c r="S105" s="24" t="str"/>
      <x:c r="T105" s="24" t="str">
        <x:f>IF(AND(A105="",B105="",C105="",D105="",E105="",F105="",H105="",I105="",J105="",K105="",L105="",M105="",N105="",O105="",P105="",Q105="",R105="",S105=""),"",IF(OR(A105="",B105="",C105="",D105="",E105="",F105="",F105&lt;=E105,H105="",I105="",J105="",K105="",L105="",M105="",N105="",O105="",P105="",Q105="",R105="",S105=""),"REVIEW","READY"))</x:f>
      </x:c>
    </x:row>
    <x:row r="106" ht="42" customHeight="1">
      <x:c r="A106" s="17" t="str"/>
      <x:c r="B106" s="17" t="str"/>
      <x:c r="C106" s="17" t="str"/>
      <x:c r="D106" s="17" t="str"/>
      <x:c r="E106" s="26" t="str"/>
      <x:c r="F106" s="26" t="str"/>
      <x:c r="G106" s="26" t="str">
        <x:f>IF(OR(E106="",F106=""),"",F106-E106)</x:f>
      </x:c>
      <x:c r="H106" s="24" t="str"/>
      <x:c r="I106" s="24" t="str"/>
      <x:c r="J106" s="24" t="str"/>
      <x:c r="K106" s="24" t="str"/>
      <x:c r="L106" s="24" t="str"/>
      <x:c r="M106" s="24" t="str"/>
      <x:c r="N106" s="24" t="str"/>
      <x:c r="O106" s="24" t="str"/>
      <x:c r="P106" s="30" t="str"/>
      <x:c r="Q106" s="24" t="str"/>
      <x:c r="R106" s="24" t="str"/>
      <x:c r="S106" s="24" t="str"/>
      <x:c r="T106" s="24" t="str">
        <x:f>IF(AND(A106="",B106="",C106="",D106="",E106="",F106="",H106="",I106="",J106="",K106="",L106="",M106="",N106="",O106="",P106="",Q106="",R106="",S106=""),"",IF(OR(A106="",B106="",C106="",D106="",E106="",F106="",F106&lt;=E106,H106="",I106="",J106="",K106="",L106="",M106="",N106="",O106="",P106="",Q106="",R106="",S106=""),"REVIEW","READY"))</x:f>
      </x:c>
    </x:row>
    <x:row r="107" ht="42" customHeight="1">
      <x:c r="A107" s="17" t="str"/>
      <x:c r="B107" s="17" t="str"/>
      <x:c r="C107" s="17" t="str"/>
      <x:c r="D107" s="17" t="str"/>
      <x:c r="E107" s="26" t="str"/>
      <x:c r="F107" s="26" t="str"/>
      <x:c r="G107" s="26" t="str">
        <x:f>IF(OR(E107="",F107=""),"",F107-E107)</x:f>
      </x:c>
      <x:c r="H107" s="24" t="str"/>
      <x:c r="I107" s="24" t="str"/>
      <x:c r="J107" s="24" t="str"/>
      <x:c r="K107" s="24" t="str"/>
      <x:c r="L107" s="24" t="str"/>
      <x:c r="M107" s="24" t="str"/>
      <x:c r="N107" s="24" t="str"/>
      <x:c r="O107" s="24" t="str"/>
      <x:c r="P107" s="30" t="str"/>
      <x:c r="Q107" s="24" t="str"/>
      <x:c r="R107" s="24" t="str"/>
      <x:c r="S107" s="24" t="str"/>
      <x:c r="T107" s="24" t="str">
        <x:f>IF(AND(A107="",B107="",C107="",D107="",E107="",F107="",H107="",I107="",J107="",K107="",L107="",M107="",N107="",O107="",P107="",Q107="",R107="",S107=""),"",IF(OR(A107="",B107="",C107="",D107="",E107="",F107="",F107&lt;=E107,H107="",I107="",J107="",K107="",L107="",M107="",N107="",O107="",P107="",Q107="",R107="",S107=""),"REVIEW","READY"))</x:f>
      </x:c>
    </x:row>
    <x:row r="108" ht="42" customHeight="1">
      <x:c r="A108" s="17" t="str"/>
      <x:c r="B108" s="17" t="str"/>
      <x:c r="C108" s="17" t="str"/>
      <x:c r="D108" s="17" t="str"/>
      <x:c r="E108" s="26" t="str"/>
      <x:c r="F108" s="26" t="str"/>
      <x:c r="G108" s="26" t="str">
        <x:f>IF(OR(E108="",F108=""),"",F108-E108)</x:f>
      </x:c>
      <x:c r="H108" s="24" t="str"/>
      <x:c r="I108" s="24" t="str"/>
      <x:c r="J108" s="24" t="str"/>
      <x:c r="K108" s="24" t="str"/>
      <x:c r="L108" s="24" t="str"/>
      <x:c r="M108" s="24" t="str"/>
      <x:c r="N108" s="24" t="str"/>
      <x:c r="O108" s="24" t="str"/>
      <x:c r="P108" s="30" t="str"/>
      <x:c r="Q108" s="24" t="str"/>
      <x:c r="R108" s="24" t="str"/>
      <x:c r="S108" s="24" t="str"/>
      <x:c r="T108" s="24" t="str">
        <x:f>IF(AND(A108="",B108="",C108="",D108="",E108="",F108="",H108="",I108="",J108="",K108="",L108="",M108="",N108="",O108="",P108="",Q108="",R108="",S108=""),"",IF(OR(A108="",B108="",C108="",D108="",E108="",F108="",F108&lt;=E108,H108="",I108="",J108="",K108="",L108="",M108="",N108="",O108="",P108="",Q108="",R108="",S108=""),"REVIEW","READY"))</x:f>
      </x:c>
    </x:row>
    <x:row r="109" ht="42" customHeight="1">
      <x:c r="A109" s="17" t="str"/>
      <x:c r="B109" s="17" t="str"/>
      <x:c r="C109" s="17" t="str"/>
      <x:c r="D109" s="17" t="str"/>
      <x:c r="E109" s="26" t="str"/>
      <x:c r="F109" s="26" t="str"/>
      <x:c r="G109" s="26" t="str">
        <x:f>IF(OR(E109="",F109=""),"",F109-E109)</x:f>
      </x:c>
      <x:c r="H109" s="24" t="str"/>
      <x:c r="I109" s="24" t="str"/>
      <x:c r="J109" s="24" t="str"/>
      <x:c r="K109" s="24" t="str"/>
      <x:c r="L109" s="24" t="str"/>
      <x:c r="M109" s="24" t="str"/>
      <x:c r="N109" s="24" t="str"/>
      <x:c r="O109" s="24" t="str"/>
      <x:c r="P109" s="30" t="str"/>
      <x:c r="Q109" s="24" t="str"/>
      <x:c r="R109" s="24" t="str"/>
      <x:c r="S109" s="24" t="str"/>
      <x:c r="T109" s="24" t="str">
        <x:f>IF(AND(A109="",B109="",C109="",D109="",E109="",F109="",H109="",I109="",J109="",K109="",L109="",M109="",N109="",O109="",P109="",Q109="",R109="",S109=""),"",IF(OR(A109="",B109="",C109="",D109="",E109="",F109="",F109&lt;=E109,H109="",I109="",J109="",K109="",L109="",M109="",N109="",O109="",P109="",Q109="",R109="",S109=""),"REVIEW","READY"))</x:f>
      </x:c>
    </x:row>
    <x:row r="110" ht="42" customHeight="1">
      <x:c r="A110" s="17" t="str"/>
      <x:c r="B110" s="17" t="str"/>
      <x:c r="C110" s="17" t="str"/>
      <x:c r="D110" s="17" t="str"/>
      <x:c r="E110" s="26" t="str"/>
      <x:c r="F110" s="26" t="str"/>
      <x:c r="G110" s="26" t="str">
        <x:f>IF(OR(E110="",F110=""),"",F110-E110)</x:f>
      </x:c>
      <x:c r="H110" s="24" t="str"/>
      <x:c r="I110" s="24" t="str"/>
      <x:c r="J110" s="24" t="str"/>
      <x:c r="K110" s="24" t="str"/>
      <x:c r="L110" s="24" t="str"/>
      <x:c r="M110" s="24" t="str"/>
      <x:c r="N110" s="24" t="str"/>
      <x:c r="O110" s="24" t="str"/>
      <x:c r="P110" s="30" t="str"/>
      <x:c r="Q110" s="24" t="str"/>
      <x:c r="R110" s="24" t="str"/>
      <x:c r="S110" s="24" t="str"/>
      <x:c r="T110" s="24" t="str">
        <x:f>IF(AND(A110="",B110="",C110="",D110="",E110="",F110="",H110="",I110="",J110="",K110="",L110="",M110="",N110="",O110="",P110="",Q110="",R110="",S110=""),"",IF(OR(A110="",B110="",C110="",D110="",E110="",F110="",F110&lt;=E110,H110="",I110="",J110="",K110="",L110="",M110="",N110="",O110="",P110="",Q110="",R110="",S110=""),"REVIEW","READY"))</x:f>
      </x:c>
    </x:row>
    <x:row r="111" ht="42" customHeight="1">
      <x:c r="A111" s="17" t="str"/>
      <x:c r="B111" s="17" t="str"/>
      <x:c r="C111" s="17" t="str"/>
      <x:c r="D111" s="17" t="str"/>
      <x:c r="E111" s="26" t="str"/>
      <x:c r="F111" s="26" t="str"/>
      <x:c r="G111" s="26" t="str">
        <x:f>IF(OR(E111="",F111=""),"",F111-E111)</x:f>
      </x:c>
      <x:c r="H111" s="24" t="str"/>
      <x:c r="I111" s="24" t="str"/>
      <x:c r="J111" s="24" t="str"/>
      <x:c r="K111" s="24" t="str"/>
      <x:c r="L111" s="24" t="str"/>
      <x:c r="M111" s="24" t="str"/>
      <x:c r="N111" s="24" t="str"/>
      <x:c r="O111" s="24" t="str"/>
      <x:c r="P111" s="30" t="str"/>
      <x:c r="Q111" s="24" t="str"/>
      <x:c r="R111" s="24" t="str"/>
      <x:c r="S111" s="24" t="str"/>
      <x:c r="T111" s="24" t="str">
        <x:f>IF(AND(A111="",B111="",C111="",D111="",E111="",F111="",H111="",I111="",J111="",K111="",L111="",M111="",N111="",O111="",P111="",Q111="",R111="",S111=""),"",IF(OR(A111="",B111="",C111="",D111="",E111="",F111="",F111&lt;=E111,H111="",I111="",J111="",K111="",L111="",M111="",N111="",O111="",P111="",Q111="",R111="",S111=""),"REVIEW","READY"))</x:f>
      </x:c>
    </x:row>
    <x:row r="112" ht="42" customHeight="1">
      <x:c r="A112" s="17" t="str"/>
      <x:c r="B112" s="17" t="str"/>
      <x:c r="C112" s="17" t="str"/>
      <x:c r="D112" s="17" t="str"/>
      <x:c r="E112" s="26" t="str"/>
      <x:c r="F112" s="26" t="str"/>
      <x:c r="G112" s="26" t="str">
        <x:f>IF(OR(E112="",F112=""),"",F112-E112)</x:f>
      </x:c>
      <x:c r="H112" s="24" t="str"/>
      <x:c r="I112" s="24" t="str"/>
      <x:c r="J112" s="24" t="str"/>
      <x:c r="K112" s="24" t="str"/>
      <x:c r="L112" s="24" t="str"/>
      <x:c r="M112" s="24" t="str"/>
      <x:c r="N112" s="24" t="str"/>
      <x:c r="O112" s="24" t="str"/>
      <x:c r="P112" s="30" t="str"/>
      <x:c r="Q112" s="24" t="str"/>
      <x:c r="R112" s="24" t="str"/>
      <x:c r="S112" s="24" t="str"/>
      <x:c r="T112" s="24" t="str">
        <x:f>IF(AND(A112="",B112="",C112="",D112="",E112="",F112="",H112="",I112="",J112="",K112="",L112="",M112="",N112="",O112="",P112="",Q112="",R112="",S112=""),"",IF(OR(A112="",B112="",C112="",D112="",E112="",F112="",F112&lt;=E112,H112="",I112="",J112="",K112="",L112="",M112="",N112="",O112="",P112="",Q112="",R112="",S112=""),"REVIEW","READY"))</x:f>
      </x:c>
    </x:row>
    <x:row r="113" ht="42" customHeight="1">
      <x:c r="A113" s="17" t="str"/>
      <x:c r="B113" s="17" t="str"/>
      <x:c r="C113" s="17" t="str"/>
      <x:c r="D113" s="17" t="str"/>
      <x:c r="E113" s="26" t="str"/>
      <x:c r="F113" s="26" t="str"/>
      <x:c r="G113" s="26" t="str">
        <x:f>IF(OR(E113="",F113=""),"",F113-E113)</x:f>
      </x:c>
      <x:c r="H113" s="24" t="str"/>
      <x:c r="I113" s="24" t="str"/>
      <x:c r="J113" s="24" t="str"/>
      <x:c r="K113" s="24" t="str"/>
      <x:c r="L113" s="24" t="str"/>
      <x:c r="M113" s="24" t="str"/>
      <x:c r="N113" s="24" t="str"/>
      <x:c r="O113" s="24" t="str"/>
      <x:c r="P113" s="30" t="str"/>
      <x:c r="Q113" s="24" t="str"/>
      <x:c r="R113" s="24" t="str"/>
      <x:c r="S113" s="24" t="str"/>
      <x:c r="T113" s="24" t="str">
        <x:f>IF(AND(A113="",B113="",C113="",D113="",E113="",F113="",H113="",I113="",J113="",K113="",L113="",M113="",N113="",O113="",P113="",Q113="",R113="",S113=""),"",IF(OR(A113="",B113="",C113="",D113="",E113="",F113="",F113&lt;=E113,H113="",I113="",J113="",K113="",L113="",M113="",N113="",O113="",P113="",Q113="",R113="",S113=""),"REVIEW","READY"))</x:f>
      </x:c>
    </x:row>
    <x:row r="114" ht="42" customHeight="1">
      <x:c r="A114" s="17" t="str"/>
      <x:c r="B114" s="17" t="str"/>
      <x:c r="C114" s="17" t="str"/>
      <x:c r="D114" s="17" t="str"/>
      <x:c r="E114" s="26" t="str"/>
      <x:c r="F114" s="26" t="str"/>
      <x:c r="G114" s="26" t="str">
        <x:f>IF(OR(E114="",F114=""),"",F114-E114)</x:f>
      </x:c>
      <x:c r="H114" s="24" t="str"/>
      <x:c r="I114" s="24" t="str"/>
      <x:c r="J114" s="24" t="str"/>
      <x:c r="K114" s="24" t="str"/>
      <x:c r="L114" s="24" t="str"/>
      <x:c r="M114" s="24" t="str"/>
      <x:c r="N114" s="24" t="str"/>
      <x:c r="O114" s="24" t="str"/>
      <x:c r="P114" s="30" t="str"/>
      <x:c r="Q114" s="24" t="str"/>
      <x:c r="R114" s="24" t="str"/>
      <x:c r="S114" s="24" t="str"/>
      <x:c r="T114" s="24" t="str">
        <x:f>IF(AND(A114="",B114="",C114="",D114="",E114="",F114="",H114="",I114="",J114="",K114="",L114="",M114="",N114="",O114="",P114="",Q114="",R114="",S114=""),"",IF(OR(A114="",B114="",C114="",D114="",E114="",F114="",F114&lt;=E114,H114="",I114="",J114="",K114="",L114="",M114="",N114="",O114="",P114="",Q114="",R114="",S114=""),"REVIEW","READY"))</x:f>
      </x:c>
    </x:row>
    <x:row r="115" ht="42" customHeight="1">
      <x:c r="A115" s="17" t="str"/>
      <x:c r="B115" s="17" t="str"/>
      <x:c r="C115" s="17" t="str"/>
      <x:c r="D115" s="17" t="str"/>
      <x:c r="E115" s="26" t="str"/>
      <x:c r="F115" s="26" t="str"/>
      <x:c r="G115" s="26" t="str">
        <x:f>IF(OR(E115="",F115=""),"",F115-E115)</x:f>
      </x:c>
      <x:c r="H115" s="24" t="str"/>
      <x:c r="I115" s="24" t="str"/>
      <x:c r="J115" s="24" t="str"/>
      <x:c r="K115" s="24" t="str"/>
      <x:c r="L115" s="24" t="str"/>
      <x:c r="M115" s="24" t="str"/>
      <x:c r="N115" s="24" t="str"/>
      <x:c r="O115" s="24" t="str"/>
      <x:c r="P115" s="30" t="str"/>
      <x:c r="Q115" s="24" t="str"/>
      <x:c r="R115" s="24" t="str"/>
      <x:c r="S115" s="24" t="str"/>
      <x:c r="T115" s="24" t="str">
        <x:f>IF(AND(A115="",B115="",C115="",D115="",E115="",F115="",H115="",I115="",J115="",K115="",L115="",M115="",N115="",O115="",P115="",Q115="",R115="",S115=""),"",IF(OR(A115="",B115="",C115="",D115="",E115="",F115="",F115&lt;=E115,H115="",I115="",J115="",K115="",L115="",M115="",N115="",O115="",P115="",Q115="",R115="",S115=""),"REVIEW","READY"))</x:f>
      </x:c>
    </x:row>
    <x:row r="116" ht="42" customHeight="1">
      <x:c r="A116" s="17" t="str"/>
      <x:c r="B116" s="17" t="str"/>
      <x:c r="C116" s="17" t="str"/>
      <x:c r="D116" s="17" t="str"/>
      <x:c r="E116" s="26" t="str"/>
      <x:c r="F116" s="26" t="str"/>
      <x:c r="G116" s="26" t="str">
        <x:f>IF(OR(E116="",F116=""),"",F116-E116)</x:f>
      </x:c>
      <x:c r="H116" s="24" t="str"/>
      <x:c r="I116" s="24" t="str"/>
      <x:c r="J116" s="24" t="str"/>
      <x:c r="K116" s="24" t="str"/>
      <x:c r="L116" s="24" t="str"/>
      <x:c r="M116" s="24" t="str"/>
      <x:c r="N116" s="24" t="str"/>
      <x:c r="O116" s="24" t="str"/>
      <x:c r="P116" s="30" t="str"/>
      <x:c r="Q116" s="24" t="str"/>
      <x:c r="R116" s="24" t="str"/>
      <x:c r="S116" s="24" t="str"/>
      <x:c r="T116" s="24" t="str">
        <x:f>IF(AND(A116="",B116="",C116="",D116="",E116="",F116="",H116="",I116="",J116="",K116="",L116="",M116="",N116="",O116="",P116="",Q116="",R116="",S116=""),"",IF(OR(A116="",B116="",C116="",D116="",E116="",F116="",F116&lt;=E116,H116="",I116="",J116="",K116="",L116="",M116="",N116="",O116="",P116="",Q116="",R116="",S116=""),"REVIEW","READY"))</x:f>
      </x:c>
    </x:row>
    <x:row r="117" ht="42" customHeight="1">
      <x:c r="A117" s="17" t="str"/>
      <x:c r="B117" s="17" t="str"/>
      <x:c r="C117" s="17" t="str"/>
      <x:c r="D117" s="17" t="str"/>
      <x:c r="E117" s="26" t="str"/>
      <x:c r="F117" s="26" t="str"/>
      <x:c r="G117" s="26" t="str">
        <x:f>IF(OR(E117="",F117=""),"",F117-E117)</x:f>
      </x:c>
      <x:c r="H117" s="24" t="str"/>
      <x:c r="I117" s="24" t="str"/>
      <x:c r="J117" s="24" t="str"/>
      <x:c r="K117" s="24" t="str"/>
      <x:c r="L117" s="24" t="str"/>
      <x:c r="M117" s="24" t="str"/>
      <x:c r="N117" s="24" t="str"/>
      <x:c r="O117" s="24" t="str"/>
      <x:c r="P117" s="30" t="str"/>
      <x:c r="Q117" s="24" t="str"/>
      <x:c r="R117" s="24" t="str"/>
      <x:c r="S117" s="24" t="str"/>
      <x:c r="T117" s="24" t="str">
        <x:f>IF(AND(A117="",B117="",C117="",D117="",E117="",F117="",H117="",I117="",J117="",K117="",L117="",M117="",N117="",O117="",P117="",Q117="",R117="",S117=""),"",IF(OR(A117="",B117="",C117="",D117="",E117="",F117="",F117&lt;=E117,H117="",I117="",J117="",K117="",L117="",M117="",N117="",O117="",P117="",Q117="",R117="",S117=""),"REVIEW","READY"))</x:f>
      </x:c>
    </x:row>
    <x:row r="118" ht="42" customHeight="1">
      <x:c r="A118" s="17" t="str"/>
      <x:c r="B118" s="17" t="str"/>
      <x:c r="C118" s="17" t="str"/>
      <x:c r="D118" s="17" t="str"/>
      <x:c r="E118" s="26" t="str"/>
      <x:c r="F118" s="26" t="str"/>
      <x:c r="G118" s="26" t="str">
        <x:f>IF(OR(E118="",F118=""),"",F118-E118)</x:f>
      </x:c>
      <x:c r="H118" s="24" t="str"/>
      <x:c r="I118" s="24" t="str"/>
      <x:c r="J118" s="24" t="str"/>
      <x:c r="K118" s="24" t="str"/>
      <x:c r="L118" s="24" t="str"/>
      <x:c r="M118" s="24" t="str"/>
      <x:c r="N118" s="24" t="str"/>
      <x:c r="O118" s="24" t="str"/>
      <x:c r="P118" s="30" t="str"/>
      <x:c r="Q118" s="24" t="str"/>
      <x:c r="R118" s="24" t="str"/>
      <x:c r="S118" s="24" t="str"/>
      <x:c r="T118" s="24" t="str">
        <x:f>IF(AND(A118="",B118="",C118="",D118="",E118="",F118="",H118="",I118="",J118="",K118="",L118="",M118="",N118="",O118="",P118="",Q118="",R118="",S118=""),"",IF(OR(A118="",B118="",C118="",D118="",E118="",F118="",F118&lt;=E118,H118="",I118="",J118="",K118="",L118="",M118="",N118="",O118="",P118="",Q118="",R118="",S118=""),"REVIEW","READY"))</x:f>
      </x:c>
    </x:row>
    <x:row r="119" ht="42" customHeight="1">
      <x:c r="A119" s="17" t="str"/>
      <x:c r="B119" s="17" t="str"/>
      <x:c r="C119" s="17" t="str"/>
      <x:c r="D119" s="17" t="str"/>
      <x:c r="E119" s="26" t="str"/>
      <x:c r="F119" s="26" t="str"/>
      <x:c r="G119" s="26" t="str">
        <x:f>IF(OR(E119="",F119=""),"",F119-E119)</x:f>
      </x:c>
      <x:c r="H119" s="24" t="str"/>
      <x:c r="I119" s="24" t="str"/>
      <x:c r="J119" s="24" t="str"/>
      <x:c r="K119" s="24" t="str"/>
      <x:c r="L119" s="24" t="str"/>
      <x:c r="M119" s="24" t="str"/>
      <x:c r="N119" s="24" t="str"/>
      <x:c r="O119" s="24" t="str"/>
      <x:c r="P119" s="30" t="str"/>
      <x:c r="Q119" s="24" t="str"/>
      <x:c r="R119" s="24" t="str"/>
      <x:c r="S119" s="24" t="str"/>
      <x:c r="T119" s="24" t="str">
        <x:f>IF(AND(A119="",B119="",C119="",D119="",E119="",F119="",H119="",I119="",J119="",K119="",L119="",M119="",N119="",O119="",P119="",Q119="",R119="",S119=""),"",IF(OR(A119="",B119="",C119="",D119="",E119="",F119="",F119&lt;=E119,H119="",I119="",J119="",K119="",L119="",M119="",N119="",O119="",P119="",Q119="",R119="",S119=""),"REVIEW","READY"))</x:f>
      </x:c>
    </x:row>
    <x:row r="120" ht="42" customHeight="1">
      <x:c r="A120" s="17" t="str"/>
      <x:c r="B120" s="17" t="str"/>
      <x:c r="C120" s="17" t="str"/>
      <x:c r="D120" s="17" t="str"/>
      <x:c r="E120" s="26" t="str"/>
      <x:c r="F120" s="26" t="str"/>
      <x:c r="G120" s="26" t="str">
        <x:f>IF(OR(E120="",F120=""),"",F120-E120)</x:f>
      </x:c>
      <x:c r="H120" s="24" t="str"/>
      <x:c r="I120" s="24" t="str"/>
      <x:c r="J120" s="24" t="str"/>
      <x:c r="K120" s="24" t="str"/>
      <x:c r="L120" s="24" t="str"/>
      <x:c r="M120" s="24" t="str"/>
      <x:c r="N120" s="24" t="str"/>
      <x:c r="O120" s="24" t="str"/>
      <x:c r="P120" s="30" t="str"/>
      <x:c r="Q120" s="24" t="str"/>
      <x:c r="R120" s="24" t="str"/>
      <x:c r="S120" s="24" t="str"/>
      <x:c r="T120" s="24" t="str">
        <x:f>IF(AND(A120="",B120="",C120="",D120="",E120="",F120="",H120="",I120="",J120="",K120="",L120="",M120="",N120="",O120="",P120="",Q120="",R120="",S120=""),"",IF(OR(A120="",B120="",C120="",D120="",E120="",F120="",F120&lt;=E120,H120="",I120="",J120="",K120="",L120="",M120="",N120="",O120="",P120="",Q120="",R120="",S120=""),"REVIEW","READY"))</x:f>
      </x:c>
    </x:row>
    <x:row r="121" ht="42" customHeight="1">
      <x:c r="A121" s="17" t="str"/>
      <x:c r="B121" s="17" t="str"/>
      <x:c r="C121" s="17" t="str"/>
      <x:c r="D121" s="17" t="str"/>
      <x:c r="E121" s="26" t="str"/>
      <x:c r="F121" s="26" t="str"/>
      <x:c r="G121" s="26" t="str">
        <x:f>IF(OR(E121="",F121=""),"",F121-E121)</x:f>
      </x:c>
      <x:c r="H121" s="24" t="str"/>
      <x:c r="I121" s="24" t="str"/>
      <x:c r="J121" s="24" t="str"/>
      <x:c r="K121" s="24" t="str"/>
      <x:c r="L121" s="24" t="str"/>
      <x:c r="M121" s="24" t="str"/>
      <x:c r="N121" s="24" t="str"/>
      <x:c r="O121" s="24" t="str"/>
      <x:c r="P121" s="30" t="str"/>
      <x:c r="Q121" s="24" t="str"/>
      <x:c r="R121" s="24" t="str"/>
      <x:c r="S121" s="24" t="str"/>
      <x:c r="T121" s="24" t="str">
        <x:f>IF(AND(A121="",B121="",C121="",D121="",E121="",F121="",H121="",I121="",J121="",K121="",L121="",M121="",N121="",O121="",P121="",Q121="",R121="",S121=""),"",IF(OR(A121="",B121="",C121="",D121="",E121="",F121="",F121&lt;=E121,H121="",I121="",J121="",K121="",L121="",M121="",N121="",O121="",P121="",Q121="",R121="",S121=""),"REVIEW","READY"))</x:f>
      </x:c>
    </x:row>
    <x:row r="122" ht="42" customHeight="1">
      <x:c r="A122" s="17" t="str"/>
      <x:c r="B122" s="17" t="str"/>
      <x:c r="C122" s="17" t="str"/>
      <x:c r="D122" s="17" t="str"/>
      <x:c r="E122" s="26" t="str"/>
      <x:c r="F122" s="26" t="str"/>
      <x:c r="G122" s="26" t="str">
        <x:f>IF(OR(E122="",F122=""),"",F122-E122)</x:f>
      </x:c>
      <x:c r="H122" s="24" t="str"/>
      <x:c r="I122" s="24" t="str"/>
      <x:c r="J122" s="24" t="str"/>
      <x:c r="K122" s="24" t="str"/>
      <x:c r="L122" s="24" t="str"/>
      <x:c r="M122" s="24" t="str"/>
      <x:c r="N122" s="24" t="str"/>
      <x:c r="O122" s="24" t="str"/>
      <x:c r="P122" s="30" t="str"/>
      <x:c r="Q122" s="24" t="str"/>
      <x:c r="R122" s="24" t="str"/>
      <x:c r="S122" s="24" t="str"/>
      <x:c r="T122" s="24" t="str">
        <x:f>IF(AND(A122="",B122="",C122="",D122="",E122="",F122="",H122="",I122="",J122="",K122="",L122="",M122="",N122="",O122="",P122="",Q122="",R122="",S122=""),"",IF(OR(A122="",B122="",C122="",D122="",E122="",F122="",F122&lt;=E122,H122="",I122="",J122="",K122="",L122="",M122="",N122="",O122="",P122="",Q122="",R122="",S122=""),"REVIEW","READY"))</x:f>
      </x:c>
    </x:row>
    <x:row r="123" ht="42" customHeight="1">
      <x:c r="A123" s="17" t="str"/>
      <x:c r="B123" s="17" t="str"/>
      <x:c r="C123" s="17" t="str"/>
      <x:c r="D123" s="17" t="str"/>
      <x:c r="E123" s="26" t="str"/>
      <x:c r="F123" s="26" t="str"/>
      <x:c r="G123" s="26" t="str">
        <x:f>IF(OR(E123="",F123=""),"",F123-E123)</x:f>
      </x:c>
      <x:c r="H123" s="24" t="str"/>
      <x:c r="I123" s="24" t="str"/>
      <x:c r="J123" s="24" t="str"/>
      <x:c r="K123" s="24" t="str"/>
      <x:c r="L123" s="24" t="str"/>
      <x:c r="M123" s="24" t="str"/>
      <x:c r="N123" s="24" t="str"/>
      <x:c r="O123" s="24" t="str"/>
      <x:c r="P123" s="30" t="str"/>
      <x:c r="Q123" s="24" t="str"/>
      <x:c r="R123" s="24" t="str"/>
      <x:c r="S123" s="24" t="str"/>
      <x:c r="T123" s="24" t="str">
        <x:f>IF(AND(A123="",B123="",C123="",D123="",E123="",F123="",H123="",I123="",J123="",K123="",L123="",M123="",N123="",O123="",P123="",Q123="",R123="",S123=""),"",IF(OR(A123="",B123="",C123="",D123="",E123="",F123="",F123&lt;=E123,H123="",I123="",J123="",K123="",L123="",M123="",N123="",O123="",P123="",Q123="",R123="",S123=""),"REVIEW","READY"))</x:f>
      </x:c>
    </x:row>
    <x:row r="124" ht="42" customHeight="1">
      <x:c r="A124" s="18" t="str"/>
      <x:c r="B124" s="18" t="str"/>
      <x:c r="C124" s="18" t="str"/>
      <x:c r="D124" s="18" t="str"/>
      <x:c r="E124" s="27" t="str"/>
      <x:c r="F124" s="27" t="str"/>
      <x:c r="G124" s="27" t="str">
        <x:f>IF(OR(E124="",F124=""),"",F124-E124)</x:f>
      </x:c>
      <x:c r="H124" s="25" t="str"/>
      <x:c r="I124" s="25" t="str"/>
      <x:c r="J124" s="25" t="str"/>
      <x:c r="K124" s="25" t="str"/>
      <x:c r="L124" s="25" t="str"/>
      <x:c r="M124" s="25" t="str"/>
      <x:c r="N124" s="25" t="str"/>
      <x:c r="O124" s="25" t="str"/>
      <x:c r="P124" s="31" t="str"/>
      <x:c r="Q124" s="25" t="str"/>
      <x:c r="R124" s="25" t="str"/>
      <x:c r="S124" s="25" t="str"/>
      <x:c r="T124" s="25" t="str">
        <x:f>IF(AND(A124="",B124="",C124="",D124="",E124="",F124="",H124="",I124="",J124="",K124="",L124="",M124="",N124="",O124="",P124="",Q124="",R124="",S124=""),"",IF(OR(A124="",B124="",C124="",D124="",E124="",F124="",F124&lt;=E124,H124="",I124="",J124="",K124="",L124="",M124="",N124="",O124="",P124="",Q124="",R124="",S124=""),"REVIEW","READY"))</x:f>
      </x:c>
    </x:row>
  </x:sheetData>
  <x:mergeCells>
    <x:mergeCell ref="A1:T1"/>
    <x:mergeCell ref="A2:T2"/>
  </x:mergeCells>
  <x:conditionalFormatting sqref="T5:T124">
    <x:cfRule type="containsText" dxfId="2" priority="1" operator="containsText" text="READY"/>
    <x:cfRule type="containsText" dxfId="3" priority="2" operator="containsText" text="REVIEW"/>
  </x:conditionalFormatting>
  <x:dataValidations count="7">
    <x:dataValidation type="list" sqref="C5:C124">
      <x:formula1>"V001,V009,V010,V016,V061,V137"</x:formula1>
    </x:dataValidation>
    <x:dataValidation type="list" sqref="D5:D124">
      <x:formula1>"A,B,C"</x:formula1>
    </x:dataValidation>
    <x:dataValidation type="list" sqref="K5:K124">
      <x:formula1>"explore,construct,refine,compare,repair,commit,unknown"</x:formula1>
    </x:dataValidation>
    <x:dataValidation type="list" sqref="M5:M124">
      <x:formula1>"epistemic,pragmatic,communicative,repair,mixed,unknown"</x:formula1>
    </x:dataValidation>
    <x:dataValidation type="list" sqref="Q5:Q124">
      <x:formula1>"accepted,adjusted,undone,rejected,unresolved"</x:formula1>
    </x:dataValidation>
    <x:dataValidation type="list" sqref="S5:S124">
      <x:formula1>"tutorial_visual,tutorial_narration,vlm_prelabel,human_coded,creator_recalled,task_ground_truth"</x:formula1>
    </x:dataValidation>
    <x:dataValidation type="decimal" operator="between" sqref="P5:P124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336c8d9560e41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8" hidden="0" customWidth="1"/>
    <x:col min="9" max="9" width="28" hidden="0" customWidth="1"/>
    <x:col min="10" max="10" width="42" hidden="0" customWidth="1"/>
    <x:col min="11" max="11" width="18" hidden="0" customWidth="1"/>
    <x:col min="12" max="12" width="48" hidden="0" customWidth="1"/>
    <x:col min="13" max="13" width="24" hidden="0" customWidth="1"/>
    <x:col min="14" max="14" width="40" hidden="0" customWidth="1"/>
    <x:col min="15" max="15" width="46" hidden="0" customWidth="1"/>
    <x:col min="16" max="16" width="16" hidden="0" customWidth="1"/>
    <x:col min="17" max="17" width="22" hidden="0" customWidth="1"/>
    <x:col min="18" max="18" width="52" hidden="0" customWidth="1"/>
    <x:col min="19" max="19" width="28" hidden="0" customWidth="1"/>
    <x:col min="20" max="20" width="28" hidden="0" customWidth="1"/>
  </x:cols>
  <x:sheetData>
    <x:row r="1" ht="30" customHeight="1">
      <x:c r="A1" s="3" t="str">
        <x:v>三个合格/不合格编码示例</x:v>
      </x:c>
    </x:row>
    <x:row r="2" ht="32" customHeight="1">
      <x:c r="A2" s="7" t="str">
        <x:v>示例只展示字段写法，不代表真实参与者意图。</x:v>
      </x:c>
    </x:row>
    <x:row r="4" ht="32" customHeight="1">
      <x:c r="A4" s="16" t="str">
        <x:v>annotation_id</x:v>
      </x:c>
      <x:c r="B4" s="16" t="str">
        <x:v>episode_id</x:v>
      </x:c>
      <x:c r="C4" s="16" t="str">
        <x:v>video_id</x:v>
      </x:c>
      <x:c r="D4" s="16" t="str">
        <x:v>coder_id</x:v>
      </x:c>
      <x:c r="E4" s="16" t="str">
        <x:v>start_s</x:v>
      </x:c>
      <x:c r="F4" s="16" t="str">
        <x:v>end_s</x:v>
      </x:c>
      <x:c r="G4" s="16" t="str">
        <x:v>duration_s</x:v>
      </x:c>
      <x:c r="H4" s="16" t="str">
        <x:v>observable_action_sequence</x:v>
      </x:c>
      <x:c r="I4" s="16" t="str">
        <x:v>target</x:v>
      </x:c>
      <x:c r="J4" s="16" t="str">
        <x:v>scene_change</x:v>
      </x:c>
      <x:c r="K4" s="16" t="str">
        <x:v>goal</x:v>
      </x:c>
      <x:c r="L4" s="16" t="str">
        <x:v>desired_effect</x:v>
      </x:c>
      <x:c r="M4" s="16" t="str">
        <x:v>interaction_function</x:v>
      </x:c>
      <x:c r="N4" s="16" t="str">
        <x:v>preserve_constraint</x:v>
      </x:c>
      <x:c r="O4" s="16" t="str">
        <x:v>alternative_intent</x:v>
      </x:c>
      <x:c r="P4" s="16" t="str">
        <x:v>confidence</x:v>
      </x:c>
      <x:c r="Q4" s="16" t="str">
        <x:v>outcome_repair</x:v>
      </x:c>
      <x:c r="R4" s="16" t="str">
        <x:v>evidence_note</x:v>
      </x:c>
      <x:c r="S4" s="16" t="str">
        <x:v>provenance</x:v>
      </x:c>
      <x:c r="T4" s="16" t="str">
        <x:v>QA_status</x:v>
      </x:c>
    </x:row>
    <x:row r="5" ht="62" customHeight="1">
      <x:c r="A5" s="17" t="str">
        <x:v>A001</x:v>
      </x:c>
      <x:c r="B5" s="17" t="str">
        <x:v>E_V061_01</x:v>
      </x:c>
      <x:c r="C5" s="17" t="str">
        <x:v>V061</x:v>
      </x:c>
      <x:c r="D5" s="17" t="str">
        <x:v>A</x:v>
      </x:c>
      <x:c r="E5" s="17" t="n">
        <x:v>12</x:v>
      </x:c>
      <x:c r="F5" s="17" t="n">
        <x:v>25</x:v>
      </x:c>
      <x:c r="G5" s="17" t="n">
        <x:v>13</x:v>
      </x:c>
      <x:c r="H5" s="24" t="str">
        <x:v>orbit; pause; zoom</x:v>
      </x:c>
      <x:c r="I5" s="24" t="str">
        <x:v>rock_mesh</x:v>
      </x:c>
      <x:c r="J5" s="24" t="str">
        <x:v>no_visible_change</x:v>
      </x:c>
      <x:c r="K5" s="24" t="str">
        <x:v>explore</x:v>
      </x:c>
      <x:c r="L5" s="24" t="str">
        <x:v>inspect silhouette and surface breaks</x:v>
      </x:c>
      <x:c r="M5" s="24" t="str">
        <x:v>epistemic</x:v>
      </x:c>
      <x:c r="N5" s="24" t="str">
        <x:v>preserve geometry</x:v>
      </x:c>
      <x:c r="O5" s="24" t="str">
        <x:v>establish preferred presentation view</x:v>
      </x:c>
      <x:c r="P5" s="24" t="n">
        <x:v>0.62</x:v>
      </x:c>
      <x:c r="Q5" s="24" t="str">
        <x:v>unresolved</x:v>
      </x:c>
      <x:c r="R5" s="24" t="str">
        <x:v>00:12–00:25 只有相机变化，几何未变</x:v>
      </x:c>
      <x:c r="S5" s="24" t="str">
        <x:v>human_coded</x:v>
      </x:c>
      <x:c r="T5" s="24" t="str">
        <x:v>READY</x:v>
      </x:c>
    </x:row>
    <x:row r="6" ht="62" customHeight="1">
      <x:c r="A6" s="17" t="str">
        <x:v>A002</x:v>
      </x:c>
      <x:c r="B6" s="17" t="str">
        <x:v>E_V001_03</x:v>
      </x:c>
      <x:c r="C6" s="17" t="str">
        <x:v>V001</x:v>
      </x:c>
      <x:c r="D6" s="17" t="str">
        <x:v>A</x:v>
      </x:c>
      <x:c r="E6" s="17" t="n">
        <x:v>88</x:v>
      </x:c>
      <x:c r="F6" s="17" t="n">
        <x:v>104</x:v>
      </x:c>
      <x:c r="G6" s="17" t="n">
        <x:v>16</x:v>
      </x:c>
      <x:c r="H6" s="24" t="str">
        <x:v>select vertices; move; orbit; move</x:v>
      </x:c>
      <x:c r="I6" s="24" t="str">
        <x:v>nose_bridge vertices</x:v>
      </x:c>
      <x:c r="J6" s="24" t="str">
        <x:v>nose bridge becomes narrower</x:v>
      </x:c>
      <x:c r="K6" s="24" t="str">
        <x:v>refine</x:v>
      </x:c>
      <x:c r="L6" s="24" t="str">
        <x:v>narrow nose bridge while retaining eye-loop continuity</x:v>
      </x:c>
      <x:c r="M6" s="24" t="str">
        <x:v>mixed</x:v>
      </x:c>
      <x:c r="N6" s="24" t="str">
        <x:v>keep eye-loop continuity</x:v>
      </x:c>
      <x:c r="O6" s="24" t="str">
        <x:v>inspect topology rather than commit shape</x:v>
      </x:c>
      <x:c r="P6" s="24" t="n">
        <x:v>0.7</x:v>
      </x:c>
      <x:c r="Q6" s="24" t="str">
        <x:v>adjusted</x:v>
      </x:c>
      <x:c r="R6" s="24" t="str">
        <x:v>可见两次移动，中间 orbit；后续继续微调</x:v>
      </x:c>
      <x:c r="S6" s="24" t="str">
        <x:v>tutorial_visual</x:v>
      </x:c>
      <x:c r="T6" s="24" t="str">
        <x:v>READY</x:v>
      </x:c>
    </x:row>
    <x:row r="7" ht="62" customHeight="1">
      <x:c r="A7" s="18" t="str">
        <x:v>A003</x:v>
      </x:c>
      <x:c r="B7" s="18" t="str">
        <x:v>E_V009_02</x:v>
      </x:c>
      <x:c r="C7" s="18" t="str">
        <x:v>V009</x:v>
      </x:c>
      <x:c r="D7" s="18" t="str">
        <x:v>A</x:v>
      </x:c>
      <x:c r="E7" s="18" t="n">
        <x:v>40</x:v>
      </x:c>
      <x:c r="F7" s="18" t="n">
        <x:v>55</x:v>
      </x:c>
      <x:c r="G7" s="18" t="n">
        <x:v>15</x:v>
      </x:c>
      <x:c r="H7" s="25" t="str">
        <x:v>sculpt strokes</x:v>
      </x:c>
      <x:c r="I7" s="25" t="str">
        <x:v>creature head</x:v>
      </x:c>
      <x:c r="J7" s="25" t="str">
        <x:v>shape changed</x:v>
      </x:c>
      <x:c r="K7" s="25" t="str">
        <x:v>refine</x:v>
      </x:c>
      <x:c r="L7" s="25" t="str">
        <x:v>make it better</x:v>
      </x:c>
      <x:c r="M7" s="25" t="str">
        <x:v>pragmatic</x:v>
      </x:c>
      <x:c r="N7" s="25" t="str"/>
      <x:c r="O7" s="25" t="str"/>
      <x:c r="P7" s="25" t="n">
        <x:v>0.95</x:v>
      </x:c>
      <x:c r="Q7" s="25" t="str">
        <x:v>accepted</x:v>
      </x:c>
      <x:c r="R7" s="25" t="str">
        <x:v>根据视频标题推断</x:v>
      </x:c>
      <x:c r="S7" s="25" t="str">
        <x:v>tutorial_visual</x:v>
      </x:c>
      <x:c r="T7" s="25" t="str">
        <x:v>REVIEW：effect/constraint/alternative/evidence 不合格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7e422d75709f4b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44" hidden="0" customWidth="1"/>
  </x:cols>
  <x:sheetData>
    <x:row r="1" ht="30" customHeight="1">
      <x:c r="A1" s="3" t="str">
        <x:v>源数据与标注就绪度 QA</x:v>
      </x:c>
    </x:row>
    <x:row r="2" ht="32" customHeight="1">
      <x:c r="A2" s="7" t="str">
        <x:v>公式只统计稳定规则；语义有效性仍需人工复核。</x:v>
      </x:c>
    </x:row>
    <x:row r="4">
      <x:c r="A4" s="19" t="str">
        <x:v>检查</x:v>
      </x:c>
      <x:c r="B4" s="19" t="str">
        <x:v>值</x:v>
      </x:c>
      <x:c r="C4" s="19" t="str">
        <x:v>判断</x:v>
      </x:c>
      <x:c r="D4" s="19" t="str">
        <x:v>影响</x:v>
      </x:c>
    </x:row>
    <x:row r="5" ht="32" customHeight="1">
      <x:c r="A5" s="21" t="str">
        <x:v>源视频数</x:v>
      </x:c>
      <x:c r="B5" s="21" t="n">
        <x:f>COUNTA('Video_Index_200'!B5:B204)</x:f>
        <x:v>200</x:v>
      </x:c>
      <x:c r="C5" s="21" t="str">
        <x:v>PASS if 200</x:v>
      </x:c>
      <x:c r="D5" s="21" t="str">
        <x:v>候选池规模</x:v>
      </x:c>
    </x:row>
    <x:row r="6" ht="32" customHeight="1">
      <x:c r="A6" s="22" t="str">
        <x:v>YouTube</x:v>
      </x:c>
      <x:c r="B6" s="22" t="n">
        <x:f>COUNTIF('Video_Index_200'!C5:C204,"youtube")</x:f>
        <x:v>120</x:v>
      </x:c>
      <x:c r="C6" s="22" t="str">
        <x:v>参考</x:v>
      </x:c>
      <x:c r="D6" s="22" t="str">
        <x:v>平台覆盖</x:v>
      </x:c>
    </x:row>
    <x:row r="7" ht="32" customHeight="1">
      <x:c r="A7" s="22" t="str">
        <x:v>Bilibili</x:v>
      </x:c>
      <x:c r="B7" s="22" t="n">
        <x:f>COUNTIF('Video_Index_200'!C5:C204,"bilibili")</x:f>
        <x:v>80</x:v>
      </x:c>
      <x:c r="C7" s="22" t="str">
        <x:v>参考</x:v>
      </x:c>
      <x:c r="D7" s="22" t="str">
        <x:v>平台覆盖</x:v>
      </x:c>
    </x:row>
    <x:row r="8" ht="32" customHeight="1">
      <x:c r="A8" s="22" t="str">
        <x:v>已填标题/URL</x:v>
      </x:c>
      <x:c r="B8" s="22" t="n">
        <x:f>COUNTIFS('Video_Index_200'!E5:E204,"&lt;&gt;",'Video_Index_200'!F5:F204,"&lt;&gt;")</x:f>
        <x:v>200</x:v>
      </x:c>
      <x:c r="C8" s="22" t="str">
        <x:v>PASS if 200</x:v>
      </x:c>
      <x:c r="D8" s="22" t="str">
        <x:v>可追溯</x:v>
      </x:c>
    </x:row>
    <x:row r="9" ht="32" customHeight="1">
      <x:c r="A9" s="22" t="str">
        <x:v>原始编码列非空数</x:v>
      </x:c>
      <x:c r="B9" s="22" t="n">
        <x:v>0</x:v>
      </x:c>
      <x:c r="C9" s="22" t="str">
        <x:v>当前为空</x:v>
      </x:c>
      <x:c r="D9" s="22" t="str">
        <x:v>源 CSV 不是已完成标注</x:v>
      </x:c>
    </x:row>
    <x:row r="10" ht="32" customHeight="1">
      <x:c r="A10" s="22" t="str">
        <x:v>明确 metadata REVIEW</x:v>
      </x:c>
      <x:c r="B10" s="22" t="n">
        <x:f>COUNTIF('Video_Index_200'!J5:J204,"REVIEW")</x:f>
        <x:v>1</x:v>
      </x:c>
      <x:c r="C10" s="22" t="str">
        <x:v>需修复</x:v>
      </x:c>
      <x:c r="D10" s="22" t="str">
        <x:v>软件/标题冲突会污染分层</x:v>
      </x:c>
    </x:row>
    <x:row r="11" ht="32" customHeight="1">
      <x:c r="A11" s="22" t="str">
        <x:v>待规范 content label</x:v>
      </x:c>
      <x:c r="B11" s="22" t="n">
        <x:f>COUNTIF('Video_Index_200'!J5:J204,"NORMALIZE")</x:f>
        <x:v>2</x:v>
      </x:c>
      <x:c r="C11" s="22" t="str">
        <x:v>需修复</x:v>
      </x:c>
      <x:c r="D11" s="22" t="str">
        <x:v>PROP_OBJECT 与中文 taxonomy 不一致</x:v>
      </x:c>
    </x:row>
    <x:row r="12" ht="32" customHeight="1">
      <x:c r="A12" s="23" t="str">
        <x:v>Pilot 视频</x:v>
      </x:c>
      <x:c r="B12" s="23" t="n">
        <x:f>COUNTIF('Video_Index_200'!I5:I204,"Yes")</x:f>
        <x:v>6</x:v>
      </x:c>
      <x:c r="C12" s="23" t="str">
        <x:v>PASS if 6</x:v>
      </x:c>
      <x:c r="D12" s="23" t="str">
        <x:v>首轮规模</x:v>
      </x:c>
    </x:row>
  </x:sheetData>
  <x:mergeCells>
    <x:mergeCell ref="A1:D1"/>
    <x:mergeCell ref="A2:D2"/>
  </x:mergeCells>
  <x:pageMargins left="0.7" right="0.7" top="0.75" bottom="0.75" header="0.3" footer="0.3"/>
</x:worksheet>
</file>