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88418fba1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91ef8c0b17b94fae"/>
    <x:sheet xmlns:r="http://schemas.openxmlformats.org/officeDocument/2006/relationships" name="PRISMA流程" sheetId="2" r:id="Rc5d11f61311949a7"/>
    <x:sheet xmlns:r="http://schemas.openxmlformats.org/officeDocument/2006/relationships" name="检索日志" sheetId="3" r:id="R2539be7b40e74e25"/>
    <x:sheet xmlns:r="http://schemas.openxmlformats.org/officeDocument/2006/relationships" name="筛选记录_1262" sheetId="4" r:id="R91536c653f3b447e"/>
    <x:sheet xmlns:r="http://schemas.openxmlformats.org/officeDocument/2006/relationships" name="纳入文献_97" sheetId="5" r:id="Rb4ff748c3dbd4bd3"/>
    <x:sheet xmlns:r="http://schemas.openxmlformats.org/officeDocument/2006/relationships" name="理论矩阵" sheetId="6" r:id="R050efae14c8d452d"/>
    <x:sheet xmlns:r="http://schemas.openxmlformats.org/officeDocument/2006/relationships" name="信号_意图_记忆" sheetId="7" r:id="R912389510e3441d1"/>
    <x:sheet xmlns:r="http://schemas.openxmlformats.org/officeDocument/2006/relationships" name="接管边界" sheetId="8" r:id="R9f29908989284727"/>
    <x:sheet xmlns:r="http://schemas.openxmlformats.org/officeDocument/2006/relationships" name="DC1设计要求" sheetId="9" r:id="Ra5bcd94f26a746f2"/>
    <x:sheet xmlns:r="http://schemas.openxmlformats.org/officeDocument/2006/relationships" name="关键Insights" sheetId="10" r:id="Re0e54c5db40b45f4"/>
    <x:sheet xmlns:r="http://schemas.openxmlformats.org/officeDocument/2006/relationships" name="机制模型" sheetId="11" r:id="R274638eb60f54c21"/>
    <x:sheet xmlns:r="http://schemas.openxmlformats.org/officeDocument/2006/relationships" name="案例检索规范" sheetId="12" r:id="Rc6ced692db854461"/>
    <x:sheet xmlns:r="http://schemas.openxmlformats.org/officeDocument/2006/relationships" name="权限状态机" sheetId="13" r:id="Re40165e1a0934789"/>
    <x:sheet xmlns:r="http://schemas.openxmlformats.org/officeDocument/2006/relationships" name="IntentGraph规范" sheetId="14" r:id="R394a96a77fa44c58"/>
    <x:sheet xmlns:r="http://schemas.openxmlformats.org/officeDocument/2006/relationships" name="证据质量审计" sheetId="15" r:id="R6da506a897124bbb"/>
    <x:sheet xmlns:r="http://schemas.openxmlformats.org/officeDocument/2006/relationships" name="方法核验" sheetId="16" r:id="R9ed34c41d4664dd2"/>
    <x:sheet xmlns:r="http://schemas.openxmlformats.org/officeDocument/2006/relationships" name="DC1验证协议" sheetId="17" r:id="R6e2af7f7fc314171"/>
    <x:sheet xmlns:r="http://schemas.openxmlformats.org/officeDocument/2006/relationships" name="消融_指标矩阵" sheetId="18" r:id="Re61eb3bbe8e147f5"/>
    <x:sheet xmlns:r="http://schemas.openxmlformats.org/officeDocument/2006/relationships" name="Episode编码字典" sheetId="19" r:id="R36357684d9c546f3"/>
    <x:sheet xmlns:r="http://schemas.openxmlformats.org/officeDocument/2006/relationships" name="标注QA流程" sheetId="20" r:id="Rf2f06daf7eda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17324D"/>
      </x:font>
      <x:fill>
        <x:patternFill patternType="solid">
          <x:bgColor rgb="FFFFF2CC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678db9d0a40c3" /><Relationship Type="http://schemas.openxmlformats.org/officeDocument/2006/relationships/theme" Target="/xl/theme/theme1.xml" Id="R1e30ea2f9e014b67" /><Relationship Type="http://schemas.openxmlformats.org/officeDocument/2006/relationships/sharedStrings" Target="/xl/sharedStrings.xml" Id="Rd78f55970477427f" /><Relationship Type="http://schemas.openxmlformats.org/officeDocument/2006/relationships/worksheet" Target="/xl/worksheets/sheet1.xml" Id="R91ef8c0b17b94fae" /><Relationship Type="http://schemas.openxmlformats.org/officeDocument/2006/relationships/worksheet" Target="/xl/worksheets/sheet2.xml" Id="Rc5d11f61311949a7" /><Relationship Type="http://schemas.openxmlformats.org/officeDocument/2006/relationships/worksheet" Target="/xl/worksheets/sheet3.xml" Id="R2539be7b40e74e25" /><Relationship Type="http://schemas.openxmlformats.org/officeDocument/2006/relationships/worksheet" Target="/xl/worksheets/sheet4.xml" Id="R91536c653f3b447e" /><Relationship Type="http://schemas.openxmlformats.org/officeDocument/2006/relationships/worksheet" Target="/xl/worksheets/sheet5.xml" Id="Rb4ff748c3dbd4bd3" /><Relationship Type="http://schemas.openxmlformats.org/officeDocument/2006/relationships/worksheet" Target="/xl/worksheets/sheet6.xml" Id="R050efae14c8d452d" /><Relationship Type="http://schemas.openxmlformats.org/officeDocument/2006/relationships/worksheet" Target="/xl/worksheets/sheet7.xml" Id="R912389510e3441d1" /><Relationship Type="http://schemas.openxmlformats.org/officeDocument/2006/relationships/worksheet" Target="/xl/worksheets/sheet8.xml" Id="R9f29908989284727" /><Relationship Type="http://schemas.openxmlformats.org/officeDocument/2006/relationships/worksheet" Target="/xl/worksheets/sheet9.xml" Id="Ra5bcd94f26a746f2" /><Relationship Type="http://schemas.openxmlformats.org/officeDocument/2006/relationships/worksheet" Target="/xl/worksheets/sheet10.xml" Id="Re0e54c5db40b45f4" /><Relationship Type="http://schemas.openxmlformats.org/officeDocument/2006/relationships/worksheet" Target="/xl/worksheets/sheet11.xml" Id="R274638eb60f54c21" /><Relationship Type="http://schemas.openxmlformats.org/officeDocument/2006/relationships/worksheet" Target="/xl/worksheets/sheet12.xml" Id="Rc6ced692db854461" /><Relationship Type="http://schemas.openxmlformats.org/officeDocument/2006/relationships/worksheet" Target="/xl/worksheets/sheet13.xml" Id="Re40165e1a0934789" /><Relationship Type="http://schemas.openxmlformats.org/officeDocument/2006/relationships/worksheet" Target="/xl/worksheets/sheet14.xml" Id="R394a96a77fa44c58" /><Relationship Type="http://schemas.openxmlformats.org/officeDocument/2006/relationships/worksheet" Target="/xl/worksheets/sheet15.xml" Id="R6da506a897124bbb" /><Relationship Type="http://schemas.openxmlformats.org/officeDocument/2006/relationships/worksheet" Target="/xl/worksheets/sheet16.xml" Id="R9ed34c41d4664dd2" /><Relationship Type="http://schemas.openxmlformats.org/officeDocument/2006/relationships/worksheet" Target="/xl/worksheets/sheet17.xml" Id="R6e2af7f7fc314171" /><Relationship Type="http://schemas.openxmlformats.org/officeDocument/2006/relationships/worksheet" Target="/xl/worksheets/sheet18.xml" Id="Re61eb3bbe8e147f5" /><Relationship Type="http://schemas.openxmlformats.org/officeDocument/2006/relationships/worksheet" Target="/xl/worksheets/sheet19.xml" Id="R36357684d9c546f3" /><Relationship Type="http://schemas.openxmlformats.org/officeDocument/2006/relationships/worksheet" Target="/xl/worksheets/sheet20.xml" Id="Rf2f06daf7eda4790" /></Relationships>
</file>

<file path=xl/tables/table1.xml><?xml version="1.0" encoding="utf-8"?>
<x:table xmlns:x="http://schemas.openxmlformats.org/spreadsheetml/2006/main" id="1" name="SearchLog" displayName="SearchLog" ref="A4:G50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1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09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核验/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hodVerification" displayName="MethodVerification" ref="A4:K11" headerRowCount="1" totalsRowCount="0" totalsRowShown="0">
  <x:tableColumns count="11">
    <x:tableColumn id="1" name="ID"/>
    <x:tableColumn id="2" name="题名"/>
    <x:tableColumn id="3" name="规则初判"/>
    <x:tableColumn id="4" name="核验类型"/>
    <x:tableColumn id="5" name="设计/样本"/>
    <x:tableColumn id="6" name="比较/分析"/>
    <x:tableColumn id="7" name="允许的 DC1 声称"/>
    <x:tableColumn id="8" name="主要发现"/>
    <x:tableColumn id="9" name="迁移限制"/>
    <x:tableColumn id="10" name="证据 URL"/>
    <x:tableColumn id="11" name="核验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aseSchema" displayName="CaseSchema" ref="A4:F11" headerRowCount="1" totalsRowCount="0" totalsRowShown="0">
  <x:tableColumns count="6">
    <x:tableColumn id="1" name="表"/>
    <x:tableColumn id="2" name="精确 headers"/>
    <x:tableColumn id="3" name="主键"/>
    <x:tableColumn id="4" name="外键"/>
    <x:tableColumn id="5" name="基数"/>
    <x:tableColumn id="6" name="IHG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pisodeCodebook" displayName="EpisodeCodebook" ref="A14:J71" headerRowCount="1" totalsRowCount="0" totalsRowShown="0">
  <x:tableColumns count="10">
    <x:tableColumn id="1" name="表"/>
    <x:tableColumn id="2" name="字段"/>
    <x:tableColumn id="3" name="类型"/>
    <x:tableColumn id="4" name="必填"/>
    <x:tableColumn id="5" name="允许值/形式"/>
    <x:tableColumn id="6" name="证据源"/>
    <x:tableColumn id="7" name="VLM职责"/>
    <x:tableColumn id="8" name="人类职责"/>
    <x:tableColumn id="9" name="可靠性/QA"/>
    <x:tableColumn id="10" name="IHG/运行用途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viewQueueExample" displayName="ReviewQueueExample" ref="A12:H17" headerRowCount="1" totalsRowCount="0" totalsRowShown="0">
  <x:tableColumns count="8">
    <x:tableColumn id="1" name="episode_id"/>
    <x:tableColumn id="2" name="uncertainty"/>
    <x:tableColumn id="3" name="novelty_OOD"/>
    <x:tableColumn id="4" name="constraint_risk"/>
    <x:tableColumn id="5" name="authority_risk"/>
    <x:tableColumn id="6" name="disagreement"/>
    <x:tableColumn id="7" name="review_priority"/>
    <x:tableColumn id="8" name="rout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liabilityRules" displayName="ReliabilityRules" ref="A20:E28" headerRowCount="1" totalsRowCount="0" totalsRowShown="0">
  <x:tableColumns count="5">
    <x:tableColumn id="1" name="字段结构"/>
    <x:tableColumn id="2" name="例子"/>
    <x:tableColumn id="3" name="主指标"/>
    <x:tableColumn id="4" name="计算/门槛"/>
    <x:tableColumn id="5" name="解读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be96630f0c4c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412927cb1e549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c34ed6dbd8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b2ef84d44943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c60eb335d646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2b8f2bf8e604b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3815b504d5e4a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f2257c2d9f041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cde41cc26e4b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7f77fabee374a10" /><Relationship Type="http://schemas.openxmlformats.org/officeDocument/2006/relationships/table" Target="/xl/tables/table11.xml" Id="Rda13dea2fff4463e" /><Relationship Type="http://schemas.openxmlformats.org/officeDocument/2006/relationships/table" Target="/xl/tables/table12.xml" Id="Rcdcbc06a612d4c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207a2ce38654a94" /><Relationship Type="http://schemas.openxmlformats.org/officeDocument/2006/relationships/table" Target="/xl/tables/table14.xml" Id="R0bc0e66405404e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4abcf2f2ade34d62" /><Relationship Type="http://schemas.openxmlformats.org/officeDocument/2006/relationships/table" Target="/xl/tables/table16.xml" Id="R94302ed5300441a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a3fcd805d7764b7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d57ca602f72440f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934afee77ba04525" /><Relationship Type="http://schemas.openxmlformats.org/officeDocument/2006/relationships/table" Target="/xl/tables/table20.xml" Id="R9b1c7a5b34834da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e87b5972075d47b8" /><Relationship Type="http://schemas.openxmlformats.org/officeDocument/2006/relationships/table" Target="/xl/tables/table22.xml" Id="R9cfaf5cb51044e9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3.xml" Id="Raba37b0bd17d4af6" /><Relationship Type="http://schemas.openxmlformats.org/officeDocument/2006/relationships/table" Target="/xl/tables/table24.xml" Id="R2ce4d675635b404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298096d57cd74d1a" /><Relationship Type="http://schemas.openxmlformats.org/officeDocument/2006/relationships/table" Target="/xl/tables/table26.xml" Id="R7cfe99fac93a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97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1165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97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97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COUNTIF('纳入文献_97'!N5:N101,"Include")</x:f>
        <x:v>97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Primary-source web verification</x:v>
      </x:c>
      <x:c r="B44" s="20" t="str">
        <x:v>C22_probabilistic_goal_belief_graph</x:v>
      </x:c>
      <x:c r="C44" s="25" t="str">
        <x:v>probabilistic plan goal recognition partial observation timing Bayesian theory of mind intent belief graph</x:v>
      </x:c>
      <x:c r="D44" s="20" t="str"/>
      <x:c r="E44" s="20" t="n">
        <x:v>0</x:v>
      </x:c>
      <x:c r="F44" s="20" t="str">
        <x:v>5 primary sources verified; database API rate limit persists and not added to PRISMA download count</x:v>
      </x:c>
      <x:c r="G44" s="25" t="str"/>
    </x:row>
    <x:row r="45">
      <x:c r="A45" s="20" t="str">
        <x:v>Semantic Scholar</x:v>
      </x:c>
      <x:c r="B45" s="20" t="str">
        <x:v>C1_3D_mental_models</x:v>
      </x:c>
      <x:c r="C45" s="25" t="str">
        <x:v>3D user interface object manipulation mental model direct manipulation spatial cognition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C2_interaction_signals</x:v>
      </x:c>
      <x:c r="C46" s="25" t="str">
        <x:v>interaction signals intent inference user actions implicit intent interface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Semantic Scholar</x:v>
      </x:c>
      <x:c r="B47" s="20" t="str">
        <x:v>C3_mixed_initiative_cocreation</x:v>
      </x:c>
      <x:c r="C47" s="25" t="str">
        <x:v>mixed initiative co-creation creativity support tools human AI</x:v>
      </x:c>
      <x:c r="D47" s="20" t="str"/>
      <x:c r="E47" s="20" t="n">
        <x:v>0</x:v>
      </x:c>
      <x:c r="F47" s="20" t="str">
        <x:v>failed: HTTPError</x:v>
      </x:c>
      <x:c r="G47" s="25" t="str"/>
    </x:row>
    <x:row r="48">
      <x:c r="A48" s="20" t="str">
        <x:v>ACM Digital Library</x:v>
      </x:c>
      <x:c r="B48" s="20" t="str">
        <x:v>C1–C9</x:v>
      </x:c>
      <x:c r="C48" s="25" t="str">
        <x:v>站内组合检索（intent inference / mixed initiative / 3D manipulation / creativity support）</x:v>
      </x:c>
      <x:c r="D48" s="20" t="str"/>
      <x:c r="E48" s="20" t="n">
        <x:v>0</x:v>
      </x:c>
      <x:c r="F48" s="20" t="str">
        <x:v>403 / Cloudflare</x:v>
      </x:c>
      <x:c r="G48" s="25" t="str">
        <x:v>用 DOI、OpenAlex/Crossref ACM 出版者元数据及作者版本核验；不计入下载记录</x:v>
      </x:c>
    </x:row>
    <x:row r="49">
      <x:c r="A49" s="20" t="str">
        <x:v>Google Scholar</x:v>
      </x:c>
      <x:c r="B49" s="20" t="str">
        <x:v>C1–C9</x:v>
      </x:c>
      <x:c r="C49" s="25" t="str">
        <x:v>精确短语 + 主题组合；本机与服务器连接</x:v>
      </x:c>
      <x:c r="D49" s="20" t="str"/>
      <x:c r="E49" s="20" t="n">
        <x:v>0</x:v>
      </x:c>
      <x:c r="F49" s="20" t="str">
        <x:v>连接超时/无法批量复核</x:v>
      </x:c>
      <x:c r="G49" s="25" t="str">
        <x:v>保留失败日志；以 OpenAlex/Crossref/作者页/DOI 交叉核验，不声称完整覆盖</x:v>
      </x:c>
    </x:row>
    <x:row r="50">
      <x:c r="A50" s="20" t="str">
        <x:v>Semantic Scholar</x:v>
      </x:c>
      <x:c r="B50" s="20" t="str">
        <x:v>C1–C3</x:v>
      </x:c>
      <x:c r="C50" s="25" t="str">
        <x:v>同 OpenAlex 主题簇</x:v>
      </x:c>
      <x:c r="D50" s="20" t="str"/>
      <x:c r="E50" s="20" t="n">
        <x:v>0</x:v>
      </x:c>
      <x:c r="F50" s="20" t="str">
        <x:v>匿名 API HTTPError</x:v>
      </x:c>
      <x:c r="G50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fbe96630f0c4c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8412927cb1e549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97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Sentient Sketchbook: Computer-Aided Game Level Authoring</x:v>
      </x:c>
      <x:c r="C26" s="25" t="n">
        <x:v>2013</x:v>
      </x:c>
      <x:c r="D26" s="25" t="str">
        <x:v>Antonios Liapis; Georgios N. Yannakakis; Julian Togelius</x:v>
      </x:c>
      <x:c r="E26" s="25" t="str">
        <x:v>Proceedings of the 8th International Conference on the Foundations of Digital Games (FDG 2013)</x:v>
      </x:c>
      <x:c r="F26" s="25" t="str"/>
      <x:c r="G26" s="25" t="str">
        <x:v>https://www.antoniosliapis.com/papers/sentient_sketchbook.pdf</x:v>
      </x:c>
      <x:c r="H26" s="25" t="str">
        <x:v>Seed/snowball; author full text verified</x:v>
      </x:c>
      <x:c r="I26" s="25" t="str">
        <x:v>Mixed-initiative co-creativity</x:v>
      </x:c>
      <x:c r="J26" s="25" t="str">
        <x:v>Real-time playability evaluation and generated alternatives create a mixed-initiative dialogue around a designer's evolving level.</x:v>
      </x:c>
      <x:c r="K26" s="25" t="str">
        <x:v>Separate user edits, constraint/playability feedback, candidate generation and candidate selection; log when suggestions are inspected, ignored, accepted or used as inspiration.</x:v>
      </x:c>
      <x:c r="L26" s="25" t="str">
        <x:v>Generated alternatives remain optional; creators can lock accepted features and preserve constraints before any Agent modification.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/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/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</x:sheetData>
  <x:mergeCells>
    <x:mergeCell ref="A1:N1"/>
    <x:mergeCell ref="A2:N2"/>
  </x:mergeCells>
  <x:conditionalFormatting sqref="N5:N101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70c34ed6dbd84b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9b2ef84d44943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c60eb335d646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72b8f2bf8e604b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815b504d5e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f2257c2d9f041f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85cde41cc26e4b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87f77fabee374a10"/>
    <x:tablePart xmlns:r="http://schemas.openxmlformats.org/officeDocument/2006/relationships" r:id="Rda13dea2fff4463e"/>
    <x:tablePart xmlns:r="http://schemas.openxmlformats.org/officeDocument/2006/relationships" r:id="Rcdcbc06a612d4ce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8207a2ce38654a94"/>
    <x:tablePart xmlns:r="http://schemas.openxmlformats.org/officeDocument/2006/relationships" r:id="R0bc0e66405404ed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authority_snapshot, provenance}.  评价时同时报告Top-k、校准、unknown detection、frame错误、约束漏报与权限严重错误。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4abcf2f2ade34d62"/>
    <x:tablePart xmlns:r="http://schemas.openxmlformats.org/officeDocument/2006/relationships" r:id="R94302ed5300441a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研究类型（核验/暂定）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Controlled lab experiment</x:v>
      </x:c>
      <x:c r="F23" s="25" t="str">
        <x:v>Full method/structured abstract manually verified</x:v>
      </x:c>
      <x:c r="G23" s="25" t="n">
        <x:v>2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Full abstract and method summary verified</x:v>
      </x:c>
      <x:c r="M23" s="25" t="str">
        <x:v>Controlled evidence about level-of-automation trade-offs and failure recovery.</x:v>
      </x:c>
      <x:c r="N23" s="82" t="n">
        <x:f>ROUND((G23/2*$E$5+H23/2*$E$6+I23/3*$E$7+J23/3*$E$8+K23/3*$E$9)*3,2)</x:f>
        <x:v>2.35</x:v>
      </x:c>
      <x:c r="O23" s="25" t="str">
        <x:v>Manual verification complete; independent second review still recommended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Literature review / mapping review</x:v>
      </x:c>
      <x:c r="F33" s="25" t="str">
        <x:v>Full method/structured abstract manually verified</x:v>
      </x:c>
      <x:c r="G33" s="25" t="n">
        <x:v>2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Review scope and corpus size verified</x:v>
      </x:c>
      <x:c r="M33" s="25" t="str">
        <x:v>Field scope, recurring CST activities and research gaps; not a direct causal effect.</x:v>
      </x:c>
      <x:c r="N33" s="82" t="n">
        <x:f>ROUND((G33/2*$E$5+H33/2*$E$6+I33/3*$E$7+J33/3*$E$8+K33/3*$E$9)*3,2)</x:f>
        <x:v>2.85</x:v>
      </x:c>
      <x:c r="O33" s="25" t="str">
        <x:v>Manual verification complete; independent second review still recommended</x:v>
      </x:c>
    </x:row>
    <x:row r="34">
      <x:c r="A34" s="20" t="str">
        <x:v>I22</x:v>
      </x:c>
      <x:c r="B34" s="25" t="str">
        <x:v>Sentient Sketchbook: Computer-Aided Game Level Authoring</x:v>
      </x:c>
      <x:c r="C34" s="25" t="n">
        <x:v>2013</x:v>
      </x:c>
      <x:c r="D34" s="25" t="str">
        <x:v>Co-creation / initiative</x:v>
      </x:c>
      <x:c r="E34" s="25" t="str">
        <x:v>Mixed computational + formative expert study</x:v>
      </x:c>
      <x:c r="F34" s="25" t="str">
        <x:v>Full method/structured abstract manually verified</x:v>
      </x:c>
      <x:c r="G34" s="25" t="n">
        <x:v>2</x:v>
      </x:c>
      <x:c r="H34" s="25" t="n">
        <x:v>2</x:v>
      </x:c>
      <x:c r="I34" s="25" t="n">
        <x:v>2</x:v>
      </x:c>
      <x:c r="J34" s="25" t="n">
        <x:v>2</x:v>
      </x:c>
      <x:c r="K34" s="25" t="n">
        <x:v>3</x:v>
      </x:c>
      <x:c r="L34" s="25" t="str">
        <x:v>Full author paper verified; prior title–DOI mismatch removed</x:v>
      </x:c>
      <x:c r="M34" s="25" t="str">
        <x:v>Formative evidence that optional alternatives can support inspiration and expose constraints.</x:v>
      </x:c>
      <x:c r="N34" s="82" t="n">
        <x:f>ROUND((G34/2*$E$5+H34/2*$E$6+I34/3*$E$7+J34/3*$E$8+K34/3*$E$9)*3,2)</x:f>
        <x:v>2.5</x:v>
      </x:c>
      <x:c r="O34" s="25" t="str">
        <x:v>Manual verification complete; independent second review still recommended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Formative mixed-method system evaluation</x:v>
      </x:c>
      <x:c r="F36" s="25" t="str">
        <x:v>Full method/structured abstract manually verified</x:v>
      </x:c>
      <x:c r="G36" s="25" t="n">
        <x:v>2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Full short paper verified</x:v>
      </x:c>
      <x:c r="M36" s="25" t="str">
        <x:v>Design feasibility and formative interaction observations; not a population-level effect.</x:v>
      </x:c>
      <x:c r="N36" s="82" t="n">
        <x:f>ROUND((G36/2*$E$5+H36/2*$E$6+I36/3*$E$7+J36/3*$E$8+K36/3*$E$9)*3,2)</x:f>
        <x:v>2.55</x:v>
      </x:c>
      <x:c r="O36" s="25" t="str">
        <x:v>Manual verification complete; independent second review still recommended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1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2.63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Qualitative process evaluation</x:v>
      </x:c>
      <x:c r="F81" s="25" t="str">
        <x:v>Full method/structured abstract manually verified</x:v>
      </x:c>
      <x:c r="G81" s="25" t="n">
        <x:v>2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Abstract and method summary verified</x:v>
      </x:c>
      <x:c r="M81" s="25" t="str">
        <x:v>Methodological value of stimulated recall for eliciting participant interpretations.</x:v>
      </x:c>
      <x:c r="N81" s="82" t="n">
        <x:f>ROUND((G81/2*$E$5+H81/2*$E$6+I81/3*$E$7+J81/3*$E$8+K81/3*$E$9)*3,2)</x:f>
        <x:v>2.35</x:v>
      </x:c>
      <x:c r="O81" s="25" t="str">
        <x:v>Manual verification complete; independent second review still recommended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1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2.13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2023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1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2.13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Multi-experiment human–robot study</x:v>
      </x:c>
      <x:c r="F98" s="25" t="str">
        <x:v>Full method/structured abstract manually verified</x:v>
      </x:c>
      <x:c r="G98" s="25" t="n">
        <x:v>2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Full author version and two-experiment structure verified</x:v>
      </x:c>
      <x:c r="M98" s="25" t="str">
        <x:v>Empirical evidence that initiative/switching policy affects performance, workload and control conflict.</x:v>
      </x:c>
      <x:c r="N98" s="82" t="n">
        <x:f>ROUND((G98/2*$E$5+H98/2*$E$6+I98/3*$E$7+J98/3*$E$8+K98/3*$E$9)*3,2)</x:f>
        <x:v>2.35</x:v>
      </x:c>
      <x:c r="O98" s="25" t="str">
        <x:v>Manual verification complete; independent second review still recommended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Structured literature review</x:v>
      </x:c>
      <x:c r="F99" s="25" t="str">
        <x:v>Full method/structured abstract manually verified</x:v>
      </x:c>
      <x:c r="G99" s="25" t="n">
        <x:v>2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Review method and 76-study corpus verified</x:v>
      </x:c>
      <x:c r="M99" s="25" t="str">
        <x:v>Recurring HAT factors and gaps across a body of studies; not a new primary experiment.</x:v>
      </x:c>
      <x:c r="N99" s="82" t="n">
        <x:f>ROUND((G99/2*$E$5+H99/2*$E$6+I99/3*$E$7+J99/3*$E$8+K99/3*$E$9)*3,2)</x:f>
        <x:v>2.85</x:v>
      </x:c>
      <x:c r="O99" s="25" t="str">
        <x:v>Manual verification complete; independent second review still recommended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09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fcd805d7764b7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24" hidden="0" customWidth="1"/>
    <x:col min="4" max="4" width="30" hidden="0" customWidth="1"/>
    <x:col min="5" max="5" width="52" hidden="0" customWidth="1"/>
    <x:col min="6" max="6" width="48" hidden="0" customWidth="1"/>
    <x:col min="7" max="7" width="48" hidden="0" customWidth="1"/>
    <x:col min="8" max="8" width="56" hidden="0" customWidth="1"/>
    <x:col min="9" max="9" width="54" hidden="0" customWidth="1"/>
    <x:col min="10" max="10" width="48" hidden="0" customWidth="1"/>
    <x:col min="11" max="11" width="34" hidden="0" customWidth="1"/>
  </x:cols>
  <x:sheetData>
    <x:row r="1" ht="30" customHeight="1">
      <x:c r="A1" s="3" t="str">
        <x:v>经验证据方法核验</x:v>
      </x:c>
    </x:row>
    <x:row r="2" ht="30" customHeight="1">
      <x:c r="A2" s="7" t="str">
        <x:v>对自动规则曾标为 empirical 的 7 篇逐条复核。结果：5 篇是一手/混合经验证据，2 篇是综述；只有 I11/I86 适合支撑较强的接管机制声称。I22 原题名–DOI 组合经身份核验不匹配，已替换为可追溯的 Sentient Sketchbook 作者全文。</x:v>
      </x:c>
    </x:row>
    <x:row r="4" ht="30" customHeight="1">
      <x:c r="A4" s="24" t="str">
        <x:v>ID</x:v>
      </x:c>
      <x:c r="B4" s="24" t="str">
        <x:v>题名</x:v>
      </x:c>
      <x:c r="C4" s="24" t="str">
        <x:v>规则初判</x:v>
      </x:c>
      <x:c r="D4" s="24" t="str">
        <x:v>核验类型</x:v>
      </x:c>
      <x:c r="E4" s="24" t="str">
        <x:v>设计/样本</x:v>
      </x:c>
      <x:c r="F4" s="24" t="str">
        <x:v>比较/分析</x:v>
      </x:c>
      <x:c r="G4" s="24" t="str">
        <x:v>允许的 DC1 声称</x:v>
      </x:c>
      <x:c r="H4" s="24" t="str">
        <x:v>主要发现</x:v>
      </x:c>
      <x:c r="I4" s="24" t="str">
        <x:v>迁移限制</x:v>
      </x:c>
      <x:c r="J4" s="24" t="str">
        <x:v>证据 URL</x:v>
      </x:c>
      <x:c r="K4" s="24" t="str">
        <x:v>核验状态</x:v>
      </x:c>
    </x:row>
    <x:row r="5" ht="78" customHeight="1">
      <x:c r="A5" s="20" t="str">
        <x:v>I11</x:v>
      </x:c>
      <x:c r="B5" s="25" t="str">
        <x:v>Level of automation effects on performance, situation awareness and workload in a dynamic control task</x:v>
      </x:c>
      <x:c r="C5" s="25" t="str">
        <x:v>Empirical evaluation</x:v>
      </x:c>
      <x:c r="D5" s="25" t="str">
        <x:v>Controlled lab experiment</x:v>
      </x:c>
      <x:c r="E5" s="25" t="str">
        <x:v>Dynamic control simulation; N=30 participants; multiple levels-of-automation conditions with automation-failure trials.</x:v>
      </x:c>
      <x:c r="F5" s="25" t="str">
        <x:v>Between-condition performance, situation awareness and workload; recovery after automation failure.</x:v>
      </x:c>
      <x:c r="G5" s="25" t="str">
        <x:v>Controlled evidence about level-of-automation trade-offs and failure recovery.</x:v>
      </x:c>
      <x:c r="H5" s="25" t="str">
        <x:v>Implementation automation improved normal performance but could weaken recovery after automation failure; joint human-system option generation also produced coordination costs.</x:v>
      </x:c>
      <x:c r="I5" s="25" t="str">
        <x:v>Dynamic-control task, not creative 3D authoring; transfer the failure-recovery mechanism, not its effect size.</x:v>
      </x:c>
      <x:c r="J5" s="25" t="str">
        <x:v>https://pubmed.ncbi.nlm.nih.gov/10048306/</x:v>
      </x:c>
      <x:c r="K5" s="25" t="str">
        <x:v>Full abstract and method summary verified</x:v>
      </x:c>
    </x:row>
    <x:row r="6" ht="78" customHeight="1">
      <x:c r="A6" s="20" t="str">
        <x:v>I21</x:v>
      </x:c>
      <x:c r="B6" s="25" t="str">
        <x:v>Mapping the Landscape of Creativity Support Tools in HCI</x:v>
      </x:c>
      <x:c r="C6" s="25" t="str">
        <x:v>Empirical evaluation</x:v>
      </x:c>
      <x:c r="D6" s="25" t="str">
        <x:v>Literature review / mapping review</x:v>
      </x:c>
      <x:c r="E6" s="25" t="str">
        <x:v>Mapping review of 143 ACM Digital Library papers published 1999–2018.</x:v>
      </x:c>
      <x:c r="F6" s="25" t="str">
        <x:v>Literature coding and landscape synthesis; no primary controlled user experiment in this paper.</x:v>
      </x:c>
      <x:c r="G6" s="25" t="str">
        <x:v>Field scope, recurring CST activities and research gaps; not a direct causal effect.</x:v>
      </x:c>
      <x:c r="H6" s="25" t="str">
        <x:v>Creativity support must be evaluated across activity, context and process, not only artifact output.</x:v>
      </x:c>
      <x:c r="I6" s="25" t="str">
        <x:v>The review maps CST research broadly and does not validate FlowStudio's intent representation.</x:v>
      </x:c>
      <x:c r="J6" s="25" t="str">
        <x:v>https://pure.au.dk/portal/en/publications/mapping-the-landscape-of-creativity-support-tools-in-hci/</x:v>
      </x:c>
      <x:c r="K6" s="25" t="str">
        <x:v>Review scope and corpus size verified</x:v>
      </x:c>
    </x:row>
    <x:row r="7" ht="78" customHeight="1">
      <x:c r="A7" s="20" t="str">
        <x:v>I22</x:v>
      </x:c>
      <x:c r="B7" s="25" t="str">
        <x:v>Sentient Sketchbook: Computer-Aided Game Level Authoring</x:v>
      </x:c>
      <x:c r="C7" s="25" t="str">
        <x:v>Design / system paper</x:v>
      </x:c>
      <x:c r="D7" s="25" t="str">
        <x:v>Mixed computational + formative expert study</x:v>
      </x:c>
      <x:c r="E7" s="25" t="str">
        <x:v>Controlled algorithm tests plus 5 game-industry experts completing 24 level-design sessions.</x:v>
      </x:c>
      <x:c r="F7" s="25" t="str">
        <x:v>Playability/evolutionary-algorithm evaluation plus qualitative expert interaction with generated alternatives.</x:v>
      </x:c>
      <x:c r="G7" s="25" t="str">
        <x:v>Formative evidence that optional alternatives can support inspiration and expose constraints.</x:v>
      </x:c>
      <x:c r="H7" s="25" t="str">
        <x:v>Experts sometimes used suggestions as inspiration but often overlooked them; locking accepted features was a salient control need.</x:v>
      </x:c>
      <x:c r="I7" s="25" t="str">
        <x:v>Small expert sample and game-level task; insufficient for causal claims about general creativity or automatic intent inference.</x:v>
      </x:c>
      <x:c r="J7" s="25" t="str">
        <x:v>https://www.antoniosliapis.com/papers/sentient_sketchbook.pdf</x:v>
      </x:c>
      <x:c r="K7" s="25" t="str">
        <x:v>Full author paper verified; prior title–DOI mismatch removed</x:v>
      </x:c>
    </x:row>
    <x:row r="8" ht="78" customHeight="1">
      <x:c r="A8" s="20" t="str">
        <x:v>I24</x:v>
      </x:c>
      <x:c r="B8" s="25" t="str">
        <x:v>Drawing Apprentice: An Enactive Co-Creative Agent for Artistic Collaboration</x:v>
      </x:c>
      <x:c r="C8" s="25" t="str">
        <x:v>Empirical evaluation</x:v>
      </x:c>
      <x:c r="D8" s="25" t="str">
        <x:v>Formative mixed-method system evaluation</x:v>
      </x:c>
      <x:c r="E8" s="25" t="str">
        <x:v>Approximately 30 informal demonstrations, a formative study with 6 novice users, and an expert-juried competition.</x:v>
      </x:c>
      <x:c r="F8" s="25" t="str">
        <x:v>Qualitative/formative assessment of reciprocal drawing interaction and perceived collaboration.</x:v>
      </x:c>
      <x:c r="G8" s="25" t="str">
        <x:v>Design feasibility and formative interaction observations; not a population-level effect.</x:v>
      </x:c>
      <x:c r="H8" s="25" t="str">
        <x:v>Real-time co-creation benefits from explicit feedback, pause/correction and adjustable contribution behavior.</x:v>
      </x:c>
      <x:c r="I8" s="25" t="str">
        <x:v>Small, descriptive drawing study; artistic sketching differs from constrained 3D editing.</x:v>
      </x:c>
      <x:c r="J8" s="25" t="str">
        <x:v>https://doi.org/10.1145/2757226.2764555</x:v>
      </x:c>
      <x:c r="K8" s="25" t="str">
        <x:v>Full short paper verified</x:v>
      </x:c>
    </x:row>
    <x:row r="9" ht="78" customHeight="1">
      <x:c r="A9" s="20" t="str">
        <x:v>I69</x:v>
      </x:c>
      <x:c r="B9" s="25" t="str">
        <x:v>Exploring the Added Value of Video-Stimulated Recall in Researching the Primary Care Doctor-Patient Consultation</x:v>
      </x:c>
      <x:c r="C9" s="25" t="str">
        <x:v>Empirical evaluation</x:v>
      </x:c>
      <x:c r="D9" s="25" t="str">
        <x:v>Qualitative process evaluation</x:v>
      </x:c>
      <x:c r="E9" s="25" t="str">
        <x:v>13 family physicians, 17 patients and 17 matched consultations using video-stimulated recall.</x:v>
      </x:c>
      <x:c r="F9" s="25" t="str">
        <x:v>Thematic/process analysis of what recall added beyond observed consultation video.</x:v>
      </x:c>
      <x:c r="G9" s="25" t="str">
        <x:v>Methodological value of stimulated recall for eliciting participant interpretations.</x:v>
      </x:c>
      <x:c r="H9" s="25" t="str">
        <x:v>Recall can reveal reasoning unavailable from observation alone, but remains retrospective and context-dependent.</x:v>
      </x:c>
      <x:c r="I9" s="25" t="str">
        <x:v>Clinical conversations, not 3D authoring; supports triangulation, not ground-truth access to latent intent.</x:v>
      </x:c>
      <x:c r="J9" s="25" t="str">
        <x:v>https://journals.sagepub.com/doi/10.1177/1609406917719623</x:v>
      </x:c>
      <x:c r="K9" s="25" t="str">
        <x:v>Abstract and method summary verified</x:v>
      </x:c>
    </x:row>
    <x:row r="10" ht="78" customHeight="1">
      <x:c r="A10" s="20" t="str">
        <x:v>I86</x:v>
      </x:c>
      <x:c r="B10" s="25" t="str">
        <x:v>Mixed-initiative Variable Autonomy for Remotely Operated Mobile Robots</x:v>
      </x:c>
      <x:c r="C10" s="25" t="str">
        <x:v>Empirical evaluation</x:v>
      </x:c>
      <x:c r="D10" s="25" t="str">
        <x:v>Multi-experiment human–robot study</x:v>
      </x:c>
      <x:c r="E10" s="25" t="str">
        <x:v>Two disaster-response-inspired experiments: one simulated robot and one physical mobile robot.</x:v>
      </x:c>
      <x:c r="F10" s="25" t="str">
        <x:v>Variable-autonomy switching conditions assessed task performance, workload and concurrent-task costs.</x:v>
      </x:c>
      <x:c r="G10" s="25" t="str">
        <x:v>Empirical evidence that initiative/switching policy affects performance, workload and control conflict.</x:v>
      </x:c>
      <x:c r="H10" s="25" t="str">
        <x:v>Context-aware switching can help, but authority transitions themselves create conflicts-for-control that must be designed and surfaced.</x:v>
      </x:c>
      <x:c r="I10" s="25" t="str">
        <x:v>Robot navigation differs from creative 3D work; exact sample and condition details require a second-reviewer extraction pass before effect-size claims.</x:v>
      </x:c>
      <x:c r="J10" s="25" t="str">
        <x:v>https://arxiv.org/abs/1911.04848</x:v>
      </x:c>
      <x:c r="K10" s="25" t="str">
        <x:v>Full author version and two-experiment structure verified</x:v>
      </x:c>
    </x:row>
    <x:row r="11" ht="78" customHeight="1">
      <x:c r="A11" s="20" t="str">
        <x:v>I87</x:v>
      </x:c>
      <x:c r="B11" s="25" t="str">
        <x:v>Human-Autonomy Teaming: A Review and Analysis of the Empirical Literature</x:v>
      </x:c>
      <x:c r="C11" s="25" t="str">
        <x:v>Empirical evaluation</x:v>
      </x:c>
      <x:c r="D11" s="25" t="str">
        <x:v>Structured literature review</x:v>
      </x:c>
      <x:c r="E11" s="25" t="str">
        <x:v>Review and analysis of 76 empirical human-autonomy-teaming studies.</x:v>
      </x:c>
      <x:c r="F11" s="25" t="str">
        <x:v>Structured synthesis of empirical HAT constructs, processes and outcomes.</x:v>
      </x:c>
      <x:c r="G11" s="25" t="str">
        <x:v>Recurring HAT factors and gaps across a body of studies; not a new primary experiment.</x:v>
      </x:c>
      <x:c r="H11" s="25" t="str">
        <x:v>Team performance depends on shared understanding, communication, coordination and repair, beyond component accuracy.</x:v>
      </x:c>
      <x:c r="I11" s="25" t="str">
        <x:v>Heterogeneous teaming domains; conclusions inform constructs but do not directly set FlowStudio thresholds.</x:v>
      </x:c>
      <x:c r="J11" s="25" t="str">
        <x:v>https://journals.sagepub.com/doi/10.1177/0018720820960865</x:v>
      </x:c>
      <x:c r="K11" s="25" t="str">
        <x:v>Review method and 76-study corpus verified</x:v>
      </x:c>
    </x:row>
  </x:sheetData>
  <x:mergeCells>
    <x:mergeCell ref="A1:K1"/>
    <x:mergeCell ref="A2:K2"/>
  </x:mergeCells>
  <x:conditionalFormatting sqref="D5:D11">
    <x:cfRule type="containsText" dxfId="2" priority="1" operator="containsText" text="review"/>
  </x:conditionalFormatting>
  <x:conditionalFormatting sqref="K5:K11">
    <x:cfRule type="containsText" dxfId="3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d57ca602f72440f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934afee77ba04525"/>
    <x:tablePart xmlns:r="http://schemas.openxmlformats.org/officeDocument/2006/relationships" r:id="R9b1c7a5b34834da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e87b5972075d47b8"/>
    <x:tablePart xmlns:r="http://schemas.openxmlformats.org/officeDocument/2006/relationships" r:id="R9cfaf5cb51044e9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0" hidden="0" customWidth="1"/>
    <x:col min="5" max="5" width="60" hidden="0" customWidth="1"/>
    <x:col min="6" max="6" width="28" hidden="0" customWidth="1"/>
    <x:col min="7" max="7" width="32" hidden="0" customWidth="1"/>
    <x:col min="8" max="8" width="35" hidden="0" customWidth="1"/>
    <x:col min="9" max="9" width="34" hidden="0" customWidth="1"/>
    <x:col min="10" max="10" width="38" hidden="0" customWidth="1"/>
  </x:cols>
  <x:sheetData>
    <x:row r="1" ht="30" customHeight="1">
      <x:c r="A1" s="3" t="str">
        <x:v>Intent Episode 编码字典与 Case 库表结构</x:v>
      </x:c>
    </x:row>
    <x:row r="2" ht="30" customHeight="1">
      <x:c r="A2" s="7" t="str">
        <x:v>不用一行巨表强行塞入多个证据和竞争假设；用7个规范化表保留one-to-many证据、Top-k假设、约束、修复和provenance。</x:v>
      </x:c>
    </x:row>
    <x:row r="4" ht="30" customHeight="1">
      <x:c r="A4" s="24" t="str">
        <x:v>表</x:v>
      </x:c>
      <x:c r="B4" s="24" t="str">
        <x:v>精确 headers</x:v>
      </x:c>
      <x:c r="C4" s="24" t="str">
        <x:v>主键</x:v>
      </x:c>
      <x:c r="D4" s="24" t="str">
        <x:v>外键</x:v>
      </x:c>
      <x:c r="E4" s="24" t="str">
        <x:v>基数</x:v>
      </x:c>
      <x:c r="F4" s="24" t="str">
        <x:v>IHG用途</x:v>
      </x:c>
    </x:row>
    <x:row r="5" ht="64" customHeight="1">
      <x:c r="A5" s="25" t="str">
        <x:v>Episode</x:v>
      </x:c>
      <x:c r="B5" s="25" t="str">
        <x:v>episode_id, source_id, start_ms, end_ms, context_version, task_stage, interaction_function, commitment, authority_snapshot_id, provenance_id, validation_status</x:v>
      </x:c>
      <x:c r="C5" s="25" t="str">
        <x:v>episode_id</x:v>
      </x:c>
      <x:c r="D5" s="25" t="str">
        <x:v>source_id; provenance_id</x:v>
      </x:c>
      <x:c r="E5" s="25" t="str">
        <x:v>1 episode : many events/hypotheses/outcomes</x:v>
      </x:c>
      <x:c r="F5" s="25" t="str">
        <x:v>IHG episode/context anchor</x:v>
      </x:c>
    </x:row>
    <x:row r="6" ht="64" customHeight="1">
      <x:c r="A6" s="25" t="str">
        <x:v>ObservationEvent</x:v>
      </x:c>
      <x:c r="B6" s="25" t="str">
        <x:v>event_id, episode_id, timestamp_ms, event_type, pointer_trajectory_ref, selected_before, selected_after, active_tool, tool_mode, modifiers, camera_state, scene_delta, system_feedback, visibility, missingness, evidence_strength, vlm_confidence, human_status</x:v>
      </x:c>
      <x:c r="C6" s="25" t="str">
        <x:v>event_id</x:v>
      </x:c>
      <x:c r="D6" s="25" t="str">
        <x:v>episode_id</x:v>
      </x:c>
      <x:c r="E6" s="25" t="str">
        <x:v>many events : 1 episode</x:v>
      </x:c>
      <x:c r="F6" s="25" t="str">
        <x:v>ObservationEvent/Evidence</x:v>
      </x:c>
    </x:row>
    <x:row r="7" ht="64" customHeight="1">
      <x:c r="A7" s="25" t="str">
        <x:v>IntentHypothesis</x:v>
      </x:c>
      <x:c r="B7" s="25" t="str">
        <x:v>hypothesis_id, episode_id, rank, goal_L0, goal_L1, goal_L2, goal_L3, target, desired_effect, operation_family, scope, reference_frame, user_world_belief, user_tool_belief, confidence, unknown_mass, model_fit, evidence_ids, counterevidence_ids, alternative_group, status</x:v>
      </x:c>
      <x:c r="C7" s="25" t="str">
        <x:v>hypothesis_id</x:v>
      </x:c>
      <x:c r="D7" s="25" t="str">
        <x:v>episode_id</x:v>
      </x:c>
      <x:c r="E7" s="25" t="str">
        <x:v>many hypotheses : 1 episode</x:v>
      </x:c>
      <x:c r="F7" s="25" t="str">
        <x:v>Goal/UserBelief/Target/Effect/Operation</x:v>
      </x:c>
    </x:row>
    <x:row r="8" ht="64" customHeight="1">
      <x:c r="A8" s="25" t="str">
        <x:v>Constraint</x:v>
      </x:c>
      <x:c r="B8" s="25" t="str">
        <x:v>constraint_id, hypothesis_id, constraint_type, object_relation, preserve_level, source, confidence, violation_risk</x:v>
      </x:c>
      <x:c r="C8" s="25" t="str">
        <x:v>constraint_id</x:v>
      </x:c>
      <x:c r="D8" s="25" t="str">
        <x:v>hypothesis_id</x:v>
      </x:c>
      <x:c r="E8" s="25" t="str">
        <x:v>many constraints : 1 hypothesis</x:v>
      </x:c>
      <x:c r="F8" s="25" t="str">
        <x:v>Constraint + preserves/violates</x:v>
      </x:c>
    </x:row>
    <x:row r="9" ht="64" customHeight="1">
      <x:c r="A9" s="25" t="str">
        <x:v>OutcomeRepair</x:v>
      </x:c>
      <x:c r="B9" s="25" t="str">
        <x:v>outcome_id, episode_id, agent_action, authority_level, user_response, outcome_state, repair_type, repair_cause, repair_latency_ms, commitment_violation, severe_authority_error, memory_retention_decision</x:v>
      </x:c>
      <x:c r="C9" s="25" t="str">
        <x:v>outcome_id</x:v>
      </x:c>
      <x:c r="D9" s="25" t="str">
        <x:v>episode_id</x:v>
      </x:c>
      <x:c r="E9" s="25" t="str">
        <x:v>0..many outcomes : 1 episode</x:v>
      </x:c>
      <x:c r="F9" s="25" t="str">
        <x:v>Outcome/Repair/AuthoritySnapshot</x:v>
      </x:c>
    </x:row>
    <x:row r="10" ht="64" customHeight="1">
      <x:c r="A10" s="25" t="str">
        <x:v>Provenance</x:v>
      </x:c>
      <x:c r="B10" s="25" t="str">
        <x:v>provenance_id, source_type, source_uri, creator_pseudonym, intent_source, coder_ids, vlm_model, vlm_prompt_hash, annotation_version, adjudication_status, consent_license</x:v>
      </x:c>
      <x:c r="C10" s="25" t="str">
        <x:v>provenance_id</x:v>
      </x:c>
      <x:c r="D10" s="25" t="str">
        <x:v>-</x:v>
      </x:c>
      <x:c r="E10" s="25" t="str">
        <x:v>1 provenance : many episodes/cases</x:v>
      </x:c>
      <x:c r="F10" s="25" t="str">
        <x:v>Provenance/validated_by</x:v>
      </x:c>
    </x:row>
    <x:row r="11" ht="64" customHeight="1">
      <x:c r="A11" s="25" t="str">
        <x:v>MemoryCase</x:v>
      </x:c>
      <x:c r="B11" s="25" t="str">
        <x:v>case_id, episode_id, case_role, similarity_score, reuse_utility, explanation_value, validation_tier, retention_scope, decay_expiry, negative_case_flag</x:v>
      </x:c>
      <x:c r="C11" s="25" t="str">
        <x:v>case_id</x:v>
      </x:c>
      <x:c r="D11" s="25" t="str">
        <x:v>episode_id</x:v>
      </x:c>
      <x:c r="E11" s="25" t="str">
        <x:v>0..many cases : 1 episode</x:v>
      </x:c>
      <x:c r="F11" s="25" t="str">
        <x:v>retrieved_from + retention governance</x:v>
      </x:c>
    </x:row>
    <x:row r="13">
      <x:c r="A13" s="18" t="str">
        <x:v>字段级 codebook：字段是可证伪的记录单元，不要将解释、观测和授权混成一个标签。</x:v>
      </x:c>
    </x:row>
    <x:row r="14" ht="30" customHeight="1">
      <x:c r="A14" s="24" t="str">
        <x:v>表</x:v>
      </x:c>
      <x:c r="B14" s="24" t="str">
        <x:v>字段</x:v>
      </x:c>
      <x:c r="C14" s="24" t="str">
        <x:v>类型</x:v>
      </x:c>
      <x:c r="D14" s="24" t="str">
        <x:v>必填</x:v>
      </x:c>
      <x:c r="E14" s="24" t="str">
        <x:v>允许值/形式</x:v>
      </x:c>
      <x:c r="F14" s="24" t="str">
        <x:v>证据源</x:v>
      </x:c>
      <x:c r="G14" s="24" t="str">
        <x:v>VLM职责</x:v>
      </x:c>
      <x:c r="H14" s="24" t="str">
        <x:v>人类职责</x:v>
      </x:c>
      <x:c r="I14" s="24" t="str">
        <x:v>可靠性/QA</x:v>
      </x:c>
      <x:c r="J14" s="24" t="str">
        <x:v>IHG/运行用途</x:v>
      </x:c>
    </x:row>
    <x:row r="15" ht="44" customHeight="1">
      <x:c r="A15" s="25" t="str">
        <x:v>Episode</x:v>
      </x:c>
      <x:c r="B15" s="25" t="str">
        <x:v>episode_id</x:v>
      </x:c>
      <x:c r="C15" s="25" t="str">
        <x:v>string</x:v>
      </x:c>
      <x:c r="D15" s="25" t="str">
        <x:v>yes</x:v>
      </x:c>
      <x:c r="E15" s="25" t="str">
        <x:v>stable UUID</x:v>
      </x:c>
      <x:c r="F15" s="25" t="str">
        <x:v>system</x:v>
      </x:c>
      <x:c r="G15" s="25" t="str">
        <x:v>generate only</x:v>
      </x:c>
      <x:c r="H15" s="25" t="str">
        <x:v>verify linkage</x:v>
      </x:c>
      <x:c r="I15" s="25" t="str">
        <x:v>uniqueness</x:v>
      </x:c>
      <x:c r="J15" s="25" t="str">
        <x:v>episode anchor</x:v>
      </x:c>
    </x:row>
    <x:row r="16" ht="44" customHeight="1">
      <x:c r="A16" s="25" t="str">
        <x:v>Episode</x:v>
      </x:c>
      <x:c r="B16" s="25" t="str">
        <x:v>start_ms / end_ms</x:v>
      </x:c>
      <x:c r="C16" s="25" t="str">
        <x:v>integer</x:v>
      </x:c>
      <x:c r="D16" s="25" t="str">
        <x:v>yes</x:v>
      </x:c>
      <x:c r="E16" s="25" t="str">
        <x:v>start &lt; end; source timeline</x:v>
      </x:c>
      <x:c r="F16" s="25" t="str">
        <x:v>video/log</x:v>
      </x:c>
      <x:c r="G16" s="25" t="str">
        <x:v>propose boundary</x:v>
      </x:c>
      <x:c r="H16" s="25" t="str">
        <x:v>correct boundary</x:v>
      </x:c>
      <x:c r="I16" s="25" t="str">
        <x:v>tolerance F1 + segmentation similarity</x:v>
      </x:c>
      <x:c r="J16" s="25" t="str">
        <x:v>temporal scope</x:v>
      </x:c>
    </x:row>
    <x:row r="17" ht="44" customHeight="1">
      <x:c r="A17" s="25" t="str">
        <x:v>Episode</x:v>
      </x:c>
      <x:c r="B17" s="25" t="str">
        <x:v>context_version</x:v>
      </x:c>
      <x:c r="C17" s="25" t="str">
        <x:v>string</x:v>
      </x:c>
      <x:c r="D17" s="25" t="str">
        <x:v>yes</x:v>
      </x:c>
      <x:c r="E17" s="25" t="str">
        <x:v>scene/tool snapshot hash</x:v>
      </x:c>
      <x:c r="F17" s="25" t="str">
        <x:v>system log</x:v>
      </x:c>
      <x:c r="G17" s="25" t="str">
        <x:v>extract</x:v>
      </x:c>
      <x:c r="H17" s="25" t="str">
        <x:v>verify mismatch</x:v>
      </x:c>
      <x:c r="I17" s="25" t="str">
        <x:v>exact match / missing rate</x:v>
      </x:c>
      <x:c r="J17" s="25" t="str">
        <x:v>ContextState</x:v>
      </x:c>
    </x:row>
    <x:row r="18" ht="44" customHeight="1">
      <x:c r="A18" s="25" t="str">
        <x:v>Episode</x:v>
      </x:c>
      <x:c r="B18" s="25" t="str">
        <x:v>task_stage</x:v>
      </x:c>
      <x:c r="C18" s="25" t="str">
        <x:v>category</x:v>
      </x:c>
      <x:c r="D18" s="25" t="str">
        <x:v>yes</x:v>
      </x:c>
      <x:c r="E18" s="25" t="str">
        <x:v>orient/explore/construct/compare/refine/commit/repair</x:v>
      </x:c>
      <x:c r="F18" s="25" t="str">
        <x:v>video+task</x:v>
      </x:c>
      <x:c r="G18" s="25" t="str">
        <x:v>Top-k</x:v>
      </x:c>
      <x:c r="H18" s="25" t="str">
        <x:v>confirm/alternatives</x:v>
      </x:c>
      <x:c r="I18" s="25" t="str">
        <x:v>alpha/kappa</x:v>
      </x:c>
      <x:c r="J18" s="25" t="str">
        <x:v>goal_L1</x:v>
      </x:c>
    </x:row>
    <x:row r="19" ht="44" customHeight="1">
      <x:c r="A19" s="25" t="str">
        <x:v>Episode</x:v>
      </x:c>
      <x:c r="B19" s="25" t="str">
        <x:v>interaction_function</x:v>
      </x:c>
      <x:c r="C19" s="25" t="str">
        <x:v>category</x:v>
      </x:c>
      <x:c r="D19" s="25" t="str">
        <x:v>yes</x:v>
      </x:c>
      <x:c r="E19" s="25" t="str">
        <x:v>epistemic/pragmatic/communicative/repair/mixed/unknown</x:v>
      </x:c>
      <x:c r="F19" s="25" t="str">
        <x:v>sequence</x:v>
      </x:c>
      <x:c r="G19" s="25" t="str">
        <x:v>Top-k + evidence</x:v>
      </x:c>
      <x:c r="H19" s="25" t="str">
        <x:v>confirm; preserve plurality</x:v>
      </x:c>
      <x:c r="I19" s="25" t="str">
        <x:v>alpha + confusion</x:v>
      </x:c>
      <x:c r="J19" s="25" t="str">
        <x:v>interaction function</x:v>
      </x:c>
    </x:row>
    <x:row r="20" ht="44" customHeight="1">
      <x:c r="A20" s="25" t="str">
        <x:v>Episode</x:v>
      </x:c>
      <x:c r="B20" s="25" t="str">
        <x:v>commitment</x:v>
      </x:c>
      <x:c r="C20" s="25" t="str">
        <x:v>ordinal</x:v>
      </x:c>
      <x:c r="D20" s="25" t="str">
        <x:v>yes</x:v>
      </x:c>
      <x:c r="E20" s="25" t="str">
        <x:v>0 explore; 1 tentative; 2 preferred; 3 accepted; 4 locked; unknown</x:v>
      </x:c>
      <x:c r="F20" s="25" t="str">
        <x:v>behavior+recall</x:v>
      </x:c>
      <x:c r="G20" s="25" t="str">
        <x:v>estimate only</x:v>
      </x:c>
      <x:c r="H20" s="25" t="str">
        <x:v>participant/coder confirm</x:v>
      </x:c>
      <x:c r="I20" s="25" t="str">
        <x:v>weighted kappa / ordinal alpha</x:v>
      </x:c>
      <x:c r="J20" s="25" t="str">
        <x:v>CommitmentState</x:v>
      </x:c>
    </x:row>
    <x:row r="21" ht="44" customHeight="1">
      <x:c r="A21" s="25" t="str">
        <x:v>Episode</x:v>
      </x:c>
      <x:c r="B21" s="25" t="str">
        <x:v>validation_status</x:v>
      </x:c>
      <x:c r="C21" s="25" t="str">
        <x:v>category</x:v>
      </x:c>
      <x:c r="D21" s="25" t="str">
        <x:v>yes</x:v>
      </x:c>
      <x:c r="E21" s="25" t="str">
        <x:v>vlm_only/single_review/double_review/creator_confirmed/task_ground_truth/adjudicated</x:v>
      </x:c>
      <x:c r="F21" s="25" t="str">
        <x:v>workflow</x:v>
      </x:c>
      <x:c r="G21" s="25" t="str">
        <x:v>write initial</x:v>
      </x:c>
      <x:c r="H21" s="25" t="str">
        <x:v>promote tier</x:v>
      </x:c>
      <x:c r="I21" s="25" t="str">
        <x:v>audit counts</x:v>
      </x:c>
      <x:c r="J21" s="25" t="str">
        <x:v>provenance gate</x:v>
      </x:c>
    </x:row>
    <x:row r="22" ht="44" customHeight="1">
      <x:c r="A22" s="25" t="str">
        <x:v>ObservationEvent</x:v>
      </x:c>
      <x:c r="B22" s="25" t="str">
        <x:v>event_type</x:v>
      </x:c>
      <x:c r="C22" s="25" t="str">
        <x:v>category</x:v>
      </x:c>
      <x:c r="D22" s="25" t="str">
        <x:v>yes</x:v>
      </x:c>
      <x:c r="E22" s="25" t="str">
        <x:v>select/drag/rotate/scale/draw/menu/parameter/camera/undo/redo/pause/accept/reject/other</x:v>
      </x:c>
      <x:c r="F22" s="25" t="str">
        <x:v>video/log</x:v>
      </x:c>
      <x:c r="G22" s="25" t="str">
        <x:v>label</x:v>
      </x:c>
      <x:c r="H22" s="25" t="str">
        <x:v>verify</x:v>
      </x:c>
      <x:c r="I22" s="25" t="str">
        <x:v>alpha/kappa</x:v>
      </x:c>
      <x:c r="J22" s="25" t="str">
        <x:v>ObservationEvent</x:v>
      </x:c>
    </x:row>
    <x:row r="23" ht="44" customHeight="1">
      <x:c r="A23" s="25" t="str">
        <x:v>ObservationEvent</x:v>
      </x:c>
      <x:c r="B23" s="25" t="str">
        <x:v>pointer_trajectory_ref</x:v>
      </x:c>
      <x:c r="C23" s="25" t="str">
        <x:v>URI/array</x:v>
      </x:c>
      <x:c r="D23" s="25" t="str">
        <x:v>conditional</x:v>
      </x:c>
      <x:c r="E23" s="25" t="str">
        <x:v>screen/world coordinates + sampling rate</x:v>
      </x:c>
      <x:c r="F23" s="25" t="str">
        <x:v>interaction log</x:v>
      </x:c>
      <x:c r="G23" s="25" t="str">
        <x:v>extract if visible</x:v>
      </x:c>
      <x:c r="H23" s="25" t="str">
        <x:v>verify alignment</x:v>
      </x:c>
      <x:c r="I23" s="25" t="str">
        <x:v>coverage + trajectory error</x:v>
      </x:c>
      <x:c r="J23" s="25" t="str">
        <x:v>observable evidence</x:v>
      </x:c>
    </x:row>
    <x:row r="24" ht="44" customHeight="1">
      <x:c r="A24" s="25" t="str">
        <x:v>ObservationEvent</x:v>
      </x:c>
      <x:c r="B24" s="25" t="str">
        <x:v>selected_before / selected_after</x:v>
      </x:c>
      <x:c r="C24" s="25" t="str">
        <x:v>ID list</x:v>
      </x:c>
      <x:c r="D24" s="25" t="str">
        <x:v>yes</x:v>
      </x:c>
      <x:c r="E24" s="25" t="str">
        <x:v>object/part semantic IDs; empty allowed</x:v>
      </x:c>
      <x:c r="F24" s="25" t="str">
        <x:v>scene log</x:v>
      </x:c>
      <x:c r="G24" s="25" t="str">
        <x:v>extract</x:v>
      </x:c>
      <x:c r="H24" s="25" t="str">
        <x:v>verify target identity</x:v>
      </x:c>
      <x:c r="I24" s="25" t="str">
        <x:v>exact/Jaccard</x:v>
      </x:c>
      <x:c r="J24" s="25" t="str">
        <x:v>target evidence</x:v>
      </x:c>
    </x:row>
    <x:row r="25" ht="44" customHeight="1">
      <x:c r="A25" s="25" t="str">
        <x:v>ObservationEvent</x:v>
      </x:c>
      <x:c r="B25" s="25" t="str">
        <x:v>active_tool / tool_mode</x:v>
      </x:c>
      <x:c r="C25" s="25" t="str">
        <x:v>category</x:v>
      </x:c>
      <x:c r="D25" s="25" t="str">
        <x:v>yes</x:v>
      </x:c>
      <x:c r="E25" s="25" t="str">
        <x:v>tool taxonomy + unknown</x:v>
      </x:c>
      <x:c r="F25" s="25" t="str">
        <x:v>UI/log</x:v>
      </x:c>
      <x:c r="G25" s="25" t="str">
        <x:v>extract</x:v>
      </x:c>
      <x:c r="H25" s="25" t="str">
        <x:v>verify hidden modes</x:v>
      </x:c>
      <x:c r="I25" s="25" t="str">
        <x:v>alpha + missing rate</x:v>
      </x:c>
      <x:c r="J25" s="25" t="str">
        <x:v>user_tool_belief evidence</x:v>
      </x:c>
    </x:row>
    <x:row r="26" ht="44" customHeight="1">
      <x:c r="A26" s="25" t="str">
        <x:v>ObservationEvent</x:v>
      </x:c>
      <x:c r="B26" s="25" t="str">
        <x:v>modifiers</x:v>
      </x:c>
      <x:c r="C26" s="25" t="str">
        <x:v>set</x:v>
      </x:c>
      <x:c r="D26" s="25" t="str">
        <x:v>no</x:v>
      </x:c>
      <x:c r="E26" s="25" t="str">
        <x:v>keyboard/controller modifiers</x:v>
      </x:c>
      <x:c r="F26" s="25" t="str">
        <x:v>UI/log</x:v>
      </x:c>
      <x:c r="G26" s="25" t="str">
        <x:v>extract</x:v>
      </x:c>
      <x:c r="H26" s="25" t="str">
        <x:v>verify</x:v>
      </x:c>
      <x:c r="I26" s="25" t="str">
        <x:v>Jaccard</x:v>
      </x:c>
      <x:c r="J26" s="25" t="str">
        <x:v>operation evidence</x:v>
      </x:c>
    </x:row>
    <x:row r="27" ht="44" customHeight="1">
      <x:c r="A27" s="25" t="str">
        <x:v>ObservationEvent</x:v>
      </x:c>
      <x:c r="B27" s="25" t="str">
        <x:v>camera_state</x:v>
      </x:c>
      <x:c r="C27" s="25" t="str">
        <x:v>JSON</x:v>
      </x:c>
      <x:c r="D27" s="25" t="str">
        <x:v>yes</x:v>
      </x:c>
      <x:c r="E27" s="25" t="str">
        <x:v>view matrix/projection/visible region or unknown</x:v>
      </x:c>
      <x:c r="F27" s="25" t="str">
        <x:v>scene log</x:v>
      </x:c>
      <x:c r="G27" s="25" t="str">
        <x:v>extract</x:v>
      </x:c>
      <x:c r="H27" s="25" t="str">
        <x:v>verify visibility</x:v>
      </x:c>
      <x:c r="I27" s="25" t="str">
        <x:v>coverage + numeric tolerance</x:v>
      </x:c>
      <x:c r="J27" s="25" t="str">
        <x:v>reference-frame evidence</x:v>
      </x:c>
    </x:row>
    <x:row r="28" ht="44" customHeight="1">
      <x:c r="A28" s="25" t="str">
        <x:v>ObservationEvent</x:v>
      </x:c>
      <x:c r="B28" s="25" t="str">
        <x:v>scene_delta</x:v>
      </x:c>
      <x:c r="C28" s="25" t="str">
        <x:v>JSON</x:v>
      </x:c>
      <x:c r="D28" s="25" t="str">
        <x:v>yes</x:v>
      </x:c>
      <x:c r="E28" s="25" t="str">
        <x:v>changed objects/properties/topology/relations</x:v>
      </x:c>
      <x:c r="F28" s="25" t="str">
        <x:v>scene diff</x:v>
      </x:c>
      <x:c r="G28" s="25" t="str">
        <x:v>summarize</x:v>
      </x:c>
      <x:c r="H28" s="25" t="str">
        <x:v>verify topology/relations</x:v>
      </x:c>
      <x:c r="I28" s="25" t="str">
        <x:v>field recall</x:v>
      </x:c>
      <x:c r="J28" s="25" t="str">
        <x:v>DesiredEffect/Outcome</x:v>
      </x:c>
    </x:row>
    <x:row r="29" ht="44" customHeight="1">
      <x:c r="A29" s="25" t="str">
        <x:v>ObservationEvent</x:v>
      </x:c>
      <x:c r="B29" s="25" t="str">
        <x:v>system_feedback</x:v>
      </x:c>
      <x:c r="C29" s="25" t="str">
        <x:v>text/category</x:v>
      </x:c>
      <x:c r="D29" s="25" t="str">
        <x:v>no</x:v>
      </x:c>
      <x:c r="E29" s="25" t="str">
        <x:v>preview/error/snap/highlight/result</x:v>
      </x:c>
      <x:c r="F29" s="25" t="str">
        <x:v>UI</x:v>
      </x:c>
      <x:c r="G29" s="25" t="str">
        <x:v>extract</x:v>
      </x:c>
      <x:c r="H29" s="25" t="str">
        <x:v>verify</x:v>
      </x:c>
      <x:c r="I29" s="25" t="str">
        <x:v>alpha</x:v>
      </x:c>
      <x:c r="J29" s="25" t="str">
        <x:v>feedback evidence</x:v>
      </x:c>
    </x:row>
    <x:row r="30" ht="44" customHeight="1">
      <x:c r="A30" s="25" t="str">
        <x:v>ObservationEvent</x:v>
      </x:c>
      <x:c r="B30" s="25" t="str">
        <x:v>visibility / missingness</x:v>
      </x:c>
      <x:c r="C30" s="25" t="str">
        <x:v>category</x:v>
      </x:c>
      <x:c r="D30" s="25" t="str">
        <x:v>yes</x:v>
      </x:c>
      <x:c r="E30" s="25" t="str">
        <x:v>visible/occluded/offscreen/not_logged/unknown</x:v>
      </x:c>
      <x:c r="F30" s="25" t="str">
        <x:v>video+log</x:v>
      </x:c>
      <x:c r="G30" s="25" t="str">
        <x:v>flag</x:v>
      </x:c>
      <x:c r="H30" s="25" t="str">
        <x:v>verify critical gaps</x:v>
      </x:c>
      <x:c r="I30" s="25" t="str">
        <x:v>missing-rate + alpha</x:v>
      </x:c>
      <x:c r="J30" s="25" t="str">
        <x:v>unknown mass</x:v>
      </x:c>
    </x:row>
    <x:row r="31" ht="44" customHeight="1">
      <x:c r="A31" s="25" t="str">
        <x:v>ObservationEvent</x:v>
      </x:c>
      <x:c r="B31" s="25" t="str">
        <x:v>evidence_strength</x:v>
      </x:c>
      <x:c r="C31" s="25" t="str">
        <x:v>ordinal</x:v>
      </x:c>
      <x:c r="D31" s="25" t="str">
        <x:v>yes</x:v>
      </x:c>
      <x:c r="E31" s="25" t="str">
        <x:v>0 absent; 1 weak; 2 moderate; 3 strong</x:v>
      </x:c>
      <x:c r="F31" s="25" t="str">
        <x:v>coding rule</x:v>
      </x:c>
      <x:c r="G31" s="25" t="str">
        <x:v>suggest</x:v>
      </x:c>
      <x:c r="H31" s="25" t="str">
        <x:v>final human rating</x:v>
      </x:c>
      <x:c r="I31" s="25" t="str">
        <x:v>weighted kappa</x:v>
      </x:c>
      <x:c r="J31" s="25" t="str">
        <x:v>Evidence weight</x:v>
      </x:c>
    </x:row>
    <x:row r="32" ht="44" customHeight="1">
      <x:c r="A32" s="25" t="str">
        <x:v>ObservationEvent</x:v>
      </x:c>
      <x:c r="B32" s="25" t="str">
        <x:v>vlm_confidence</x:v>
      </x:c>
      <x:c r="C32" s="25" t="str">
        <x:v>number</x:v>
      </x:c>
      <x:c r="D32" s="25" t="str">
        <x:v>yes</x:v>
      </x:c>
      <x:c r="E32" s="25" t="str">
        <x:v>0..1; model-reported, not calibrated truth</x:v>
      </x:c>
      <x:c r="F32" s="25" t="str">
        <x:v>VLM</x:v>
      </x:c>
      <x:c r="G32" s="25" t="str">
        <x:v>write</x:v>
      </x:c>
      <x:c r="H32" s="25" t="str">
        <x:v>do not overwrite</x:v>
      </x:c>
      <x:c r="I32" s="25" t="str">
        <x:v>calibration later</x:v>
      </x:c>
      <x:c r="J32" s="25" t="str">
        <x:v>review priority</x:v>
      </x:c>
    </x:row>
    <x:row r="33" ht="44" customHeight="1">
      <x:c r="A33" s="25" t="str">
        <x:v>IntentHypothesis</x:v>
      </x:c>
      <x:c r="B33" s="25" t="str">
        <x:v>rank</x:v>
      </x:c>
      <x:c r="C33" s="25" t="str">
        <x:v>integer</x:v>
      </x:c>
      <x:c r="D33" s="25" t="str">
        <x:v>yes</x:v>
      </x:c>
      <x:c r="E33" s="25" t="str">
        <x:v>1..k; unknown/other is explicit candidate</x:v>
      </x:c>
      <x:c r="F33" s="25" t="str">
        <x:v>model/coder</x:v>
      </x:c>
      <x:c r="G33" s="25" t="str">
        <x:v>propose</x:v>
      </x:c>
      <x:c r="H33" s="25" t="str">
        <x:v>re-rank/retain alternatives</x:v>
      </x:c>
      <x:c r="I33" s="25" t="str">
        <x:v>Top-k coverage</x:v>
      </x:c>
      <x:c r="J33" s="25" t="str">
        <x:v>alternatives</x:v>
      </x:c>
    </x:row>
    <x:row r="34" ht="44" customHeight="1">
      <x:c r="A34" s="25" t="str">
        <x:v>IntentHypothesis</x:v>
      </x:c>
      <x:c r="B34" s="25" t="str">
        <x:v>goal_L0..goal_L3</x:v>
      </x:c>
      <x:c r="C34" s="25" t="str">
        <x:v>category/text</x:v>
      </x:c>
      <x:c r="D34" s="25" t="str">
        <x:v>yes</x:v>
      </x:c>
      <x:c r="E34" s="25" t="str">
        <x:v>project &gt; stage &gt; edit &gt; motor; unknown at any level</x:v>
      </x:c>
      <x:c r="F34" s="25" t="str">
        <x:v>task+narration+sequence</x:v>
      </x:c>
      <x:c r="G34" s="25" t="str">
        <x:v>Top-k</x:v>
      </x:c>
      <x:c r="H34" s="25" t="str">
        <x:v>confirm per level</x:v>
      </x:c>
      <x:c r="I34" s="25" t="str">
        <x:v>level-wise alpha/Top-k</x:v>
      </x:c>
      <x:c r="J34" s="25" t="str">
        <x:v>multi-level Goal</x:v>
      </x:c>
    </x:row>
    <x:row r="35" ht="44" customHeight="1">
      <x:c r="A35" s="25" t="str">
        <x:v>IntentHypothesis</x:v>
      </x:c>
      <x:c r="B35" s="25" t="str">
        <x:v>target</x:v>
      </x:c>
      <x:c r="C35" s="25" t="str">
        <x:v>ID + semantic type</x:v>
      </x:c>
      <x:c r="D35" s="25" t="str">
        <x:v>yes</x:v>
      </x:c>
      <x:c r="E35" s="25" t="str">
        <x:v>object/part/relation/region/property</x:v>
      </x:c>
      <x:c r="F35" s="25" t="str">
        <x:v>scene+behavior</x:v>
      </x:c>
      <x:c r="G35" s="25" t="str">
        <x:v>propose</x:v>
      </x:c>
      <x:c r="H35" s="25" t="str">
        <x:v>verify</x:v>
      </x:c>
      <x:c r="I35" s="25" t="str">
        <x:v>exact/Jaccard</x:v>
      </x:c>
      <x:c r="J35" s="25" t="str">
        <x:v>Target</x:v>
      </x:c>
    </x:row>
    <x:row r="36" ht="44" customHeight="1">
      <x:c r="A36" s="25" t="str">
        <x:v>IntentHypothesis</x:v>
      </x:c>
      <x:c r="B36" s="25" t="str">
        <x:v>desired_effect</x:v>
      </x:c>
      <x:c r="C36" s="25" t="str">
        <x:v>predicate/state diff</x:v>
      </x:c>
      <x:c r="D36" s="25" t="str">
        <x:v>yes</x:v>
      </x:c>
      <x:c r="E36" s="25" t="str">
        <x:v>move_to/align_with/increase/replace/preserve/etc.</x:v>
      </x:c>
      <x:c r="F36" s="25" t="str">
        <x:v>narration+delta</x:v>
      </x:c>
      <x:c r="G36" s="25" t="str">
        <x:v>propose</x:v>
      </x:c>
      <x:c r="H36" s="25" t="str">
        <x:v>confirm</x:v>
      </x:c>
      <x:c r="I36" s="25" t="str">
        <x:v>semantic match + alpha</x:v>
      </x:c>
      <x:c r="J36" s="25" t="str">
        <x:v>DesiredEffect</x:v>
      </x:c>
    </x:row>
    <x:row r="37" ht="44" customHeight="1">
      <x:c r="A37" s="25" t="str">
        <x:v>IntentHypothesis</x:v>
      </x:c>
      <x:c r="B37" s="25" t="str">
        <x:v>operation_family</x:v>
      </x:c>
      <x:c r="C37" s="25" t="str">
        <x:v>category</x:v>
      </x:c>
      <x:c r="D37" s="25" t="str">
        <x:v>yes</x:v>
      </x:c>
      <x:c r="E37" s="25" t="str">
        <x:v>navigate/select/transform/model/constrain/assemble/style/compare/repair/other</x:v>
      </x:c>
      <x:c r="F37" s="25" t="str">
        <x:v>behavior</x:v>
      </x:c>
      <x:c r="G37" s="25" t="str">
        <x:v>propose</x:v>
      </x:c>
      <x:c r="H37" s="25" t="str">
        <x:v>confirm</x:v>
      </x:c>
      <x:c r="I37" s="25" t="str">
        <x:v>alpha/kappa</x:v>
      </x:c>
      <x:c r="J37" s="25" t="str">
        <x:v>Operation</x:v>
      </x:c>
    </x:row>
    <x:row r="38" ht="44" customHeight="1">
      <x:c r="A38" s="25" t="str">
        <x:v>IntentHypothesis</x:v>
      </x:c>
      <x:c r="B38" s="25" t="str">
        <x:v>scope</x:v>
      </x:c>
      <x:c r="C38" s="25" t="str">
        <x:v>JSON/category</x:v>
      </x:c>
      <x:c r="D38" s="25" t="str">
        <x:v>yes</x:v>
      </x:c>
      <x:c r="E38" s="25" t="str">
        <x:v>object/part/selection/group/global + affected IDs</x:v>
      </x:c>
      <x:c r="F38" s="25" t="str">
        <x:v>scene+intent</x:v>
      </x:c>
      <x:c r="G38" s="25" t="str">
        <x:v>propose</x:v>
      </x:c>
      <x:c r="H38" s="25" t="str">
        <x:v>verify blast radius</x:v>
      </x:c>
      <x:c r="I38" s="25" t="str">
        <x:v>Jaccard + recall</x:v>
      </x:c>
      <x:c r="J38" s="25" t="str">
        <x:v>scope/authority</x:v>
      </x:c>
    </x:row>
    <x:row r="39" ht="44" customHeight="1">
      <x:c r="A39" s="25" t="str">
        <x:v>IntentHypothesis</x:v>
      </x:c>
      <x:c r="B39" s="25" t="str">
        <x:v>reference_frame</x:v>
      </x:c>
      <x:c r="C39" s="25" t="str">
        <x:v>category</x:v>
      </x:c>
      <x:c r="D39" s="25" t="str">
        <x:v>yes</x:v>
      </x:c>
      <x:c r="E39" s="25" t="str">
        <x:v>screen/view/world/object/local/custom/unknown</x:v>
      </x:c>
      <x:c r="F39" s="25" t="str">
        <x:v>trajectory+UI+recall</x:v>
      </x:c>
      <x:c r="G39" s="25" t="str">
        <x:v>Top-k</x:v>
      </x:c>
      <x:c r="H39" s="25" t="str">
        <x:v>confirm alternatives</x:v>
      </x:c>
      <x:c r="I39" s="25" t="str">
        <x:v>alpha + frame error</x:v>
      </x:c>
      <x:c r="J39" s="25" t="str">
        <x:v>ReferenceFrame</x:v>
      </x:c>
    </x:row>
    <x:row r="40" ht="44" customHeight="1">
      <x:c r="A40" s="25" t="str">
        <x:v>IntentHypothesis</x:v>
      </x:c>
      <x:c r="B40" s="25" t="str">
        <x:v>user_world_belief</x:v>
      </x:c>
      <x:c r="C40" s="25" t="str">
        <x:v>predicate set</x:v>
      </x:c>
      <x:c r="D40" s="25" t="str">
        <x:v>yes</x:v>
      </x:c>
      <x:c r="E40" s="25" t="str">
        <x:v>belief about current geometry/relations/visibility</x:v>
      </x:c>
      <x:c r="F40" s="25" t="str">
        <x:v>behavior+recall</x:v>
      </x:c>
      <x:c r="G40" s="25" t="str">
        <x:v>hypothesize</x:v>
      </x:c>
      <x:c r="H40" s="25" t="str">
        <x:v>participant/coder validate</x:v>
      </x:c>
      <x:c r="I40" s="25" t="str">
        <x:v>coverage + disagreement</x:v>
      </x:c>
      <x:c r="J40" s="25" t="str">
        <x:v>UserBeliefHypothesis</x:v>
      </x:c>
    </x:row>
    <x:row r="41" ht="44" customHeight="1">
      <x:c r="A41" s="25" t="str">
        <x:v>IntentHypothesis</x:v>
      </x:c>
      <x:c r="B41" s="25" t="str">
        <x:v>user_tool_belief</x:v>
      </x:c>
      <x:c r="C41" s="25" t="str">
        <x:v>predicate set</x:v>
      </x:c>
      <x:c r="D41" s="25" t="str">
        <x:v>yes</x:v>
      </x:c>
      <x:c r="E41" s="25" t="str">
        <x:v>belief about active mode/mapping/modifier</x:v>
      </x:c>
      <x:c r="F41" s="25" t="str">
        <x:v>behavior+recall</x:v>
      </x:c>
      <x:c r="G41" s="25" t="str">
        <x:v>hypothesize</x:v>
      </x:c>
      <x:c r="H41" s="25" t="str">
        <x:v>validate</x:v>
      </x:c>
      <x:c r="I41" s="25" t="str">
        <x:v>coverage + disagreement</x:v>
      </x:c>
      <x:c r="J41" s="25" t="str">
        <x:v>UserBeliefHypothesis</x:v>
      </x:c>
    </x:row>
    <x:row r="42" ht="44" customHeight="1">
      <x:c r="A42" s="25" t="str">
        <x:v>IntentHypothesis</x:v>
      </x:c>
      <x:c r="B42" s="25" t="str">
        <x:v>confidence</x:v>
      </x:c>
      <x:c r="C42" s="25" t="str">
        <x:v>number</x:v>
      </x:c>
      <x:c r="D42" s="25" t="str">
        <x:v>yes</x:v>
      </x:c>
      <x:c r="E42" s="25" t="str">
        <x:v>posterior 0..1; hypotheses + unknown sum to 1</x:v>
      </x:c>
      <x:c r="F42" s="25" t="str">
        <x:v>model</x:v>
      </x:c>
      <x:c r="G42" s="25" t="str">
        <x:v>compute</x:v>
      </x:c>
      <x:c r="H42" s="25" t="str">
        <x:v>calibration truth only</x:v>
      </x:c>
      <x:c r="I42" s="25" t="str">
        <x:v>NLL/Brier/ECE</x:v>
      </x:c>
      <x:c r="J42" s="25" t="str">
        <x:v>GoalHypothesis</x:v>
      </x:c>
    </x:row>
    <x:row r="43" ht="44" customHeight="1">
      <x:c r="A43" s="25" t="str">
        <x:v>IntentHypothesis</x:v>
      </x:c>
      <x:c r="B43" s="25" t="str">
        <x:v>unknown_mass</x:v>
      </x:c>
      <x:c r="C43" s="25" t="str">
        <x:v>number</x:v>
      </x:c>
      <x:c r="D43" s="25" t="str">
        <x:v>yes</x:v>
      </x:c>
      <x:c r="E43" s="25" t="str">
        <x:v>0..1; missing/model mismatch/other</x:v>
      </x:c>
      <x:c r="F43" s="25" t="str">
        <x:v>model+missingness</x:v>
      </x:c>
      <x:c r="G43" s="25" t="str">
        <x:v>compute</x:v>
      </x:c>
      <x:c r="H43" s="25" t="str">
        <x:v>audit false certainty</x:v>
      </x:c>
      <x:c r="I43" s="25" t="str">
        <x:v>AUROC/AUPRC + ECE</x:v>
      </x:c>
      <x:c r="J43" s="25" t="str">
        <x:v>unknown/other</x:v>
      </x:c>
    </x:row>
    <x:row r="44" ht="44" customHeight="1">
      <x:c r="A44" s="25" t="str">
        <x:v>IntentHypothesis</x:v>
      </x:c>
      <x:c r="B44" s="25" t="str">
        <x:v>model_fit</x:v>
      </x:c>
      <x:c r="C44" s="25" t="str">
        <x:v>number/category</x:v>
      </x:c>
      <x:c r="D44" s="25" t="str">
        <x:v>yes</x:v>
      </x:c>
      <x:c r="E44" s="25" t="str">
        <x:v>good/partial/mismatch or 0..1</x:v>
      </x:c>
      <x:c r="F44" s="25" t="str">
        <x:v>model diagnostics</x:v>
      </x:c>
      <x:c r="G44" s="25" t="str">
        <x:v>compute</x:v>
      </x:c>
      <x:c r="H44" s="25" t="str">
        <x:v>review mismatch</x:v>
      </x:c>
      <x:c r="I44" s="25" t="str">
        <x:v>OOD detection</x:v>
      </x:c>
      <x:c r="J44" s="25" t="str">
        <x:v>authority guard</x:v>
      </x:c>
    </x:row>
    <x:row r="45" ht="44" customHeight="1">
      <x:c r="A45" s="25" t="str">
        <x:v>IntentHypothesis</x:v>
      </x:c>
      <x:c r="B45" s="25" t="str">
        <x:v>evidence_ids / counterevidence_ids</x:v>
      </x:c>
      <x:c r="C45" s="25" t="str">
        <x:v>ID lists</x:v>
      </x:c>
      <x:c r="D45" s="25" t="str">
        <x:v>yes</x:v>
      </x:c>
      <x:c r="E45" s="25" t="str">
        <x:v>must reference existing events/evidence</x:v>
      </x:c>
      <x:c r="F45" s="25" t="str">
        <x:v>graph</x:v>
      </x:c>
      <x:c r="G45" s="25" t="str">
        <x:v>link</x:v>
      </x:c>
      <x:c r="H45" s="25" t="str">
        <x:v>verify completeness</x:v>
      </x:c>
      <x:c r="I45" s="25" t="str">
        <x:v>orphan-link audit</x:v>
      </x:c>
      <x:c r="J45" s="25" t="str">
        <x:v>supports/contradicts</x:v>
      </x:c>
    </x:row>
    <x:row r="46" ht="44" customHeight="1">
      <x:c r="A46" s="25" t="str">
        <x:v>IntentHypothesis</x:v>
      </x:c>
      <x:c r="B46" s="25" t="str">
        <x:v>alternative_group / status</x:v>
      </x:c>
      <x:c r="C46" s="25" t="str">
        <x:v>string/category</x:v>
      </x:c>
      <x:c r="D46" s="25" t="str">
        <x:v>yes</x:v>
      </x:c>
      <x:c r="E46" s="25" t="str">
        <x:v>active/superseded/rejected/confirmed/unknown</x:v>
      </x:c>
      <x:c r="F46" s="25" t="str">
        <x:v>workflow</x:v>
      </x:c>
      <x:c r="G46" s="25" t="str">
        <x:v>initialize</x:v>
      </x:c>
      <x:c r="H46" s="25" t="str">
        <x:v>adjudicate</x:v>
      </x:c>
      <x:c r="I46" s="25" t="str">
        <x:v>coverage + audit</x:v>
      </x:c>
      <x:c r="J46" s="25" t="str">
        <x:v>alternatives/supersedes</x:v>
      </x:c>
    </x:row>
    <x:row r="47" ht="44" customHeight="1">
      <x:c r="A47" s="25" t="str">
        <x:v>Constraint</x:v>
      </x:c>
      <x:c r="B47" s="25" t="str">
        <x:v>constraint_type</x:v>
      </x:c>
      <x:c r="C47" s="25" t="str">
        <x:v>category</x:v>
      </x:c>
      <x:c r="D47" s="25" t="str">
        <x:v>yes</x:v>
      </x:c>
      <x:c r="E47" s="25" t="str">
        <x:v>symmetry/contact/alignment/topology/interface/style/semantic/custom</x:v>
      </x:c>
      <x:c r="F47" s="25" t="str">
        <x:v>scene+intent</x:v>
      </x:c>
      <x:c r="G47" s="25" t="str">
        <x:v>propose</x:v>
      </x:c>
      <x:c r="H47" s="25" t="str">
        <x:v>confirm</x:v>
      </x:c>
      <x:c r="I47" s="25" t="str">
        <x:v>label-wise alpha</x:v>
      </x:c>
      <x:c r="J47" s="25" t="str">
        <x:v>Constraint</x:v>
      </x:c>
    </x:row>
    <x:row r="48" ht="44" customHeight="1">
      <x:c r="A48" s="25" t="str">
        <x:v>Constraint</x:v>
      </x:c>
      <x:c r="B48" s="25" t="str">
        <x:v>object_relation</x:v>
      </x:c>
      <x:c r="C48" s="25" t="str">
        <x:v>predicate</x:v>
      </x:c>
      <x:c r="D48" s="25" t="str">
        <x:v>yes</x:v>
      </x:c>
      <x:c r="E48" s="25" t="str">
        <x:v>subject-relation-object + tolerance</x:v>
      </x:c>
      <x:c r="F48" s="25" t="str">
        <x:v>scene</x:v>
      </x:c>
      <x:c r="G48" s="25" t="str">
        <x:v>extract</x:v>
      </x:c>
      <x:c r="H48" s="25" t="str">
        <x:v>verify</x:v>
      </x:c>
      <x:c r="I48" s="25" t="str">
        <x:v>relation recall</x:v>
      </x:c>
      <x:c r="J48" s="25" t="str">
        <x:v>preserve target</x:v>
      </x:c>
    </x:row>
    <x:row r="49" ht="44" customHeight="1">
      <x:c r="A49" s="25" t="str">
        <x:v>Constraint</x:v>
      </x:c>
      <x:c r="B49" s="25" t="str">
        <x:v>preserve_level</x:v>
      </x:c>
      <x:c r="C49" s="25" t="str">
        <x:v>ordinal</x:v>
      </x:c>
      <x:c r="D49" s="25" t="str">
        <x:v>yes</x:v>
      </x:c>
      <x:c r="E49" s="25" t="str">
        <x:v>soft/preferred/hard/locked/unknown</x:v>
      </x:c>
      <x:c r="F49" s="25" t="str">
        <x:v>recall+history</x:v>
      </x:c>
      <x:c r="G49" s="25" t="str">
        <x:v>estimate</x:v>
      </x:c>
      <x:c r="H49" s="25" t="str">
        <x:v>participant confirm</x:v>
      </x:c>
      <x:c r="I49" s="25" t="str">
        <x:v>weighted kappa</x:v>
      </x:c>
      <x:c r="J49" s="25" t="str">
        <x:v>commitment guard</x:v>
      </x:c>
    </x:row>
    <x:row r="50" ht="44" customHeight="1">
      <x:c r="A50" s="25" t="str">
        <x:v>Constraint</x:v>
      </x:c>
      <x:c r="B50" s="25" t="str">
        <x:v>source</x:v>
      </x:c>
      <x:c r="C50" s="25" t="str">
        <x:v>category</x:v>
      </x:c>
      <x:c r="D50" s="25" t="str">
        <x:v>yes</x:v>
      </x:c>
      <x:c r="E50" s="25" t="str">
        <x:v>explicit/task/inferred/history/retrieved/unknown</x:v>
      </x:c>
      <x:c r="F50" s="25" t="str">
        <x:v>provenance</x:v>
      </x:c>
      <x:c r="G50" s="25" t="str">
        <x:v>infer</x:v>
      </x:c>
      <x:c r="H50" s="25" t="str">
        <x:v>verify</x:v>
      </x:c>
      <x:c r="I50" s="25" t="str">
        <x:v>source confusion</x:v>
      </x:c>
      <x:c r="J50" s="25" t="str">
        <x:v>provenance</x:v>
      </x:c>
    </x:row>
    <x:row r="51" ht="44" customHeight="1">
      <x:c r="A51" s="25" t="str">
        <x:v>Constraint</x:v>
      </x:c>
      <x:c r="B51" s="25" t="str">
        <x:v>confidence / violation_risk</x:v>
      </x:c>
      <x:c r="C51" s="25" t="str">
        <x:v>number</x:v>
      </x:c>
      <x:c r="D51" s="25" t="str">
        <x:v>yes</x:v>
      </x:c>
      <x:c r="E51" s="25" t="str">
        <x:v>0..1 each; separate belief from consequence</x:v>
      </x:c>
      <x:c r="F51" s="25" t="str">
        <x:v>model</x:v>
      </x:c>
      <x:c r="G51" s="25" t="str">
        <x:v>compute</x:v>
      </x:c>
      <x:c r="H51" s="25" t="str">
        <x:v>audit high risk</x:v>
      </x:c>
      <x:c r="I51" s="25" t="str">
        <x:v>calibration + recall</x:v>
      </x:c>
      <x:c r="J51" s="25" t="str">
        <x:v>authority policy</x:v>
      </x:c>
    </x:row>
    <x:row r="52" ht="44" customHeight="1">
      <x:c r="A52" s="25" t="str">
        <x:v>OutcomeRepair</x:v>
      </x:c>
      <x:c r="B52" s="25" t="str">
        <x:v>agent_action / authority_level</x:v>
      </x:c>
      <x:c r="C52" s="25" t="str">
        <x:v>JSON/category</x:v>
      </x:c>
      <x:c r="D52" s="25" t="str">
        <x:v>yes</x:v>
      </x:c>
      <x:c r="E52" s="25" t="str">
        <x:v>suggest/preview/select/apply/remember + scope</x:v>
      </x:c>
      <x:c r="F52" s="25" t="str">
        <x:v>system log</x:v>
      </x:c>
      <x:c r="G52" s="25" t="str">
        <x:v>extract</x:v>
      </x:c>
      <x:c r="H52" s="25" t="str">
        <x:v>verify policy</x:v>
      </x:c>
      <x:c r="I52" s="25" t="str">
        <x:v>exact + violation audit</x:v>
      </x:c>
      <x:c r="J52" s="25" t="str">
        <x:v>AuthoritySnapshot</x:v>
      </x:c>
    </x:row>
    <x:row r="53" ht="44" customHeight="1">
      <x:c r="A53" s="25" t="str">
        <x:v>OutcomeRepair</x:v>
      </x:c>
      <x:c r="B53" s="25" t="str">
        <x:v>user_response</x:v>
      </x:c>
      <x:c r="C53" s="25" t="str">
        <x:v>category</x:v>
      </x:c>
      <x:c r="D53" s="25" t="str">
        <x:v>yes</x:v>
      </x:c>
      <x:c r="E53" s="25" t="str">
        <x:v>accept/reject/modify/ignore/undo/counter_drag/grab_tool/clarify</x:v>
      </x:c>
      <x:c r="F53" s="25" t="str">
        <x:v>log+video</x:v>
      </x:c>
      <x:c r="G53" s="25" t="str">
        <x:v>label</x:v>
      </x:c>
      <x:c r="H53" s="25" t="str">
        <x:v>verify</x:v>
      </x:c>
      <x:c r="I53" s="25" t="str">
        <x:v>alpha</x:v>
      </x:c>
      <x:c r="J53" s="25" t="str">
        <x:v>feedback</x:v>
      </x:c>
    </x:row>
    <x:row r="54" ht="44" customHeight="1">
      <x:c r="A54" s="25" t="str">
        <x:v>OutcomeRepair</x:v>
      </x:c>
      <x:c r="B54" s="25" t="str">
        <x:v>outcome_state</x:v>
      </x:c>
      <x:c r="C54" s="25" t="str">
        <x:v>predicate set</x:v>
      </x:c>
      <x:c r="D54" s="25" t="str">
        <x:v>yes</x:v>
      </x:c>
      <x:c r="E54" s="25" t="str">
        <x:v>result + expected delta + side effects</x:v>
      </x:c>
      <x:c r="F54" s="25" t="str">
        <x:v>scene diff</x:v>
      </x:c>
      <x:c r="G54" s="25" t="str">
        <x:v>summarize</x:v>
      </x:c>
      <x:c r="H54" s="25" t="str">
        <x:v>verify</x:v>
      </x:c>
      <x:c r="I54" s="25" t="str">
        <x:v>state-diff accuracy</x:v>
      </x:c>
      <x:c r="J54" s="25" t="str">
        <x:v>Outcome</x:v>
      </x:c>
    </x:row>
    <x:row r="55" ht="44" customHeight="1">
      <x:c r="A55" s="25" t="str">
        <x:v>OutcomeRepair</x:v>
      </x:c>
      <x:c r="B55" s="25" t="str">
        <x:v>repair_type / repair_cause</x:v>
      </x:c>
      <x:c r="C55" s="25" t="str">
        <x:v>category</x:v>
      </x:c>
      <x:c r="D55" s="25" t="str">
        <x:v>conditional</x:v>
      </x:c>
      <x:c r="E55" s="25" t="str">
        <x:v>target/scope/operation/frame/constraint/magnitude/outcome/system/unknown</x:v>
      </x:c>
      <x:c r="F55" s="25" t="str">
        <x:v>sequence+recall</x:v>
      </x:c>
      <x:c r="G55" s="25" t="str">
        <x:v>propose</x:v>
      </x:c>
      <x:c r="H55" s="25" t="str">
        <x:v>confirm</x:v>
      </x:c>
      <x:c r="I55" s="25" t="str">
        <x:v>alpha + confusion</x:v>
      </x:c>
      <x:c r="J55" s="25" t="str">
        <x:v>Repair</x:v>
      </x:c>
    </x:row>
    <x:row r="56" ht="44" customHeight="1">
      <x:c r="A56" s="25" t="str">
        <x:v>OutcomeRepair</x:v>
      </x:c>
      <x:c r="B56" s="25" t="str">
        <x:v>repair_latency_ms</x:v>
      </x:c>
      <x:c r="C56" s="25" t="str">
        <x:v>integer</x:v>
      </x:c>
      <x:c r="D56" s="25" t="str">
        <x:v>conditional</x:v>
      </x:c>
      <x:c r="E56" s="25" t="str">
        <x:v>from detectable failure to restored/accepted state</x:v>
      </x:c>
      <x:c r="F56" s="25" t="str">
        <x:v>log</x:v>
      </x:c>
      <x:c r="G56" s="25" t="str">
        <x:v>calculate</x:v>
      </x:c>
      <x:c r="H56" s="25" t="str">
        <x:v>verify endpoint</x:v>
      </x:c>
      <x:c r="I56" s="25" t="str">
        <x:v>numeric agreement</x:v>
      </x:c>
      <x:c r="J56" s="25" t="str">
        <x:v>repair burden</x:v>
      </x:c>
    </x:row>
    <x:row r="57" ht="44" customHeight="1">
      <x:c r="A57" s="25" t="str">
        <x:v>OutcomeRepair</x:v>
      </x:c>
      <x:c r="B57" s="25" t="str">
        <x:v>commitment_violation</x:v>
      </x:c>
      <x:c r="C57" s="25" t="str">
        <x:v>boolean</x:v>
      </x:c>
      <x:c r="D57" s="25" t="str">
        <x:v>yes</x:v>
      </x:c>
      <x:c r="E57" s="25" t="str">
        <x:v>changed accepted/locked element without reopen</x:v>
      </x:c>
      <x:c r="F57" s="25" t="str">
        <x:v>graph+log</x:v>
      </x:c>
      <x:c r="G57" s="25" t="str">
        <x:v>flag</x:v>
      </x:c>
      <x:c r="H57" s="25" t="str">
        <x:v>mandatory review</x:v>
      </x:c>
      <x:c r="I57" s="25" t="str">
        <x:v>recall; zero-tolerance audit</x:v>
      </x:c>
      <x:c r="J57" s="25" t="str">
        <x:v>severe boundary</x:v>
      </x:c>
    </x:row>
    <x:row r="58" ht="44" customHeight="1">
      <x:c r="A58" s="25" t="str">
        <x:v>OutcomeRepair</x:v>
      </x:c>
      <x:c r="B58" s="25" t="str">
        <x:v>severe_authority_error</x:v>
      </x:c>
      <x:c r="C58" s="25" t="str">
        <x:v>boolean</x:v>
      </x:c>
      <x:c r="D58" s="25" t="str">
        <x:v>yes</x:v>
      </x:c>
      <x:c r="E58" s="25" t="str">
        <x:v>unauthorized select/apply/remember or failed immediate reclaim</x:v>
      </x:c>
      <x:c r="F58" s="25" t="str">
        <x:v>authority log</x:v>
      </x:c>
      <x:c r="G58" s="25" t="str">
        <x:v>flag</x:v>
      </x:c>
      <x:c r="H58" s="25" t="str">
        <x:v>mandatory review</x:v>
      </x:c>
      <x:c r="I58" s="25" t="str">
        <x:v>recall; zero-tolerance audit</x:v>
      </x:c>
      <x:c r="J58" s="25" t="str">
        <x:v>takeover boundary</x:v>
      </x:c>
    </x:row>
    <x:row r="59" ht="44" customHeight="1">
      <x:c r="A59" s="25" t="str">
        <x:v>OutcomeRepair</x:v>
      </x:c>
      <x:c r="B59" s="25" t="str">
        <x:v>memory_retention_decision</x:v>
      </x:c>
      <x:c r="C59" s="25" t="str">
        <x:v>category</x:v>
      </x:c>
      <x:c r="D59" s="25" t="str">
        <x:v>yes</x:v>
      </x:c>
      <x:c r="E59" s="25" t="str">
        <x:v>discard/ambiguity/success/failure/skill_candidate/preference_candidate/quarantine</x:v>
      </x:c>
      <x:c r="F59" s="25" t="str">
        <x:v>governance</x:v>
      </x:c>
      <x:c r="G59" s="25" t="str">
        <x:v>suggest</x:v>
      </x:c>
      <x:c r="H59" s="25" t="str">
        <x:v>approve</x:v>
      </x:c>
      <x:c r="I59" s="25" t="str">
        <x:v>audit</x:v>
      </x:c>
      <x:c r="J59" s="25" t="str">
        <x:v>retain</x:v>
      </x:c>
    </x:row>
    <x:row r="60" ht="44" customHeight="1">
      <x:c r="A60" s="25" t="str">
        <x:v>Provenance</x:v>
      </x:c>
      <x:c r="B60" s="25" t="str">
        <x:v>source_type / source_uri</x:v>
      </x:c>
      <x:c r="C60" s="25" t="str">
        <x:v>category/URI</x:v>
      </x:c>
      <x:c r="D60" s="25" t="str">
        <x:v>yes</x:v>
      </x:c>
      <x:c r="E60" s="25" t="str">
        <x:v>tutorial/controlled/open_task/recall/deployment + stable link</x:v>
      </x:c>
      <x:c r="F60" s="25" t="str">
        <x:v>dataset</x:v>
      </x:c>
      <x:c r="G60" s="25" t="str">
        <x:v>extract</x:v>
      </x:c>
      <x:c r="H60" s="25" t="str">
        <x:v>verify</x:v>
      </x:c>
      <x:c r="I60" s="25" t="str">
        <x:v>completeness</x:v>
      </x:c>
      <x:c r="J60" s="25" t="str">
        <x:v>source tier</x:v>
      </x:c>
    </x:row>
    <x:row r="61" ht="44" customHeight="1">
      <x:c r="A61" s="25" t="str">
        <x:v>Provenance</x:v>
      </x:c>
      <x:c r="B61" s="25" t="str">
        <x:v>creator_pseudonym / coder_ids</x:v>
      </x:c>
      <x:c r="C61" s="25" t="str">
        <x:v>ID lists</x:v>
      </x:c>
      <x:c r="D61" s="25" t="str">
        <x:v>yes</x:v>
      </x:c>
      <x:c r="E61" s="25" t="str">
        <x:v>pseudonymous; identity stored separately if consented</x:v>
      </x:c>
      <x:c r="F61" s="25" t="str">
        <x:v>study system</x:v>
      </x:c>
      <x:c r="G61" s="25" t="str">
        <x:v>never infer identity</x:v>
      </x:c>
      <x:c r="H61" s="25" t="str">
        <x:v>verify</x:v>
      </x:c>
      <x:c r="I61" s="25" t="str">
        <x:v>privacy audit</x:v>
      </x:c>
      <x:c r="J61" s="25" t="str">
        <x:v>provenance</x:v>
      </x:c>
    </x:row>
    <x:row r="62" ht="44" customHeight="1">
      <x:c r="A62" s="25" t="str">
        <x:v>Provenance</x:v>
      </x:c>
      <x:c r="B62" s="25" t="str">
        <x:v>intent_source</x:v>
      </x:c>
      <x:c r="C62" s="25" t="str">
        <x:v>category</x:v>
      </x:c>
      <x:c r="D62" s="25" t="str">
        <x:v>yes</x:v>
      </x:c>
      <x:c r="E62" s="25" t="str">
        <x:v>narration/task_ground_truth/think_aloud/stimulated_recall/inferred/outcome</x:v>
      </x:c>
      <x:c r="F62" s="25" t="str">
        <x:v>workflow</x:v>
      </x:c>
      <x:c r="G62" s="25" t="str">
        <x:v>tag</x:v>
      </x:c>
      <x:c r="H62" s="25" t="str">
        <x:v>verify</x:v>
      </x:c>
      <x:c r="I62" s="25" t="str">
        <x:v>source distribution</x:v>
      </x:c>
      <x:c r="J62" s="25" t="str">
        <x:v>validated_by</x:v>
      </x:c>
    </x:row>
    <x:row r="63" ht="44" customHeight="1">
      <x:c r="A63" s="25" t="str">
        <x:v>Provenance</x:v>
      </x:c>
      <x:c r="B63" s="25" t="str">
        <x:v>vlm_model / vlm_prompt_hash</x:v>
      </x:c>
      <x:c r="C63" s="25" t="str">
        <x:v>string</x:v>
      </x:c>
      <x:c r="D63" s="25" t="str">
        <x:v>yes if VLM</x:v>
      </x:c>
      <x:c r="E63" s="25" t="str">
        <x:v>immutable model/version/prompt hash</x:v>
      </x:c>
      <x:c r="F63" s="25" t="str">
        <x:v>pipeline</x:v>
      </x:c>
      <x:c r="G63" s="25" t="str">
        <x:v>write</x:v>
      </x:c>
      <x:c r="H63" s="25" t="str">
        <x:v>audit</x:v>
      </x:c>
      <x:c r="I63" s="25" t="str">
        <x:v>reproducibility</x:v>
      </x:c>
      <x:c r="J63" s="25" t="str">
        <x:v>model provenance</x:v>
      </x:c>
    </x:row>
    <x:row r="64" ht="44" customHeight="1">
      <x:c r="A64" s="25" t="str">
        <x:v>Provenance</x:v>
      </x:c>
      <x:c r="B64" s="25" t="str">
        <x:v>annotation_version / adjudication_status</x:v>
      </x:c>
      <x:c r="C64" s="25" t="str">
        <x:v>string/category</x:v>
      </x:c>
      <x:c r="D64" s="25" t="str">
        <x:v>yes</x:v>
      </x:c>
      <x:c r="E64" s="25" t="str">
        <x:v>raw_vlm/human_A/human_B/adjudicated + version</x:v>
      </x:c>
      <x:c r="F64" s="25" t="str">
        <x:v>workflow</x:v>
      </x:c>
      <x:c r="G64" s="25" t="str">
        <x:v>initialize</x:v>
      </x:c>
      <x:c r="H64" s="25" t="str">
        <x:v>promote without deleting raw</x:v>
      </x:c>
      <x:c r="I64" s="25" t="str">
        <x:v>version audit</x:v>
      </x:c>
      <x:c r="J64" s="25" t="str">
        <x:v>provenance</x:v>
      </x:c>
    </x:row>
    <x:row r="65" ht="44" customHeight="1">
      <x:c r="A65" s="25" t="str">
        <x:v>Provenance</x:v>
      </x:c>
      <x:c r="B65" s="25" t="str">
        <x:v>consent_license</x:v>
      </x:c>
      <x:c r="C65" s="25" t="str">
        <x:v>category</x:v>
      </x:c>
      <x:c r="D65" s="25" t="str">
        <x:v>yes</x:v>
      </x:c>
      <x:c r="E65" s="25" t="str">
        <x:v>research consent; redistribution/derivative restrictions</x:v>
      </x:c>
      <x:c r="F65" s="25" t="str">
        <x:v>study/source</x:v>
      </x:c>
      <x:c r="G65" s="25" t="str">
        <x:v>do not infer</x:v>
      </x:c>
      <x:c r="H65" s="25" t="str">
        <x:v>verify before retention</x:v>
      </x:c>
      <x:c r="I65" s="25" t="str">
        <x:v>privacy/license audit</x:v>
      </x:c>
      <x:c r="J65" s="25" t="str">
        <x:v>case eligibility</x:v>
      </x:c>
    </x:row>
    <x:row r="66" ht="44" customHeight="1">
      <x:c r="A66" s="25" t="str">
        <x:v>MemoryCase</x:v>
      </x:c>
      <x:c r="B66" s="25" t="str">
        <x:v>case_role</x:v>
      </x:c>
      <x:c r="C66" s="25" t="str">
        <x:v>category</x:v>
      </x:c>
      <x:c r="D66" s="25" t="str">
        <x:v>yes</x:v>
      </x:c>
      <x:c r="E66" s="25" t="str">
        <x:v>support/near_miss/failed_repair/alternative_intent/authority_boundary</x:v>
      </x:c>
      <x:c r="F66" s="25" t="str">
        <x:v>retrieval curation</x:v>
      </x:c>
      <x:c r="G66" s="25" t="str">
        <x:v>suggest</x:v>
      </x:c>
      <x:c r="H66" s="25" t="str">
        <x:v>approve</x:v>
      </x:c>
      <x:c r="I66" s="25" t="str">
        <x:v>role balance</x:v>
      </x:c>
      <x:c r="J66" s="25" t="str">
        <x:v>contrastive retrieval</x:v>
      </x:c>
    </x:row>
    <x:row r="67" ht="44" customHeight="1">
      <x:c r="A67" s="25" t="str">
        <x:v>MemoryCase</x:v>
      </x:c>
      <x:c r="B67" s="25" t="str">
        <x:v>similarity_score</x:v>
      </x:c>
      <x:c r="C67" s="25" t="str">
        <x:v>number</x:v>
      </x:c>
      <x:c r="D67" s="25" t="str">
        <x:v>yes</x:v>
      </x:c>
      <x:c r="E67" s="25" t="str">
        <x:v>0..1 retrieval similarity only</x:v>
      </x:c>
      <x:c r="F67" s="25" t="str">
        <x:v>retriever</x:v>
      </x:c>
      <x:c r="G67" s="25" t="str">
        <x:v>compute</x:v>
      </x:c>
      <x:c r="H67" s="25" t="str">
        <x:v>audit</x:v>
      </x:c>
      <x:c r="I67" s="25" t="str">
        <x:v>ranking metrics</x:v>
      </x:c>
      <x:c r="J67" s="25" t="str">
        <x:v>retrieve</x:v>
      </x:c>
    </x:row>
    <x:row r="68" ht="44" customHeight="1">
      <x:c r="A68" s="25" t="str">
        <x:v>MemoryCase</x:v>
      </x:c>
      <x:c r="B68" s="25" t="str">
        <x:v>reuse_utility / explanation_value</x:v>
      </x:c>
      <x:c r="C68" s="25" t="str">
        <x:v>number</x:v>
      </x:c>
      <x:c r="D68" s="25" t="str">
        <x:v>yes</x:v>
      </x:c>
      <x:c r="E68" s="25" t="str">
        <x:v>separate 0..1 judgments</x:v>
      </x:c>
      <x:c r="F68" s="25" t="str">
        <x:v>outcome+human</x:v>
      </x:c>
      <x:c r="G68" s="25" t="str">
        <x:v>estimate</x:v>
      </x:c>
      <x:c r="H68" s="25" t="str">
        <x:v>confirm sampled cases</x:v>
      </x:c>
      <x:c r="I68" s="25" t="str">
        <x:v>utility calibration</x:v>
      </x:c>
      <x:c r="J68" s="25" t="str">
        <x:v>reuse/explain</x:v>
      </x:c>
    </x:row>
    <x:row r="69" ht="44" customHeight="1">
      <x:c r="A69" s="25" t="str">
        <x:v>MemoryCase</x:v>
      </x:c>
      <x:c r="B69" s="25" t="str">
        <x:v>validation_tier</x:v>
      </x:c>
      <x:c r="C69" s="25" t="str">
        <x:v>category</x:v>
      </x:c>
      <x:c r="D69" s="25" t="str">
        <x:v>yes</x:v>
      </x:c>
      <x:c r="E69" s="25" t="str">
        <x:v>vlm_only/single/double/creator/task/adjudicated</x:v>
      </x:c>
      <x:c r="F69" s="25" t="str">
        <x:v>provenance</x:v>
      </x:c>
      <x:c r="G69" s="25" t="str">
        <x:v>copy</x:v>
      </x:c>
      <x:c r="H69" s="25" t="str">
        <x:v>verify</x:v>
      </x:c>
      <x:c r="I69" s="25" t="str">
        <x:v>tier audit</x:v>
      </x:c>
      <x:c r="J69" s="25" t="str">
        <x:v>hard filter</x:v>
      </x:c>
    </x:row>
    <x:row r="70" ht="44" customHeight="1">
      <x:c r="A70" s="25" t="str">
        <x:v>MemoryCase</x:v>
      </x:c>
      <x:c r="B70" s="25" t="str">
        <x:v>retention_scope / decay_expiry</x:v>
      </x:c>
      <x:c r="C70" s="25" t="str">
        <x:v>category/date</x:v>
      </x:c>
      <x:c r="D70" s="25" t="str">
        <x:v>yes</x:v>
      </x:c>
      <x:c r="E70" s="25" t="str">
        <x:v>session/project/user/global; expiry or no-decay reason</x:v>
      </x:c>
      <x:c r="F70" s="25" t="str">
        <x:v>governance</x:v>
      </x:c>
      <x:c r="G70" s="25" t="str">
        <x:v>suggest</x:v>
      </x:c>
      <x:c r="H70" s="25" t="str">
        <x:v>approve</x:v>
      </x:c>
      <x:c r="I70" s="25" t="str">
        <x:v>stale-case audit</x:v>
      </x:c>
      <x:c r="J70" s="25" t="str">
        <x:v>typed memory</x:v>
      </x:c>
    </x:row>
    <x:row r="71" ht="44" customHeight="1">
      <x:c r="A71" s="25" t="str">
        <x:v>MemoryCase</x:v>
      </x:c>
      <x:c r="B71" s="25" t="str">
        <x:v>negative_case_flag</x:v>
      </x:c>
      <x:c r="C71" s="25" t="str">
        <x:v>boolean</x:v>
      </x:c>
      <x:c r="D71" s="25" t="str">
        <x:v>yes</x:v>
      </x:c>
      <x:c r="E71" s="25" t="str">
        <x:v>true for failure/repair/unsafe near miss</x:v>
      </x:c>
      <x:c r="F71" s="25" t="str">
        <x:v>outcome</x:v>
      </x:c>
      <x:c r="G71" s="25" t="str">
        <x:v>flag</x:v>
      </x:c>
      <x:c r="H71" s="25" t="str">
        <x:v>verify cause</x:v>
      </x:c>
      <x:c r="I71" s="25" t="str">
        <x:v>negative recall</x:v>
      </x:c>
      <x:c r="J71" s="25" t="str">
        <x:v>counterexample</x:v>
      </x:c>
    </x:row>
  </x:sheetData>
  <x:mergeCells>
    <x:mergeCell ref="A1:J1"/>
    <x:mergeCell ref="A2:J2"/>
    <x:mergeCell ref="A13:J13"/>
  </x:mergeCells>
  <x:pageMargins left="0.7" right="0.7" top="0.75" bottom="0.75" header="0.3" footer="0.3"/>
  <x:tableParts count="2">
    <x:tablePart xmlns:r="http://schemas.openxmlformats.org/officeDocument/2006/relationships" r:id="Raba37b0bd17d4af6"/>
    <x:tablePart xmlns:r="http://schemas.openxmlformats.org/officeDocument/2006/relationships" r:id="R2ce4d675635b404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8" hidden="0" customWidth="1"/>
    <x:col min="5" max="5" width="55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VLM 预标注、人类复核与一致性计算</x:v>
      </x:c>
    </x:row>
    <x:row r="2" ht="30" customHeight="1">
      <x:c r="A2" s="7" t="str">
        <x:v>不必先开发完整标注平台：先用视频/日志脚本 + JSON/Excel + 版本控制跑pilot；只有当并发标注、帧级操作或安全隔离成为瓶颈时再做专用UI。</x:v>
      </x:c>
    </x:row>
    <x:row r="4">
      <x:c r="A4" s="9" t="str">
        <x:v>复核分量</x:v>
      </x:c>
      <x:c r="B4" s="9" t="str">
        <x:v>权重</x:v>
      </x:c>
      <x:c r="C4" s="9" t="str">
        <x:v>定义（0–1）</x:v>
      </x:c>
      <x:c r="E4" s="99" t="str">
        <x:v>强制人审覆盖优先于综合分：① constraint_risk、authority_risk或disagreement 任一≥0.70；② model mismatch / unknown_mass高；③ 结构性、全局、拓扑或已承诺区域；④ undo/counter-drag/grab-tool；⑤ 罕见类、新工具、许可/同意不清。综合分用于其余case的队列排序，不是自动放行分。</x:v>
      </x:c>
      <x:c r="F4" s="100"/>
      <x:c r="G4" s="100"/>
      <x:c r="H4" s="101"/>
    </x:row>
    <x:row r="5" ht="30" customHeight="1">
      <x:c r="A5" s="17" t="str">
        <x:v>不确定性</x:v>
      </x:c>
      <x:c r="B5" s="53" t="n">
        <x:v>0.3</x:v>
      </x:c>
      <x:c r="C5" s="17" t="str">
        <x:v>1 - max hypothesis probability，并受unknown mass校正</x:v>
      </x:c>
      <x:c r="E5" s="102"/>
      <x:c r="F5" s="103"/>
      <x:c r="G5" s="103"/>
      <x:c r="H5" s="104"/>
    </x:row>
    <x:row r="6" ht="30" customHeight="1">
      <x:c r="A6" s="17" t="str">
        <x:v>新颖/OOD</x:v>
      </x:c>
      <x:c r="B6" s="53" t="n">
        <x:v>0.15</x:v>
      </x:c>
      <x:c r="C6" s="17" t="str">
        <x:v>tool/mode/object/frame/model-fit 偏离</x:v>
      </x:c>
      <x:c r="E6" s="102"/>
      <x:c r="F6" s="103"/>
      <x:c r="G6" s="103"/>
      <x:c r="H6" s="104"/>
    </x:row>
    <x:row r="7" ht="30" customHeight="1">
      <x:c r="A7" s="17" t="str">
        <x:v>约束风险</x:v>
      </x:c>
      <x:c r="B7" s="53" t="n">
        <x:v>0.2</x:v>
      </x:c>
      <x:c r="C7" s="17" t="str">
        <x:v>constraint漏报或violation risk</x:v>
      </x:c>
      <x:c r="E7" s="102"/>
      <x:c r="F7" s="103"/>
      <x:c r="G7" s="103"/>
      <x:c r="H7" s="104"/>
    </x:row>
    <x:row r="8" ht="30" customHeight="1">
      <x:c r="A8" s="17" t="str">
        <x:v>权限风险</x:v>
      </x:c>
      <x:c r="B8" s="53" t="n">
        <x:v>0.25</x:v>
      </x:c>
      <x:c r="C8" s="17" t="str">
        <x:v>select/apply/remember权限与blast radius</x:v>
      </x:c>
      <x:c r="E8" s="102"/>
      <x:c r="F8" s="103"/>
      <x:c r="G8" s="103"/>
      <x:c r="H8" s="104"/>
    </x:row>
    <x:row r="9" ht="30" customHeight="1">
      <x:c r="A9" s="17" t="str">
        <x:v>人机/人人分歧</x:v>
      </x:c>
      <x:c r="B9" s="53" t="n">
        <x:v>0.1</x:v>
      </x:c>
      <x:c r="C9" s="17" t="str">
        <x:v>VLM与人或两名人类编码的结构化差异</x:v>
      </x:c>
      <x:c r="E9" s="105"/>
      <x:c r="F9" s="106"/>
      <x:c r="G9" s="106"/>
      <x:c r="H9" s="107"/>
    </x:row>
    <x:row r="12" ht="30" customHeight="1">
      <x:c r="A12" s="24" t="str">
        <x:v>episode_id</x:v>
      </x:c>
      <x:c r="B12" s="24" t="str">
        <x:v>uncertainty</x:v>
      </x:c>
      <x:c r="C12" s="24" t="str">
        <x:v>novelty_OOD</x:v>
      </x:c>
      <x:c r="D12" s="24" t="str">
        <x:v>constraint_risk</x:v>
      </x:c>
      <x:c r="E12" s="24" t="str">
        <x:v>authority_risk</x:v>
      </x:c>
      <x:c r="F12" s="24" t="str">
        <x:v>disagreement</x:v>
      </x:c>
      <x:c r="G12" s="24" t="str">
        <x:v>review_priority</x:v>
      </x:c>
      <x:c r="H12" s="24" t="str">
        <x:v>routing</x:v>
      </x:c>
    </x:row>
    <x:row r="13">
      <x:c r="A13" s="20" t="str">
        <x:v>E_demo_001</x:v>
      </x:c>
      <x:c r="B13" s="81" t="n">
        <x:v>0.65</x:v>
      </x:c>
      <x:c r="C13" s="81" t="n">
        <x:v>0.1</x:v>
      </x:c>
      <x:c r="D13" s="81" t="n">
        <x:v>0.2</x:v>
      </x:c>
      <x:c r="E13" s="81" t="n">
        <x:v>0.1</x:v>
      </x:c>
      <x:c r="F13" s="81" t="n">
        <x:v>0.2</x:v>
      </x:c>
      <x:c r="G13" s="81" t="n">
        <x:f>ROUND(B13*$B$5+C13*$B$6+D13*$B$7+E13*$B$8+F13*$B$9,3)</x:f>
        <x:v>0.295</x:v>
      </x:c>
      <x:c r="H13" s="20" t="str">
        <x:f>IF(OR(D13&gt;=0.7,E13&gt;=0.7,F13&gt;=0.7),"Mandatory human review",IF(G13&gt;=0.55,"Priority review","Standard audit"))</x:f>
        <x:v>Standard audit</x:v>
      </x:c>
    </x:row>
    <x:row r="14">
      <x:c r="A14" s="20" t="str">
        <x:v>E_demo_002</x:v>
      </x:c>
      <x:c r="B14" s="81" t="n">
        <x:v>0.3</x:v>
      </x:c>
      <x:c r="C14" s="81" t="n">
        <x:v>0.25</x:v>
      </x:c>
      <x:c r="D14" s="81" t="n">
        <x:v>0.8</x:v>
      </x:c>
      <x:c r="E14" s="81" t="n">
        <x:v>0.4</x:v>
      </x:c>
      <x:c r="F14" s="81" t="n">
        <x:v>0.35</x:v>
      </x:c>
      <x:c r="G14" s="81" t="n">
        <x:f>ROUND(B14*$B$5+C14*$B$6+D14*$B$7+E14*$B$8+F14*$B$9,3)</x:f>
        <x:v>0.423</x:v>
      </x:c>
      <x:c r="H14" s="20" t="str">
        <x:f>IF(OR(D14&gt;=0.7,E14&gt;=0.7,F14&gt;=0.7),"Mandatory human review",IF(G14&gt;=0.55,"Priority review","Standard audit"))</x:f>
        <x:v>Mandatory human review</x:v>
      </x:c>
    </x:row>
    <x:row r="15">
      <x:c r="A15" s="20" t="str">
        <x:v>E_demo_003</x:v>
      </x:c>
      <x:c r="B15" s="81" t="n">
        <x:v>0.45</x:v>
      </x:c>
      <x:c r="C15" s="81" t="n">
        <x:v>0.7</x:v>
      </x:c>
      <x:c r="D15" s="81" t="n">
        <x:v>0.3</x:v>
      </x:c>
      <x:c r="E15" s="81" t="n">
        <x:v>0.85</x:v>
      </x:c>
      <x:c r="F15" s="81" t="n">
        <x:v>0.25</x:v>
      </x:c>
      <x:c r="G15" s="81" t="n">
        <x:f>ROUND(B15*$B$5+C15*$B$6+D15*$B$7+E15*$B$8+F15*$B$9,3)</x:f>
        <x:v>0.538</x:v>
      </x:c>
      <x:c r="H15" s="20" t="str">
        <x:f>IF(OR(D15&gt;=0.7,E15&gt;=0.7,F15&gt;=0.7),"Mandatory human review",IF(G15&gt;=0.55,"Priority review","Standard audit"))</x:f>
        <x:v>Mandatory human review</x:v>
      </x:c>
    </x:row>
    <x:row r="16">
      <x:c r="A16" s="20" t="str">
        <x:v>E_demo_004</x:v>
      </x:c>
      <x:c r="B16" s="81" t="n">
        <x:v>0.2</x:v>
      </x:c>
      <x:c r="C16" s="81" t="n">
        <x:v>0.15</x:v>
      </x:c>
      <x:c r="D16" s="81" t="n">
        <x:v>0.1</x:v>
      </x:c>
      <x:c r="E16" s="81" t="n">
        <x:v>0.1</x:v>
      </x:c>
      <x:c r="F16" s="81" t="n">
        <x:v>0.05</x:v>
      </x:c>
      <x:c r="G16" s="81" t="n">
        <x:f>ROUND(B16*$B$5+C16*$B$6+D16*$B$7+E16*$B$8+F16*$B$9,3)</x:f>
        <x:v>0.133</x:v>
      </x:c>
      <x:c r="H16" s="20" t="str">
        <x:f>IF(OR(D16&gt;=0.7,E16&gt;=0.7,F16&gt;=0.7),"Mandatory human review",IF(G16&gt;=0.55,"Priority review","Standard audit"))</x:f>
        <x:v>Standard audit</x:v>
      </x:c>
    </x:row>
    <x:row r="17">
      <x:c r="A17" s="20" t="str">
        <x:v>E_demo_005</x:v>
      </x:c>
      <x:c r="B17" s="81" t="n">
        <x:v>0.55</x:v>
      </x:c>
      <x:c r="C17" s="81" t="n">
        <x:v>0.45</x:v>
      </x:c>
      <x:c r="D17" s="81" t="n">
        <x:v>0.55</x:v>
      </x:c>
      <x:c r="E17" s="81" t="n">
        <x:v>0.5</x:v>
      </x:c>
      <x:c r="F17" s="81" t="n">
        <x:v>0.75</x:v>
      </x:c>
      <x:c r="G17" s="81" t="n">
        <x:f>ROUND(B17*$B$5+C17*$B$6+D17*$B$7+E17*$B$8+F17*$B$9,3)</x:f>
        <x:v>0.543</x:v>
      </x:c>
      <x:c r="H17" s="20" t="str">
        <x:f>IF(OR(D17&gt;=0.7,E17&gt;=0.7,F17&gt;=0.7),"Mandatory human review",IF(G17&gt;=0.55,"Priority review","Standard audit"))</x:f>
        <x:v>Mandatory human review</x:v>
      </x:c>
    </x:row>
    <x:row r="19">
      <x:c r="A19" s="18" t="str">
        <x:v>字段类型 → 一致性/质控指标（不强行用一个κ概括全部schema）</x:v>
      </x:c>
    </x:row>
    <x:row r="20" ht="30" customHeight="1">
      <x:c r="A20" s="24" t="str">
        <x:v>字段结构</x:v>
      </x:c>
      <x:c r="B20" s="24" t="str">
        <x:v>例子</x:v>
      </x:c>
      <x:c r="C20" s="24" t="str">
        <x:v>主指标</x:v>
      </x:c>
      <x:c r="D20" s="24" t="str">
        <x:v>计算/门槛</x:v>
      </x:c>
      <x:c r="E20" s="24" t="str">
        <x:v>解读边界</x:v>
      </x:c>
    </x:row>
    <x:row r="21" ht="48" customHeight="1">
      <x:c r="A21" s="25" t="str">
        <x:v>时间边界</x:v>
      </x:c>
      <x:c r="B21" s="25" t="str">
        <x:v>start/end ms</x:v>
      </x:c>
      <x:c r="C21" s="25" t="str">
        <x:v>tolerance-window boundary F1 + segmentation similarity</x:v>
      </x:c>
      <x:c r="D21" s="25" t="str">
        <x:v>pilot计算分布；不用完全相等</x:v>
      </x:c>
      <x:c r="E21" s="25" t="str">
        <x:v>boundary disagreement 可独立于语义分歧</x:v>
      </x:c>
    </x:row>
    <x:row r="22" ht="48" customHeight="1">
      <x:c r="A22" s="25" t="str">
        <x:v>单标类别</x:v>
      </x:c>
      <x:c r="B22" s="25" t="str">
        <x:v>event/tool/stage/function</x:v>
      </x:c>
      <x:c r="C22" s="25" t="str">
        <x:v>Krippendorff alpha or kappa + confusion matrix</x:v>
      </x:c>
      <x:c r="D22" s="25" t="str">
        <x:v>α≥0.80可直接用；0.67–0.80仅暂定且需复核（作为本项目gate）</x:v>
      </x:c>
      <x:c r="E22" s="25" t="str">
        <x:v>类别不平衡时必须同报prevalence</x:v>
      </x:c>
    </x:row>
    <x:row r="23" ht="48" customHeight="1">
      <x:c r="A23" s="25" t="str">
        <x:v>多标签/集合</x:v>
      </x:c>
      <x:c r="B23" s="25" t="str">
        <x:v>constraints/modifiers/targets</x:v>
      </x:c>
      <x:c r="C23" s="25" t="str">
        <x:v>per-label alpha + Jaccard + micro/macro precision/recall</x:v>
      </x:c>
      <x:c r="D23" s="25" t="str">
        <x:v>高风险constraint以recall为主</x:v>
      </x:c>
      <x:c r="E23" s="25" t="str">
        <x:v>Jaccard不能代替罕见constraint漏报</x:v>
      </x:c>
    </x:row>
    <x:row r="24" ht="48" customHeight="1">
      <x:c r="A24" s="25" t="str">
        <x:v>序数</x:v>
      </x:c>
      <x:c r="B24" s="25" t="str">
        <x:v>commitment/evidence strength/preserve level</x:v>
      </x:c>
      <x:c r="C24" s="25" t="str">
        <x:v>weighted kappa or ordinal alpha + adjacent-error rate</x:v>
      </x:c>
      <x:c r="D24" s="25" t="str">
        <x:v>报告跨越2级以上的严重分歧</x:v>
      </x:c>
      <x:c r="E24" s="25" t="str">
        <x:v>接管策略对大跨级更敏感</x:v>
      </x:c>
    </x:row>
    <x:row r="25" ht="48" customHeight="1">
      <x:c r="A25" s="25" t="str">
        <x:v>候选集/分布</x:v>
      </x:c>
      <x:c r="B25" s="25" t="str">
        <x:v>Top-k intent + alternatives</x:v>
      </x:c>
      <x:c r="C25" s="25" t="str">
        <x:v>Top-k coverage + soft set overlap; distribution divergence</x:v>
      </x:c>
      <x:c r="D25" s="25" t="str">
        <x:v>不把合理多解强制仲裁为唯一答案</x:v>
      </x:c>
      <x:c r="E25" s="25" t="str">
        <x:v>保留coder A/B原始假设和理由</x:v>
      </x:c>
    </x:row>
    <x:row r="26" ht="48" customHeight="1">
      <x:c r="A26" s="25" t="str">
        <x:v>概率</x:v>
      </x:c>
      <x:c r="B26" s="25" t="str">
        <x:v>confidence/unknown mass/risk</x:v>
      </x:c>
      <x:c r="C26" s="25" t="str">
        <x:v>Brier/NLL/ECE; AUROC/AUPRC for unknown</x:v>
      </x:c>
      <x:c r="D26" s="25" t="str">
        <x:v>只有creator/task/outcome证据时才做校准</x:v>
      </x:c>
      <x:c r="E26" s="25" t="str">
        <x:v>人类置信不是自动真值</x:v>
      </x:c>
    </x:row>
    <x:row r="27" ht="48" customHeight="1">
      <x:c r="A27" s="25" t="str">
        <x:v>修复原因</x:v>
      </x:c>
      <x:c r="B27" s="25" t="str">
        <x:v>repair type/cause</x:v>
      </x:c>
      <x:c r="C27" s="25" t="str">
        <x:v>alpha/kappa + cause confusion + downstream repair burden</x:v>
      </x:c>
      <x:c r="D27" s="25" t="str">
        <x:v>分开target/scope/operation/frame/constraint/magnitude/outcome</x:v>
      </x:c>
      <x:c r="E27" s="25" t="str">
        <x:v>undo不等于目标反转</x:v>
      </x:c>
    </x:row>
    <x:row r="28" ht="48" customHeight="1">
      <x:c r="A28" s="25" t="str">
        <x:v>权限安全</x:v>
      </x:c>
      <x:c r="B28" s="25" t="str">
        <x:v>commitment violation/severe authority error</x:v>
      </x:c>
      <x:c r="C28" s="25" t="str">
        <x:v>sensitivity/recall + exact event audit</x:v>
      </x:c>
      <x:c r="D28" s="25" t="str">
        <x:v>零容忍安全队列；不用平均一致性稀释</x:v>
      </x:c>
      <x:c r="E28" s="25" t="str">
        <x:v>false negative 比 false positive 更严重</x:v>
      </x:c>
    </x:row>
    <x:row r="30">
      <x:c r="A30" s="9" t="str">
        <x:v>最小可行工作流（无专用平台）</x:v>
      </x:c>
    </x:row>
    <x:row r="31" ht="38" customHeight="1">
      <x:c r="A31" s="17" t="str">
        <x:v>1 VLM pre-annotation</x:v>
      </x:c>
      <x:c r="B31" s="17" t="str">
        <x:v>video/log → boundaries + observables + Top-k + counterevidence + missingness</x:v>
      </x:c>
      <x:c r="C31" s="17" t="str">
        <x:v>raw_vlm版本只读</x:v>
      </x:c>
      <x:c r="D31" s="17" t="str"/>
      <x:c r="E31" s="17" t="str"/>
      <x:c r="F31" s="17" t="str"/>
      <x:c r="G31" s="17" t="str"/>
      <x:c r="H31" s="17" t="str"/>
    </x:row>
    <x:row r="32" ht="38" customHeight="1">
      <x:c r="A32" s="17" t="str">
        <x:v>2 Human A review</x:v>
      </x:c>
      <x:c r="B32" s="17" t="str">
        <x:v>复核全部case；补target/effect/frame/constraints/alternatives</x:v>
      </x:c>
      <x:c r="C32" s="17" t="str">
        <x:v>single_review</x:v>
      </x:c>
      <x:c r="D32" s="17" t="str"/>
      <x:c r="E32" s="17" t="str"/>
      <x:c r="F32" s="17" t="str"/>
      <x:c r="G32" s="17" t="str"/>
      <x:c r="H32" s="17" t="str"/>
    </x:row>
    <x:row r="33" ht="38" customHeight="1">
      <x:c r="A33" s="17" t="str">
        <x:v>3 Human B blind coding</x:v>
      </x:c>
      <x:c r="B33" s="17" t="str">
        <x:v>pilot全量 + 主语料分层样本；不先看Human A结果</x:v>
      </x:c>
      <x:c r="C33" s="17" t="str">
        <x:v>double_review</x:v>
      </x:c>
      <x:c r="D33" s="17" t="str"/>
      <x:c r="E33" s="17" t="str"/>
      <x:c r="F33" s="17" t="str"/>
      <x:c r="G33" s="17" t="str"/>
      <x:c r="H33" s="17" t="str"/>
    </x:row>
    <x:row r="34" ht="38" customHeight="1">
      <x:c r="A34" s="17" t="str">
        <x:v>4 Participant/task evidence</x:v>
      </x:c>
      <x:c r="B34" s="17" t="str">
        <x:v>task ground truth / think-aloud / stimulated recall / outcome绑定到validated_by</x:v>
      </x:c>
      <x:c r="C34" s="17" t="str">
        <x:v>creator/task tier</x:v>
      </x:c>
      <x:c r="D34" s="17" t="str"/>
      <x:c r="E34" s="17" t="str"/>
      <x:c r="F34" s="17" t="str"/>
      <x:c r="G34" s="17" t="str"/>
      <x:c r="H34" s="17" t="str"/>
    </x:row>
    <x:row r="35" ht="38" customHeight="1">
      <x:c r="A35" s="17" t="str">
        <x:v>5 Adjudication</x:v>
      </x:c>
      <x:c r="B35" s="17" t="str">
        <x:v>先冻结A/B原始版本；仲裁边界或codebook问题；真实多解保留alternatives</x:v>
      </x:c>
      <x:c r="C35" s="17" t="str">
        <x:v>adjudicated</x:v>
      </x:c>
      <x:c r="D35" s="17" t="str"/>
      <x:c r="E35" s="17" t="str"/>
      <x:c r="F35" s="17" t="str"/>
      <x:c r="G35" s="17" t="str"/>
      <x:c r="H35" s="17" t="str"/>
    </x:row>
    <x:row r="36" ht="38" customHeight="1">
      <x:c r="A36" s="17" t="str">
        <x:v>6 Case construction</x:v>
      </x:c>
      <x:c r="B36" s="17" t="str">
        <x:v>只将达到对应validation tier的字段用于hard filter/评估</x:v>
      </x:c>
      <x:c r="C36" s="17" t="str">
        <x:v>MemoryCase</x:v>
      </x:c>
      <x:c r="D36" s="17" t="str"/>
      <x:c r="E36" s="17" t="str"/>
      <x:c r="F36" s="17" t="str"/>
      <x:c r="G36" s="17" t="str"/>
      <x:c r="H36" s="17" t="str"/>
    </x:row>
    <x:row r="37" ht="38" customHeight="1">
      <x:c r="A37" s="17" t="str">
        <x:v>7 Retention governance</x:v>
      </x:c>
      <x:c r="B37" s="17" t="str">
        <x:v>accept/reject/repair决定success/failure/ambiguity/quarantine；不自动升级authority</x:v>
      </x:c>
      <x:c r="C37" s="17" t="str">
        <x:v>versioned case library</x:v>
      </x:c>
      <x:c r="D37" s="17" t="str"/>
      <x:c r="E37" s="17" t="str"/>
      <x:c r="F37" s="17" t="str"/>
      <x:c r="G37" s="17" t="str"/>
      <x:c r="H37" s="17" t="str"/>
    </x:row>
  </x:sheetData>
  <x:mergeCells>
    <x:mergeCell ref="A1:H1"/>
    <x:mergeCell ref="A2:H2"/>
    <x:mergeCell ref="E4:H9"/>
    <x:mergeCell ref="A19:H19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conditionalFormatting sqref="G13:G17">
    <x:cfRule type="colorScale" priority="1">
      <x:colorScale>
        <x:cfvo type="min"/>
        <x:cfvo type="percentile" val="50"/>
        <x:cfvo type="max"/>
        <x:color rgb="FFDFF3E8"/>
        <x:color rgb="FFFFF2CC"/>
        <x:color rgb="FFFADBD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298096d57cd74d1a"/>
    <x:tablePart xmlns:r="http://schemas.openxmlformats.org/officeDocument/2006/relationships" r:id="R7cfe99fac93a4fb8"/>
  </x:tableParts>
</x:worksheet>
</file>