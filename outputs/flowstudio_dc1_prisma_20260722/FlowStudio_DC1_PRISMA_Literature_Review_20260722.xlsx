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394b401ea44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概览" sheetId="1" r:id="R88d1a725676c46eb"/>
    <x:sheet xmlns:r="http://schemas.openxmlformats.org/officeDocument/2006/relationships" name="PRISMA流程" sheetId="2" r:id="Rf874882c29654df8"/>
    <x:sheet xmlns:r="http://schemas.openxmlformats.org/officeDocument/2006/relationships" name="检索日志" sheetId="3" r:id="R9fa1bdeaaeba48e7"/>
    <x:sheet xmlns:r="http://schemas.openxmlformats.org/officeDocument/2006/relationships" name="筛选记录_648" sheetId="4" r:id="Ra3c82ec9cbc540b6"/>
    <x:sheet xmlns:r="http://schemas.openxmlformats.org/officeDocument/2006/relationships" name="纳入文献_41" sheetId="5" r:id="R90df57923e604996"/>
    <x:sheet xmlns:r="http://schemas.openxmlformats.org/officeDocument/2006/relationships" name="理论矩阵" sheetId="6" r:id="R9b3ef95b9a364526"/>
    <x:sheet xmlns:r="http://schemas.openxmlformats.org/officeDocument/2006/relationships" name="信号_意图_记忆" sheetId="7" r:id="R82d7a9bdcda24e3b"/>
    <x:sheet xmlns:r="http://schemas.openxmlformats.org/officeDocument/2006/relationships" name="接管边界" sheetId="8" r:id="R73c36d8e44fc45d4"/>
    <x:sheet xmlns:r="http://schemas.openxmlformats.org/officeDocument/2006/relationships" name="DC1设计要求" sheetId="9" r:id="R92e507ce6c824f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8323F"/>
      <x:name val="Carlito"/>
    </x:font>
    <x:font>
      <x:b/>
      <x:sz val="11"/>
      <x:color rgb="FFFFFFFF"/>
      <x:name val="Carlito"/>
    </x:font>
    <x:font>
      <x:b/>
      <x:sz val="12"/>
      <x:color rgb="FF17324D"/>
      <x:name val="Carlito"/>
    </x:font>
    <x:font>
      <x:b/>
      <x:sz val="11"/>
      <x:color rgb="FF17324D"/>
      <x:name val="Carlito"/>
    </x:font>
    <x:font>
      <x:sz val="9"/>
      <x:color rgb="FF18323F"/>
      <x:name val="Carlito"/>
    </x:font>
    <x:font>
      <x:b/>
      <x:sz val="9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3F2"/>
      </x:patternFill>
    </x:fill>
    <x:fill>
      <x:patternFill patternType="solid">
        <x:fgColor rgb="FF007C83"/>
      </x:patternFill>
    </x:fill>
    <x:fill>
      <x:patternFill patternType="solid">
        <x:fgColor rgb="FFF2B134"/>
      </x:patternFill>
    </x:fill>
    <x:fill>
      <x:patternFill patternType="solid">
        <x:fgColor rgb="FFFFFFFF"/>
      </x:patternFill>
    </x:fill>
    <x:fill>
      <x:patternFill patternType="solid">
        <x:fgColor rgb="FFF7FAFC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2E7D5B"/>
      </x:font>
      <x:fill>
        <x:patternFill patternType="solid">
          <x:bgColor rgb="FFDFF3E8"/>
        </x:patternFill>
      </x:fill>
    </x:dxf>
    <x:dxf>
      <x:font>
        <x:b/>
        <x:color rgb="FF2E7D5B"/>
      </x:font>
      <x:fill>
        <x:patternFill patternType="solid">
          <x:bgColor rgb="FFD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2fb8a22d3b4391" /><Relationship Type="http://schemas.openxmlformats.org/officeDocument/2006/relationships/theme" Target="/xl/theme/theme1.xml" Id="R9a4bd3a457e743ed" /><Relationship Type="http://schemas.openxmlformats.org/officeDocument/2006/relationships/sharedStrings" Target="/xl/sharedStrings.xml" Id="R592e8c6c31164aec" /><Relationship Type="http://schemas.openxmlformats.org/officeDocument/2006/relationships/worksheet" Target="/xl/worksheets/sheet1.xml" Id="R88d1a725676c46eb" /><Relationship Type="http://schemas.openxmlformats.org/officeDocument/2006/relationships/worksheet" Target="/xl/worksheets/sheet2.xml" Id="Rf874882c29654df8" /><Relationship Type="http://schemas.openxmlformats.org/officeDocument/2006/relationships/worksheet" Target="/xl/worksheets/sheet3.xml" Id="R9fa1bdeaaeba48e7" /><Relationship Type="http://schemas.openxmlformats.org/officeDocument/2006/relationships/worksheet" Target="/xl/worksheets/sheet4.xml" Id="Ra3c82ec9cbc540b6" /><Relationship Type="http://schemas.openxmlformats.org/officeDocument/2006/relationships/worksheet" Target="/xl/worksheets/sheet5.xml" Id="R90df57923e604996" /><Relationship Type="http://schemas.openxmlformats.org/officeDocument/2006/relationships/worksheet" Target="/xl/worksheets/sheet6.xml" Id="R9b3ef95b9a364526" /><Relationship Type="http://schemas.openxmlformats.org/officeDocument/2006/relationships/worksheet" Target="/xl/worksheets/sheet7.xml" Id="R82d7a9bdcda24e3b" /><Relationship Type="http://schemas.openxmlformats.org/officeDocument/2006/relationships/worksheet" Target="/xl/worksheets/sheet8.xml" Id="R73c36d8e44fc45d4" /><Relationship Type="http://schemas.openxmlformats.org/officeDocument/2006/relationships/worksheet" Target="/xl/worksheets/sheet9.xml" Id="R92e507ce6c824fa3" /></Relationships>
</file>

<file path=xl/tables/table1.xml><?xml version="1.0" encoding="utf-8"?>
<x:table xmlns:x="http://schemas.openxmlformats.org/spreadsheetml/2006/main" id="1" name="SearchLog" displayName="SearchLog" ref="A4:G28" headerRowCount="1" totalsRowCount="0" totalsRowShown="0">
  <x:tableColumns count="7">
    <x:tableColumn id="1" name="数据库"/>
    <x:tableColumn id="2" name="主题簇"/>
    <x:tableColumn id="3" name="检索式"/>
    <x:tableColumn id="4" name="报告命中"/>
    <x:tableColumn id="5" name="实际下载"/>
    <x:tableColumn id="6" name="状态"/>
    <x:tableColumn id="7" name="限制/替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reenedRecords" displayName="ScreenedRecords" ref="A4:K652" headerRowCount="1" totalsRowCount="0" totalsRowShown="0">
  <x:tableColumns count="11">
    <x:tableColumn id="1" name="记录ID"/>
    <x:tableColumn id="2" name="题名"/>
    <x:tableColumn id="3" name="年份"/>
    <x:tableColumn id="4" name="作者"/>
    <x:tableColumn id="5" name="来源"/>
    <x:tableColumn id="6" name="DOI"/>
    <x:tableColumn id="7" name="URL"/>
    <x:tableColumn id="8" name="发现于"/>
    <x:tableColumn id="9" name="主题簇"/>
    <x:tableColumn id="10" name="决定"/>
    <x:tableColumn id="11" name="排除理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cludedPapers" displayName="IncludedPapers" ref="A4:N45" headerRowCount="1" totalsRowCount="0" totalsRowShown="0">
  <x:tableColumns count="14">
    <x:tableColumn id="1" name="ID"/>
    <x:tableColumn id="2" name="题名"/>
    <x:tableColumn id="3" name="年份"/>
    <x:tableColumn id="4" name="作者"/>
    <x:tableColumn id="5" name="出处"/>
    <x:tableColumn id="6" name="DOI"/>
    <x:tableColumn id="7" name="URL"/>
    <x:tableColumn id="8" name="发现渠道"/>
    <x:tableColumn id="9" name="主题"/>
    <x:tableColumn id="10" name="理论贡献"/>
    <x:tableColumn id="11" name="对 DC1 的启示"/>
    <x:tableColumn id="12" name="接管边界"/>
    <x:tableColumn id="13" name="证据访问"/>
    <x:tableColumn id="14" name="决定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heoryMatrix" displayName="TheoryMatrix" ref="A4:G16" headerRowCount="1" totalsRowCount="0" totalsRowShown="0">
  <x:tableColumns count="7">
    <x:tableColumn id="1" name="理论"/>
    <x:tableColumn id="2" name="核心构念"/>
    <x:tableColumn id="3" name="计算化机制"/>
    <x:tableColumn id="4" name="DC1 可检验主张"/>
    <x:tableColumn id="5" name="关键来源"/>
    <x:tableColumn id="6" name="建议指标"/>
    <x:tableColumn id="7" name="优先级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ignalIntentMemory" displayName="SignalIntentMemory" ref="A4:H15" headerRowCount="1" totalsRowCount="0" totalsRowShown="0">
  <x:tableColumns count="8">
    <x:tableColumn id="1" name="信号"/>
    <x:tableColumn id="2" name="候选意图"/>
    <x:tableColumn id="3" name="联合上下文"/>
    <x:tableColumn id="4" name="记忆类型"/>
    <x:tableColumn id="5" name="检索键"/>
    <x:tableColumn id="6" name="主要风险"/>
    <x:tableColumn id="7" name="系统响应"/>
    <x:tableColumn id="8" name="理论依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andoffBoundaries" displayName="HandoffBoundaries" ref="A4:G16" headerRowCount="1" totalsRowCount="0" totalsRowShown="0">
  <x:tableColumns count="7">
    <x:tableColumn id="1" name="边界变量"/>
    <x:tableColumn id="2" name="触发条件"/>
    <x:tableColumn id="3" name="允许的 Agent 行为"/>
    <x:tableColumn id="4" name="权限/接管级别"/>
    <x:tableColumn id="5" name="理论来源"/>
    <x:tableColumn id="6" name="风险"/>
    <x:tableColumn id="7" name="实现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C1Requirements" displayName="DC1Requirements" ref="A4:E18" headerRowCount="1" totalsRowCount="0" totalsRowShown="0">
  <x:tableColumns count="5">
    <x:tableColumn id="1" name="编号"/>
    <x:tableColumn id="2" name="要求/假设"/>
    <x:tableColumn id="3" name="操作化"/>
    <x:tableColumn id="4" name="理论来源"/>
    <x:tableColumn id="5" name="验证位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cfae77ea36e47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66a836d7eee43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8745eb7b70c4d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af6db66acd64f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566d614d4fd4a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a73b69fe5f646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a2734ac8c8c43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FlowStudio DC1 文献综述</x:v>
      </x:c>
    </x:row>
    <x:row r="2" ht="30" customHeight="1">
      <x:c r="A2" s="7" t="str">
        <x:v>PRISMA-inspired rapid scoping review | 检索日 2026-07-21 | 交付日 2026-07-22 | 时区 Asia/Shanghai</x:v>
      </x:c>
    </x:row>
    <x:row r="4">
      <x:c r="A4" s="9" t="str">
        <x:v>指标</x:v>
      </x:c>
      <x:c r="B4" s="9" t="str">
        <x:v>值</x:v>
      </x:c>
    </x:row>
    <x:row r="5">
      <x:c r="A5" s="10" t="str">
        <x:v>来源记录</x:v>
      </x:c>
      <x:c r="B5" s="10" t="n">
        <x:f>'PRISMA流程'!B5</x:f>
        <x:v>717</x:v>
      </x:c>
    </x:row>
    <x:row r="6">
      <x:c r="A6" s="10" t="str">
        <x:v>去重后记录</x:v>
      </x:c>
      <x:c r="B6" s="10" t="n">
        <x:f>'PRISMA流程'!B7</x:f>
        <x:v>648</x:v>
      </x:c>
    </x:row>
    <x:row r="7">
      <x:c r="A7" s="10" t="str">
        <x:v>重点纳入文献</x:v>
      </x:c>
      <x:c r="B7" s="10" t="n">
        <x:f>'PRISMA流程'!B12</x:f>
        <x:v>41</x:v>
      </x:c>
    </x:row>
    <x:row r="8">
      <x:c r="A8" s="10" t="str">
        <x:v>核心研究对象</x:v>
      </x:c>
      <x:c r="B8" s="10" t="str">
        <x:v>3D 直接操作信号 → 意图假设 → 记忆检索 → Agent 行动</x:v>
      </x:c>
    </x:row>
    <x:row r="9">
      <x:c r="A9" s="10" t="str">
        <x:v>新增主题</x:v>
      </x:c>
      <x:c r="B9" s="10" t="str">
        <x:v>Mixed-Initiative Co-creation；Creativity Support Tools；人机接管边界</x:v>
      </x:c>
    </x:row>
    <x:row r="10">
      <x:c r="A10" s="10" t="str">
        <x:v>方法定位</x:v>
      </x:c>
      <x:c r="B10" s="10" t="str">
        <x:v>PRISMA 启发的快速范围综述；单审阅者 + AI 辅助筛选</x:v>
      </x:c>
    </x:row>
    <x:row r="11">
      <x:c r="A11" s="10" t="str">
        <x:v>重要限制</x:v>
      </x:c>
      <x:c r="B11" s="10" t="str">
        <x:v>ACM DL 直接站内检索受 Cloudflare 阻断；Google Scholar 连接超时；均已在检索日志中明示</x:v>
      </x:c>
    </x:row>
    <x:row r="13">
      <x:c r="A13" s="12" t="str">
        <x:v>核心结论</x:v>
      </x:c>
    </x:row>
    <x:row r="14" ht="42" customHeight="1">
      <x:c r="A14" s="14" t="str">
        <x:v>1</x:v>
      </x:c>
      <x:c r="B14" s="14" t="str">
        <x:v>单个 3D 动作不是意图。选择、刷选、拖拽只有与对象/部件语义、参考系、约束、设计阶段和历史联合解释时，才构成可靠证据。</x:v>
      </x:c>
      <x:c r="C14" s="14" t="str"/>
      <x:c r="D14" s="14" t="str"/>
      <x:c r="E14" s="14" t="str"/>
      <x:c r="F14" s="14" t="str"/>
      <x:c r="G14" s="14" t="str"/>
      <x:c r="H14" s="14" t="str"/>
    </x:row>
    <x:row r="15" ht="42" customHeight="1">
      <x:c r="A15" s="16" t="str">
        <x:v>2</x:v>
      </x:c>
      <x:c r="B15" s="16" t="str">
        <x:v>DC1 最合适的理论形式不是单标签分类器，而是可修订的多假设模型：P(intent | action, object, stage, constraints, history)。</x:v>
      </x:c>
      <x:c r="C15" s="16" t="str"/>
      <x:c r="D15" s="16" t="str"/>
      <x:c r="E15" s="16" t="str"/>
      <x:c r="F15" s="16" t="str"/>
      <x:c r="G15" s="16" t="str"/>
      <x:c r="H15" s="16" t="str"/>
    </x:row>
    <x:row r="16" ht="42" customHeight="1">
      <x:c r="A16" s="14" t="str">
        <x:v>3</x:v>
      </x:c>
      <x:c r="B16" s="14" t="str">
        <x:v>重复旋转、试拖、比较和撤销常是 epistemic action；系统应先帮助用户看清可能性，而不是把探索误判为承诺。</x:v>
      </x:c>
      <x:c r="C16" s="14" t="str"/>
      <x:c r="D16" s="14" t="str"/>
      <x:c r="E16" s="14" t="str"/>
      <x:c r="F16" s="14" t="str"/>
      <x:c r="G16" s="14" t="str"/>
      <x:c r="H16" s="14" t="str"/>
    </x:row>
    <x:row r="17" ht="42" customHeight="1">
      <x:c r="A17" s="16" t="str">
        <x:v>4</x:v>
      </x:c>
      <x:c r="B17" s="16" t="str">
        <x:v>Agent memory 应区分 episodic（发生过什么）、semantic（稳定偏好/对象知识）和 procedural（成功操作策略），并保留来源、时间和置信度。</x:v>
      </x:c>
      <x:c r="C17" s="16" t="str"/>
      <x:c r="D17" s="16" t="str"/>
      <x:c r="E17" s="16" t="str"/>
      <x:c r="F17" s="16" t="str"/>
      <x:c r="G17" s="16" t="str"/>
      <x:c r="H17" s="16" t="str"/>
    </x:row>
    <x:row r="18" ht="42" customHeight="1">
      <x:c r="A18" s="14" t="str">
        <x:v>5</x:v>
      </x:c>
      <x:c r="B18" s="14" t="str">
        <x:v>接管不是二元开关。应把信号采集、意图分析、方案生成、方案选择和最终应用分配不同自动化等级。</x:v>
      </x:c>
      <x:c r="C18" s="14" t="str"/>
      <x:c r="D18" s="14" t="str"/>
      <x:c r="E18" s="14" t="str"/>
      <x:c r="F18" s="14" t="str"/>
      <x:c r="G18" s="14" t="str"/>
      <x:c r="H18" s="14" t="str"/>
    </x:row>
    <x:row r="19" ht="42" customHeight="1">
      <x:c r="A19" s="16" t="str">
        <x:v>6</x:v>
      </x:c>
      <x:c r="B19" s="16" t="str">
        <x:v>建议默认策略：低置信度→多候选/澄清；中置信度→可逆预览；高置信度且局部可逆→可执行；全局/结构性改变→无论置信度多高都需确认。</x:v>
      </x:c>
      <x:c r="C19" s="16" t="str"/>
      <x:c r="D19" s="16" t="str"/>
      <x:c r="E19" s="16" t="str"/>
      <x:c r="F19" s="16" t="str"/>
      <x:c r="G19" s="16" t="str"/>
      <x:c r="H19" s="16" t="str"/>
    </x:row>
  </x:sheetData>
  <x:mergeCells>
    <x:mergeCell ref="A1:H1"/>
    <x:mergeCell ref="A2:H2"/>
    <x:mergeCell ref="A13:H13"/>
    <x:mergeCell ref="B14:H14"/>
    <x:mergeCell ref="B15:H15"/>
    <x:mergeCell ref="B16:H16"/>
    <x:mergeCell ref="B17:H17"/>
    <x:mergeCell ref="B18:H18"/>
    <x:mergeCell ref="B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3" t="str">
        <x:v>PRISMA 流程与计数</x:v>
      </x:c>
    </x:row>
    <x:row r="2" ht="30" customHeight="1">
      <x:c r="A2" s="7" t="str">
        <x:v>计数以实际下载记录为准，不以数据库报告的宽泛总命中数代替；去重使用 DOI，缺 DOI 时使用规范化标题。</x:v>
      </x:c>
    </x:row>
    <x:row r="4">
      <x:c r="A4" s="9" t="str">
        <x:v>阶段</x:v>
      </x:c>
      <x:c r="B4" s="9" t="str">
        <x:v>数量</x:v>
      </x:c>
      <x:c r="C4" s="9" t="str">
        <x:v>说明</x:v>
      </x:c>
    </x:row>
    <x:row r="5">
      <x:c r="A5" s="17" t="str">
        <x:v>识别：下载的来源记录</x:v>
      </x:c>
      <x:c r="B5" s="17" t="n">
        <x:f>SUM('检索日志'!E5:E40)</x:f>
        <x:v>717</x:v>
      </x:c>
      <x:c r="C5" s="17" t="str">
        <x:v>OpenAlex + Crossref + Semantic Scholar（失败检索为 0）</x:v>
      </x:c>
    </x:row>
    <x:row r="6">
      <x:c r="A6" s="17" t="str">
        <x:v>去重：移除重复</x:v>
      </x:c>
      <x:c r="B6" s="17" t="n">
        <x:v>69</x:v>
      </x:c>
      <x:c r="C6" s="17" t="str">
        <x:v>DOI/标题去重</x:v>
      </x:c>
    </x:row>
    <x:row r="7">
      <x:c r="A7" s="17" t="str">
        <x:v>筛选：去重后记录</x:v>
      </x:c>
      <x:c r="B7" s="17" t="n">
        <x:f>B5-B6</x:f>
        <x:v>648</x:v>
      </x:c>
      <x:c r="C7" s="17" t="str">
        <x:v>标题/摘要，AI 辅助 + 单审阅者</x:v>
      </x:c>
    </x:row>
    <x:row r="8">
      <x:c r="A8" s="17" t="str">
        <x:v>筛选排除</x:v>
      </x:c>
      <x:c r="B8" s="17" t="n">
        <x:f>B7-B12</x:f>
        <x:v>607</x:v>
      </x:c>
      <x:c r="C8" s="17" t="str">
        <x:v>主题不符、领域过窄、重复或不足以支撑 DC1 理论</x:v>
      </x:c>
    </x:row>
    <x:row r="9">
      <x:c r="A9" s="17" t="str">
        <x:v>报告寻求</x:v>
      </x:c>
      <x:c r="B9" s="17" t="n">
        <x:v>41</x:v>
      </x:c>
      <x:c r="C9" s="17" t="str">
        <x:v>重点理论种子与高相关记录</x:v>
      </x:c>
    </x:row>
    <x:row r="10">
      <x:c r="A10" s="17" t="str">
        <x:v>报告未获得</x:v>
      </x:c>
      <x:c r="B10" s="17" t="n">
        <x:v>0</x:v>
      </x:c>
      <x:c r="C10" s="17" t="str">
        <x:v>本轮均至少获得摘要/作者版本/扩展摘要；访问层级见纳入文献</x:v>
      </x:c>
    </x:row>
    <x:row r="11">
      <x:c r="A11" s="17" t="str">
        <x:v>资格评估</x:v>
      </x:c>
      <x:c r="B11" s="17" t="n">
        <x:v>41</x:v>
      </x:c>
      <x:c r="C11" s="17" t="str">
        <x:v>快速范围综述，不等同双人注册系统综述</x:v>
      </x:c>
    </x:row>
    <x:row r="12">
      <x:c r="A12" s="17" t="str">
        <x:v>综合纳入</x:v>
      </x:c>
      <x:c r="B12" s="17" t="n">
        <x:f>COUNTIF('纳入文献_41'!N5:N45,"Include")</x:f>
        <x:v>41</x:v>
      </x:c>
      <x:c r="C12" s="17" t="str">
        <x:v>进入理论与设计矩阵</x:v>
      </x:c>
    </x:row>
    <x:row r="14">
      <x:c r="A14" s="18" t="str">
        <x:v>方法与偏差说明</x:v>
      </x:c>
    </x:row>
    <x:row r="15" ht="38" customHeight="1">
      <x:c r="A15" s="17" t="str">
        <x:v>综述类型</x:v>
      </x:c>
      <x:c r="B15" s="17" t="str">
        <x:v>PRISMA-inspired rapid scoping review；目标是理论与设计空间映射，不是效应量 meta-analysis。</x:v>
      </x:c>
      <x:c r="C15" s="17" t="str"/>
      <x:c r="D15" s="17" t="str"/>
      <x:c r="E15" s="17" t="str"/>
      <x:c r="F15" s="17" t="str"/>
    </x:row>
    <x:row r="16" ht="38" customHeight="1">
      <x:c r="A16" s="17" t="str">
        <x:v>时间范围</x:v>
      </x:c>
      <x:c r="B16" s="17" t="str">
        <x:v>1983–2026；奠基文献通过种子检索与前后向滚雪球补入。</x:v>
      </x:c>
      <x:c r="C16" s="17" t="str"/>
      <x:c r="D16" s="17" t="str"/>
      <x:c r="E16" s="17" t="str"/>
      <x:c r="F16" s="17" t="str"/>
    </x:row>
    <x:row r="17" ht="38" customHeight="1">
      <x:c r="A17" s="17" t="str">
        <x:v>纳入</x:v>
      </x:c>
      <x:c r="B17" s="17" t="str">
        <x:v>能解释 3D 操作认知、交互意图推断、混合主动共创、记忆检索或接管边界，并可转化为 DC1 设计要求。</x:v>
      </x:c>
      <x:c r="C17" s="17" t="str"/>
      <x:c r="D17" s="17" t="str"/>
      <x:c r="E17" s="17" t="str"/>
      <x:c r="F17" s="17" t="str"/>
    </x:row>
    <x:row r="18" ht="38" customHeight="1">
      <x:c r="A18" s="17" t="str">
        <x:v>排除</x:v>
      </x:c>
      <x:c r="B18" s="17" t="str">
        <x:v>纯模型性能、纯机器人执行、医疗/交通等窄领域信号且无可迁移 HCI 机制、重复或仅泛谈 AI 创意。</x:v>
      </x:c>
      <x:c r="C18" s="17" t="str"/>
      <x:c r="D18" s="17" t="str"/>
      <x:c r="E18" s="17" t="str"/>
      <x:c r="F18" s="17" t="str"/>
    </x:row>
    <x:row r="19" ht="38" customHeight="1">
      <x:c r="A19" s="17" t="str">
        <x:v>偏差</x:v>
      </x:c>
      <x:c r="B19" s="17" t="str">
        <x:v>单审阅者；部分数据库不可直接批量访问；引文数仅作定位，不作为质量评分。</x:v>
      </x:c>
      <x:c r="C19" s="17" t="str"/>
      <x:c r="D19" s="17" t="str"/>
      <x:c r="E19" s="17" t="str"/>
      <x:c r="F19" s="17" t="str"/>
    </x:row>
    <x:row r="20" ht="38" customHeight="1">
      <x:c r="A20" s="17" t="str">
        <x:v>下一步</x:v>
      </x:c>
      <x:c r="B20" s="17" t="str">
        <x:v>投稿前建议由第二位研究者复核全部纳入/排除边界并补做 ACM DL/Google Scholar 机构账号检索。</x:v>
      </x:c>
      <x:c r="C20" s="17" t="str"/>
      <x:c r="D20" s="17" t="str"/>
      <x:c r="E20" s="17" t="str"/>
      <x:c r="F20" s="17" t="str"/>
    </x:row>
  </x:sheetData>
  <x:mergeCells>
    <x:mergeCell ref="A1:F1"/>
    <x:mergeCell ref="A2:F2"/>
    <x:mergeCell ref="A14:F14"/>
    <x:mergeCell ref="B15:F15"/>
    <x:mergeCell ref="B16:F16"/>
    <x:mergeCell ref="B17:F17"/>
    <x:mergeCell ref="B18:F18"/>
    <x:mergeCell ref="B19:F19"/>
    <x:mergeCell ref="B20:F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55" hidden="0" customWidth="1"/>
    <x:col min="4" max="4" width="14" hidden="0" customWidth="1"/>
    <x:col min="5" max="5" width="14" hidden="0" customWidth="1"/>
    <x:col min="6" max="6" width="20" hidden="0" customWidth="1"/>
    <x:col min="7" max="7" width="50" hidden="0" customWidth="1"/>
  </x:cols>
  <x:sheetData>
    <x:row r="1" ht="30" customHeight="1">
      <x:c r="A1" s="3" t="str">
        <x:v>数据库与检索日志</x:v>
      </x:c>
    </x:row>
    <x:row r="2" ht="30" customHeight="1">
      <x:c r="A2" s="7" t="str">
        <x:v>主题簇 C1–C9；reported hits 仅为数据库宽泛估计，PRISMA 计数使用 records retrieved。</x:v>
      </x:c>
    </x:row>
    <x:row r="4" ht="30" customHeight="1">
      <x:c r="A4" s="24" t="str">
        <x:v>数据库</x:v>
      </x:c>
      <x:c r="B4" s="24" t="str">
        <x:v>主题簇</x:v>
      </x:c>
      <x:c r="C4" s="24" t="str">
        <x:v>检索式</x:v>
      </x:c>
      <x:c r="D4" s="24" t="str">
        <x:v>报告命中</x:v>
      </x:c>
      <x:c r="E4" s="24" t="str">
        <x:v>实际下载</x:v>
      </x:c>
      <x:c r="F4" s="24" t="str">
        <x:v>状态</x:v>
      </x:c>
      <x:c r="G4" s="24" t="str">
        <x:v>限制/替代</x:v>
      </x:c>
    </x:row>
    <x:row r="5">
      <x:c r="A5" s="20" t="str">
        <x:v>OpenAlex</x:v>
      </x:c>
      <x:c r="B5" s="20" t="str">
        <x:v>C1_3D_mental_models</x:v>
      </x:c>
      <x:c r="C5" s="25" t="str">
        <x:v>3D user interface object manipulation mental model direct manipulation spatial cognition</x:v>
      </x:c>
      <x:c r="D5" s="20" t="n">
        <x:v>4058</x:v>
      </x:c>
      <x:c r="E5" s="20" t="n">
        <x:v>50</x:v>
      </x:c>
      <x:c r="F5" s="20" t="str">
        <x:v>completed</x:v>
      </x:c>
      <x:c r="G5" s="25" t="str"/>
    </x:row>
    <x:row r="6">
      <x:c r="A6" s="20" t="str">
        <x:v>Crossref</x:v>
      </x:c>
      <x:c r="B6" s="20" t="str">
        <x:v>C1_3D_mental_models</x:v>
      </x:c>
      <x:c r="C6" s="25" t="str">
        <x:v>3D user interface object manipulation mental model direct manipulation spatial cognition</x:v>
      </x:c>
      <x:c r="D6" s="20" t="n">
        <x:v>265468</x:v>
      </x:c>
      <x:c r="E6" s="20" t="n">
        <x:v>35</x:v>
      </x:c>
      <x:c r="F6" s="20" t="str">
        <x:v>completed</x:v>
      </x:c>
      <x:c r="G6" s="25" t="str"/>
    </x:row>
    <x:row r="7">
      <x:c r="A7" s="20" t="str">
        <x:v>OpenAlex</x:v>
      </x:c>
      <x:c r="B7" s="20" t="str">
        <x:v>C2_interaction_signals</x:v>
      </x:c>
      <x:c r="C7" s="25" t="str">
        <x:v>interaction signals intent inference user actions implicit intent interface</x:v>
      </x:c>
      <x:c r="D7" s="20" t="n">
        <x:v>7057</x:v>
      </x:c>
      <x:c r="E7" s="20" t="n">
        <x:v>50</x:v>
      </x:c>
      <x:c r="F7" s="20" t="str">
        <x:v>completed</x:v>
      </x:c>
      <x:c r="G7" s="25" t="str"/>
    </x:row>
    <x:row r="8">
      <x:c r="A8" s="20" t="str">
        <x:v>Crossref</x:v>
      </x:c>
      <x:c r="B8" s="20" t="str">
        <x:v>C2_interaction_signals</x:v>
      </x:c>
      <x:c r="C8" s="25" t="str">
        <x:v>interaction signals intent inference user actions implicit intent interface</x:v>
      </x:c>
      <x:c r="D8" s="20" t="n">
        <x:v>1845878</x:v>
      </x:c>
      <x:c r="E8" s="20" t="n">
        <x:v>35</x:v>
      </x:c>
      <x:c r="F8" s="20" t="str">
        <x:v>completed</x:v>
      </x:c>
      <x:c r="G8" s="25" t="str"/>
    </x:row>
    <x:row r="9">
      <x:c r="A9" s="20" t="str">
        <x:v>OpenAlex</x:v>
      </x:c>
      <x:c r="B9" s="20" t="str">
        <x:v>C3_mixed_initiative_cocreation</x:v>
      </x:c>
      <x:c r="C9" s="25" t="str">
        <x:v>mixed initiative co-creation creativity support tools human AI</x:v>
      </x:c>
      <x:c r="D9" s="20" t="n">
        <x:v>11598</x:v>
      </x:c>
      <x:c r="E9" s="20" t="n">
        <x:v>50</x:v>
      </x:c>
      <x:c r="F9" s="20" t="str">
        <x:v>completed</x:v>
      </x:c>
      <x:c r="G9" s="25" t="str"/>
    </x:row>
    <x:row r="10">
      <x:c r="A10" s="20" t="str">
        <x:v>Crossref</x:v>
      </x:c>
      <x:c r="B10" s="20" t="str">
        <x:v>C3_mixed_initiative_cocreation</x:v>
      </x:c>
      <x:c r="C10" s="25" t="str">
        <x:v>mixed initiative co-creation creativity support tools human AI</x:v>
      </x:c>
      <x:c r="D10" s="20" t="n">
        <x:v>6566744</x:v>
      </x:c>
      <x:c r="E10" s="20" t="n">
        <x:v>35</x:v>
      </x:c>
      <x:c r="F10" s="20" t="str">
        <x:v>completed</x:v>
      </x:c>
      <x:c r="G10" s="25" t="str"/>
    </x:row>
    <x:row r="11">
      <x:c r="A11" s="20" t="str">
        <x:v>OpenAlex</x:v>
      </x:c>
      <x:c r="B11" s="20" t="str">
        <x:v>C4_uncertainty_shared_autonomy</x:v>
      </x:c>
      <x:c r="C11" s="25" t="str">
        <x:v>human intent inference uncertainty shared autonomy interaction</x:v>
      </x:c>
      <x:c r="D11" s="20" t="n">
        <x:v>12191</x:v>
      </x:c>
      <x:c r="E11" s="20" t="n">
        <x:v>50</x:v>
      </x:c>
      <x:c r="F11" s="20" t="str">
        <x:v>completed</x:v>
      </x:c>
      <x:c r="G11" s="25" t="str"/>
    </x:row>
    <x:row r="12">
      <x:c r="A12" s="20" t="str">
        <x:v>Crossref</x:v>
      </x:c>
      <x:c r="B12" s="20" t="str">
        <x:v>C4_uncertainty_shared_autonomy</x:v>
      </x:c>
      <x:c r="C12" s="25" t="str">
        <x:v>human intent inference uncertainty shared autonomy interaction</x:v>
      </x:c>
      <x:c r="D12" s="20" t="n">
        <x:v>4289391</x:v>
      </x:c>
      <x:c r="E12" s="20" t="n">
        <x:v>35</x:v>
      </x:c>
      <x:c r="F12" s="20" t="str">
        <x:v>completed</x:v>
      </x:c>
      <x:c r="G12" s="25" t="str"/>
    </x:row>
    <x:row r="13">
      <x:c r="A13" s="20" t="str">
        <x:v>OpenAlex</x:v>
      </x:c>
      <x:c r="B13" s="20" t="str">
        <x:v>C5_agent_memory</x:v>
      </x:c>
      <x:c r="C13" s="25" t="str">
        <x:v>LLM agent memory episodic semantic procedural memory retrieval interaction history</x:v>
      </x:c>
      <x:c r="D13" s="20" t="n">
        <x:v>466</x:v>
      </x:c>
      <x:c r="E13" s="20" t="n">
        <x:v>50</x:v>
      </x:c>
      <x:c r="F13" s="20" t="str">
        <x:v>completed</x:v>
      </x:c>
      <x:c r="G13" s="25" t="str"/>
    </x:row>
    <x:row r="14">
      <x:c r="A14" s="20" t="str">
        <x:v>Crossref</x:v>
      </x:c>
      <x:c r="B14" s="20" t="str">
        <x:v>C5_agent_memory</x:v>
      </x:c>
      <x:c r="C14" s="25" t="str">
        <x:v>LLM agent memory episodic semantic procedural memory retrieval interaction history</x:v>
      </x:c>
      <x:c r="D14" s="20" t="n">
        <x:v>555141</x:v>
      </x:c>
      <x:c r="E14" s="20" t="n">
        <x:v>35</x:v>
      </x:c>
      <x:c r="F14" s="20" t="str">
        <x:v>completed</x:v>
      </x:c>
      <x:c r="G14" s="25" t="str"/>
    </x:row>
    <x:row r="15">
      <x:c r="A15" s="20" t="str">
        <x:v>OpenAlex</x:v>
      </x:c>
      <x:c r="B15" s="20" t="str">
        <x:v>C6_frontend_GUI_intent</x:v>
      </x:c>
      <x:c r="C15" s="25" t="str">
        <x:v>GUI agent user intent inference interface interaction history</x:v>
      </x:c>
      <x:c r="D15" s="20" t="n">
        <x:v>1308</x:v>
      </x:c>
      <x:c r="E15" s="20" t="n">
        <x:v>50</x:v>
      </x:c>
      <x:c r="F15" s="20" t="str">
        <x:v>completed</x:v>
      </x:c>
      <x:c r="G15" s="25" t="str"/>
    </x:row>
    <x:row r="16">
      <x:c r="A16" s="20" t="str">
        <x:v>Crossref</x:v>
      </x:c>
      <x:c r="B16" s="20" t="str">
        <x:v>C6_frontend_GUI_intent</x:v>
      </x:c>
      <x:c r="C16" s="25" t="str">
        <x:v>GUI agent user intent inference interface interaction history</x:v>
      </x:c>
      <x:c r="D16" s="20" t="n">
        <x:v>3854809</x:v>
      </x:c>
      <x:c r="E16" s="20" t="n">
        <x:v>35</x:v>
      </x:c>
      <x:c r="F16" s="20" t="str">
        <x:v>completed</x:v>
      </x:c>
      <x:c r="G16" s="25" t="str"/>
    </x:row>
    <x:row r="17">
      <x:c r="A17" s="20" t="str">
        <x:v>OpenAlex</x:v>
      </x:c>
      <x:c r="B17" s="20" t="str">
        <x:v>C7_creative_agency</x:v>
      </x:c>
      <x:c r="C17" s="25" t="str">
        <x:v>human AI co-creation agency control explainability creative tools</x:v>
      </x:c>
      <x:c r="D17" s="20" t="n">
        <x:v>25862</x:v>
      </x:c>
      <x:c r="E17" s="20" t="n">
        <x:v>50</x:v>
      </x:c>
      <x:c r="F17" s="20" t="str">
        <x:v>completed</x:v>
      </x:c>
      <x:c r="G17" s="25" t="str"/>
    </x:row>
    <x:row r="18">
      <x:c r="A18" s="20" t="str">
        <x:v>Crossref</x:v>
      </x:c>
      <x:c r="B18" s="20" t="str">
        <x:v>C7_creative_agency</x:v>
      </x:c>
      <x:c r="C18" s="25" t="str">
        <x:v>human AI co-creation agency control explainability creative tools</x:v>
      </x:c>
      <x:c r="D18" s="20" t="n">
        <x:v>8598051</x:v>
      </x:c>
      <x:c r="E18" s="20" t="n">
        <x:v>35</x:v>
      </x:c>
      <x:c r="F18" s="20" t="str">
        <x:v>completed</x:v>
      </x:c>
      <x:c r="G18" s="25" t="str"/>
    </x:row>
    <x:row r="19">
      <x:c r="A19" s="20" t="str">
        <x:v>OpenAlex</x:v>
      </x:c>
      <x:c r="B19" s="20" t="str">
        <x:v>C8_AI_3D_authoring</x:v>
      </x:c>
      <x:c r="C19" s="25" t="str">
        <x:v>AI assisted 3D modeling semantic editing direct manipulation</x:v>
      </x:c>
      <x:c r="D19" s="20" t="n">
        <x:v>2653</x:v>
      </x:c>
      <x:c r="E19" s="20" t="n">
        <x:v>50</x:v>
      </x:c>
      <x:c r="F19" s="20" t="str">
        <x:v>completed</x:v>
      </x:c>
      <x:c r="G19" s="25" t="str"/>
    </x:row>
    <x:row r="20">
      <x:c r="A20" s="20" t="str">
        <x:v>Crossref</x:v>
      </x:c>
      <x:c r="B20" s="20" t="str">
        <x:v>C8_AI_3D_authoring</x:v>
      </x:c>
      <x:c r="C20" s="25" t="str">
        <x:v>AI assisted 3D modeling semantic editing direct manipulation</x:v>
      </x:c>
      <x:c r="D20" s="20" t="n">
        <x:v>3360627</x:v>
      </x:c>
      <x:c r="E20" s="20" t="n">
        <x:v>35</x:v>
      </x:c>
      <x:c r="F20" s="20" t="str">
        <x:v>completed</x:v>
      </x:c>
      <x:c r="G20" s="25" t="str"/>
    </x:row>
    <x:row r="21">
      <x:c r="A21" s="20" t="str">
        <x:v>OpenAlex</x:v>
      </x:c>
      <x:c r="B21" s="20" t="str">
        <x:v>C9_human_agent_handoff</x:v>
      </x:c>
      <x:c r="C21" s="25" t="str">
        <x:v>human AI handoff authority transfer takeover boundary conditions adjustable autonomy mixed initiative</x:v>
      </x:c>
      <x:c r="D21" s="20" t="n">
        <x:v>2</x:v>
      </x:c>
      <x:c r="E21" s="20" t="n">
        <x:v>2</x:v>
      </x:c>
      <x:c r="F21" s="20" t="str">
        <x:v>completed</x:v>
      </x:c>
      <x:c r="G21" s="25" t="str"/>
    </x:row>
    <x:row r="22">
      <x:c r="A22" s="20" t="str">
        <x:v>Crossref</x:v>
      </x:c>
      <x:c r="B22" s="20" t="str">
        <x:v>C9_human_agent_handoff</x:v>
      </x:c>
      <x:c r="C22" s="25" t="str">
        <x:v>human AI handoff authority transfer takeover boundary conditions adjustable autonomy mixed initiative</x:v>
      </x:c>
      <x:c r="D22" s="20" t="n">
        <x:v>152311</x:v>
      </x:c>
      <x:c r="E22" s="20" t="n">
        <x:v>35</x:v>
      </x:c>
      <x:c r="F22" s="20" t="str">
        <x:v>completed</x:v>
      </x:c>
      <x:c r="G22" s="25" t="str"/>
    </x:row>
    <x:row r="23">
      <x:c r="A23" s="20" t="str">
        <x:v>Semantic Scholar</x:v>
      </x:c>
      <x:c r="B23" s="20" t="str">
        <x:v>C1_3D_mental_models</x:v>
      </x:c>
      <x:c r="C23" s="25" t="str">
        <x:v>3D user interface object manipulation mental model direct manipulation spatial cognition</x:v>
      </x:c>
      <x:c r="D23" s="20" t="str"/>
      <x:c r="E23" s="20" t="n">
        <x:v>0</x:v>
      </x:c>
      <x:c r="F23" s="20" t="str">
        <x:v>failed: HTTPError</x:v>
      </x:c>
      <x:c r="G23" s="25" t="str"/>
    </x:row>
    <x:row r="24">
      <x:c r="A24" s="20" t="str">
        <x:v>Semantic Scholar</x:v>
      </x:c>
      <x:c r="B24" s="20" t="str">
        <x:v>C2_interaction_signals</x:v>
      </x:c>
      <x:c r="C24" s="25" t="str">
        <x:v>interaction signals intent inference user actions implicit intent interface</x:v>
      </x:c>
      <x:c r="D24" s="20" t="str"/>
      <x:c r="E24" s="20" t="n">
        <x:v>0</x:v>
      </x:c>
      <x:c r="F24" s="20" t="str">
        <x:v>failed: HTTPError</x:v>
      </x:c>
      <x:c r="G24" s="25" t="str"/>
    </x:row>
    <x:row r="25">
      <x:c r="A25" s="20" t="str">
        <x:v>Semantic Scholar</x:v>
      </x:c>
      <x:c r="B25" s="20" t="str">
        <x:v>C3_mixed_initiative_cocreation</x:v>
      </x:c>
      <x:c r="C25" s="25" t="str">
        <x:v>mixed initiative co-creation creativity support tools human AI</x:v>
      </x:c>
      <x:c r="D25" s="20" t="str"/>
      <x:c r="E25" s="20" t="n">
        <x:v>0</x:v>
      </x:c>
      <x:c r="F25" s="20" t="str">
        <x:v>failed: HTTPError</x:v>
      </x:c>
      <x:c r="G25" s="25" t="str"/>
    </x:row>
    <x:row r="26">
      <x:c r="A26" s="20" t="str">
        <x:v>ACM Digital Library</x:v>
      </x:c>
      <x:c r="B26" s="20" t="str">
        <x:v>C1–C9</x:v>
      </x:c>
      <x:c r="C26" s="25" t="str">
        <x:v>站内组合检索（intent inference / mixed initiative / 3D manipulation / creativity support）</x:v>
      </x:c>
      <x:c r="D26" s="20" t="str"/>
      <x:c r="E26" s="20" t="n">
        <x:v>0</x:v>
      </x:c>
      <x:c r="F26" s="20" t="str">
        <x:v>403 / Cloudflare</x:v>
      </x:c>
      <x:c r="G26" s="25" t="str">
        <x:v>用 DOI、OpenAlex/Crossref ACM 出版者元数据及作者版本核验；不计入下载记录</x:v>
      </x:c>
    </x:row>
    <x:row r="27">
      <x:c r="A27" s="20" t="str">
        <x:v>Google Scholar</x:v>
      </x:c>
      <x:c r="B27" s="20" t="str">
        <x:v>C1–C9</x:v>
      </x:c>
      <x:c r="C27" s="25" t="str">
        <x:v>精确短语 + 主题组合；本机与服务器连接</x:v>
      </x:c>
      <x:c r="D27" s="20" t="str"/>
      <x:c r="E27" s="20" t="n">
        <x:v>0</x:v>
      </x:c>
      <x:c r="F27" s="20" t="str">
        <x:v>连接超时/无法批量复核</x:v>
      </x:c>
      <x:c r="G27" s="25" t="str">
        <x:v>保留失败日志；以 OpenAlex/Crossref/作者页/DOI 交叉核验，不声称完整覆盖</x:v>
      </x:c>
    </x:row>
    <x:row r="28">
      <x:c r="A28" s="20" t="str">
        <x:v>Semantic Scholar</x:v>
      </x:c>
      <x:c r="B28" s="20" t="str">
        <x:v>C1–C3</x:v>
      </x:c>
      <x:c r="C28" s="25" t="str">
        <x:v>同 OpenAlex 主题簇</x:v>
      </x:c>
      <x:c r="D28" s="20" t="str"/>
      <x:c r="E28" s="20" t="n">
        <x:v>0</x:v>
      </x:c>
      <x:c r="F28" s="20" t="str">
        <x:v>匿名 API HTTPError</x:v>
      </x:c>
      <x:c r="G28" s="25" t="str">
        <x:v>失败检索记 0；不补写虚构命中数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cfae77ea36e47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9" hidden="0" customWidth="1"/>
    <x:col min="4" max="4" width="34" hidden="0" customWidth="1"/>
    <x:col min="5" max="5" width="28" hidden="0" customWidth="1"/>
    <x:col min="6" max="6" width="24" hidden="0" customWidth="1"/>
    <x:col min="7" max="7" width="42" hidden="0" customWidth="1"/>
    <x:col min="8" max="8" width="20" hidden="0" customWidth="1"/>
    <x:col min="9" max="9" width="28" hidden="0" customWidth="1"/>
    <x:col min="10" max="10" width="12" hidden="0" customWidth="1"/>
    <x:col min="11" max="11" width="48" hidden="0" customWidth="1"/>
  </x:cols>
  <x:sheetData>
    <x:row r="1" ht="30" customHeight="1">
      <x:c r="A1" s="3" t="str">
        <x:v>去重后筛选记录</x:v>
      </x:c>
    </x:row>
    <x:row r="2" ht="30" customHeight="1">
      <x:c r="A2" s="7" t="str">
        <x:v>每行一条候选文献；排除理由用于复核。摘要为数据库元数据，可能为空。</x:v>
      </x:c>
    </x:row>
    <x:row r="4" ht="30" customHeight="1">
      <x:c r="A4" s="24" t="str">
        <x:v>记录ID</x:v>
      </x:c>
      <x:c r="B4" s="24" t="str">
        <x:v>题名</x:v>
      </x:c>
      <x:c r="C4" s="24" t="str">
        <x:v>年份</x:v>
      </x:c>
      <x:c r="D4" s="24" t="str">
        <x:v>作者</x:v>
      </x:c>
      <x:c r="E4" s="24" t="str">
        <x:v>来源</x:v>
      </x:c>
      <x:c r="F4" s="24" t="str">
        <x:v>DOI</x:v>
      </x:c>
      <x:c r="G4" s="24" t="str">
        <x:v>URL</x:v>
      </x:c>
      <x:c r="H4" s="24" t="str">
        <x:v>发现于</x:v>
      </x:c>
      <x:c r="I4" s="24" t="str">
        <x:v>主题簇</x:v>
      </x:c>
      <x:c r="J4" s="24" t="str">
        <x:v>决定</x:v>
      </x:c>
      <x:c r="K4" s="24" t="str">
        <x:v>排除理由</x:v>
      </x:c>
    </x:row>
    <x:row r="5">
      <x:c r="A5" s="20" t="str">
        <x:v>R0001</x:v>
      </x:c>
      <x:c r="B5" s="25" t="str">
        <x:v>Explainable Artificial Intelligence (XAI): Concepts, taxonomies, opportunities and challenges toward responsible AI</x:v>
      </x:c>
      <x:c r="C5" s="25" t="n">
        <x:v>2019</x:v>
      </x:c>
      <x:c r="D5" s="25" t="str">
        <x:v>Alejandro Barredo Arrieta; Natalia Díaz-Rodríguez; Javier Del Ser; Adrien Bennetot; Siham Tabik; Alberto Barbado; Salvador García; Sergio Gil-López; Daniel Molina; Richard Benjamins; Raja Chatila; Francisco Herrera</x:v>
      </x:c>
      <x:c r="E5" s="25" t="str">
        <x:v>Information Fusion</x:v>
      </x:c>
      <x:c r="F5" s="25" t="str">
        <x:v>10.1016/j.inffus.2019.12.012</x:v>
      </x:c>
      <x:c r="G5" s="25" t="str">
        <x:v>https://doi.org/10.1016/j.inffus.2019.12.012</x:v>
      </x:c>
      <x:c r="H5" s="25" t="str">
        <x:v>OpenAlex</x:v>
      </x:c>
      <x:c r="I5" s="25" t="str">
        <x:v>C2_interaction_signals</x:v>
      </x:c>
      <x:c r="J5" s="25" t="str">
        <x:v>Exclude</x:v>
      </x:c>
      <x:c r="K5" s="25" t="str">
        <x:v>Exclude: topic mismatch</x:v>
      </x:c>
    </x:row>
    <x:row r="6">
      <x:c r="A6" s="20" t="str">
        <x:v>R0002</x:v>
      </x:c>
      <x:c r="B6" s="25" t="str">
        <x:v>The International Classification of Headache Disorders, 3rd edition (beta version)</x:v>
      </x:c>
      <x:c r="C6" s="25" t="n">
        <x:v>2013</x:v>
      </x:c>
      <x:c r="D6" s="25" t="str">
        <x:v>Ettlin, Dominik A</x:v>
      </x:c>
      <x:c r="E6" s="25" t="str">
        <x:v>Cephalalgia</x:v>
      </x:c>
      <x:c r="F6" s="25" t="str">
        <x:v>10.1177/0333102413485658</x:v>
      </x:c>
      <x:c r="G6" s="25" t="str">
        <x:v>https://doi.org/10.1177/0333102413485658</x:v>
      </x:c>
      <x:c r="H6" s="25" t="str">
        <x:v>OpenAlex</x:v>
      </x:c>
      <x:c r="I6" s="25" t="str">
        <x:v>C4_uncertainty_shared_autonomy</x:v>
      </x:c>
      <x:c r="J6" s="25" t="str">
        <x:v>Exclude</x:v>
      </x:c>
      <x:c r="K6" s="25" t="str">
        <x:v>Exclude: topic mismatch</x:v>
      </x:c>
    </x:row>
    <x:row r="7">
      <x:c r="A7" s="20" t="str">
        <x:v>R0003</x:v>
      </x:c>
      <x:c r="B7" s="25" t="str">
        <x:v>Artificial Intelligence (AI): Multidisciplinary perspectives on emerging challenges, opportunities, and agenda for research, practice and policy</x:v>
      </x:c>
      <x:c r="C7" s="25" t="n">
        <x:v>2019</x:v>
      </x:c>
      <x:c r="D7" s="25" t="str">
        <x:v>Yogesh K. Dwivedi; Laurie Hughes; Elvira Ismagilova; Gert Aarts; Crispin Coombs; Tom Crick; Yanqing Duan; Rohita Dwivedi; John S. Edwards; Aled Eirug; Vassilis Galanos; P. Vigneswara Ilavarasan; Marijn Janssen; Paul Jones; Arpan Kumar Kar; Hatice Kizgin; Bianca Kronemann; Banita Lal; Biagio Lucini; Rony Medaglia; Kenneth Le Meunier‐FitzHugh; Leslie Caroline Le Meunier-FitzHugh; Santosh K. Misra; Emmanuel Mogaji; Sujeet Kumar Sharma; Jang Bahadur Singh; Vishnupriya Raghavan; Ramakrishnan Raman; Nripendra P. Rana; Spyridon Samothrakis; Jak Spencer; Kuttimani Tamilmani; Annie Tubadji; Paul Walton; Michael D. Williams</x:v>
      </x:c>
      <x:c r="E7" s="25" t="str">
        <x:v>International Journal of Information Management</x:v>
      </x:c>
      <x:c r="F7" s="25" t="str">
        <x:v>10.1016/j.ijinfomgt.2019.08.002</x:v>
      </x:c>
      <x:c r="G7" s="25" t="str">
        <x:v>https://doi.org/10.1016/j.ijinfomgt.2019.08.002</x:v>
      </x:c>
      <x:c r="H7" s="25" t="str">
        <x:v>OpenAlex</x:v>
      </x:c>
      <x:c r="I7" s="25" t="str">
        <x:v>C3_mixed_initiative_cocreation; C7_creative_agency</x:v>
      </x:c>
      <x:c r="J7" s="25" t="str">
        <x:v>Exclude</x:v>
      </x:c>
      <x:c r="K7" s="25" t="str">
        <x:v>Exclude: adjacent/redundant or insufficiently theory-generative for DC1</x:v>
      </x:c>
    </x:row>
    <x:row r="8">
      <x:c r="A8" s="20" t="str">
        <x:v>R0004</x:v>
      </x:c>
      <x:c r="B8" s="25" t="str">
        <x:v>Opinion Paper: “So what if ChatGPT wrote it?” Multidisciplinary perspectives on opportunities, challenges and implications of generative conversational AI for research, practice and policy</x:v>
      </x:c>
      <x:c r="C8" s="25" t="n">
        <x:v>2023</x:v>
      </x:c>
      <x:c r="D8" s="25" t="str">
        <x:v>Yogesh K. Dwivedi; Nir Kshetri; Laurie Hughes; Emma Slade; Anand Jeyaraj; Arpan Kumar Kar; Abdullah M. Baabdullah; Alex Koohang; Vishnupriya Raghavan; Manju Ahuja; Hanaa Albanna; Mousa Ahmad Albashrawi; Adil S. Al-Busaidi; Janarthanan Balakrishnan; Yves Barlette; Sriparna Basu; Indranil Bose; Laurence Brooks; Dimitrios Buhalis; Lemuria Carter; Soumyadeb Chowdhury; Tom Crick; Scott W. Cunningham; Gareth H. Davies; Robert M. Davison; Rahul Dé; Denis Dennehy; Yanqing Duan; Rameshwar Dubey; Rohita Dwivedi; John S. Edwards; Carlos Flavián; Robin Gauld; Varun Grover; Mei‐Chih Hu; Marijn Janssen; Paul Jones; Iris Junglas; Sangeeta Khorana; Sascha Kraus; Kai R. Larsen; Paul Latreille; Sven Laumer; Tegwen Malik; Abbas Mardani; Marcello Mariani; Sunil Mithas; Emmanuel Mogaji; Jeretta Horn Nord; Siobhán O’Connor; Fevzi Okumus; Margherita Pagani; Neeraj Pandey; Savvas Papagiannidis; Ilias O. Pappas; Nishith Pathak; Jan Pries‐Heje; Ramakrishnan Raman; Nripendra P. Rana; Sven‐Volker Rehm; Samuel Ribeiro‐Navarrete; Alexander Richter; Frantz Rowe; Suprateek Sarker; Bernd Carsten Stahl; Manoj Tiwari; Wil van der Aalst; Viswanath Venkatesh; Giampaolo Viglia; Michael Wade; Paul Walton; Jochen Wirtz; Ryan Wright</x:v>
      </x:c>
      <x:c r="E8" s="25" t="str">
        <x:v>International Journal of Information Management</x:v>
      </x:c>
      <x:c r="F8" s="25" t="str">
        <x:v>10.1016/j.ijinfomgt.2023.102642</x:v>
      </x:c>
      <x:c r="G8" s="25" t="str">
        <x:v>https://doi.org/10.1016/j.ijinfomgt.2023.102642</x:v>
      </x:c>
      <x:c r="H8" s="25" t="str">
        <x:v>OpenAlex</x:v>
      </x:c>
      <x:c r="I8" s="25" t="str">
        <x:v>C7_creative_agency</x:v>
      </x:c>
      <x:c r="J8" s="25" t="str">
        <x:v>Exclude</x:v>
      </x:c>
      <x:c r="K8" s="25" t="str">
        <x:v>Exclude: topic mismatch</x:v>
      </x:c>
    </x:row>
    <x:row r="9">
      <x:c r="A9" s="20" t="str">
        <x:v>R0005</x:v>
      </x:c>
      <x:c r="B9" s="25" t="str">
        <x:v>AI4People—An Ethical Framework for a Good AI Society: Opportunities, Risks, Principles, and Recommendations</x:v>
      </x:c>
      <x:c r="C9" s="25" t="n">
        <x:v>2018</x:v>
      </x:c>
      <x:c r="D9" s="25" t="str">
        <x:v>Luciano Floridi; Josh Cowls; Monica Beltrametti; Raja Chatila; Patrice Chazerand; Virginia Dignum; Christoph Luetge; Robert Madelin; Ugo Pagallo; Francesca Rossi; Burkhard Schäfer; Peggy Valcke; Effy Vayena</x:v>
      </x:c>
      <x:c r="E9" s="25" t="str">
        <x:v>Minds and Machines</x:v>
      </x:c>
      <x:c r="F9" s="25" t="str">
        <x:v>10.1007/s11023-018-9482-5</x:v>
      </x:c>
      <x:c r="G9" s="25" t="str">
        <x:v>https://doi.org/10.1007/s11023-018-9482-5</x:v>
      </x:c>
      <x:c r="H9" s="25" t="str">
        <x:v>OpenAlex</x:v>
      </x:c>
      <x:c r="I9" s="25" t="str">
        <x:v>C3_mixed_initiative_cocreation; C7_creative_agency</x:v>
      </x:c>
      <x:c r="J9" s="25" t="str">
        <x:v>Exclude</x:v>
      </x:c>
      <x:c r="K9" s="25" t="str">
        <x:v>Exclude: adjacent/redundant or insufficiently theory-generative for DC1</x:v>
      </x:c>
    </x:row>
    <x:row r="10">
      <x:c r="A10" s="20" t="str">
        <x:v>R0006</x:v>
      </x:c>
      <x:c r="B10" s="25" t="str">
        <x:v>A survey of socially interactive robots</x:v>
      </x:c>
      <x:c r="C10" s="25" t="n">
        <x:v>2003</x:v>
      </x:c>
      <x:c r="D10" s="25" t="str">
        <x:v>Terrence Fong; Illah Nourbakhsh; Kerstin Dautenhahn</x:v>
      </x:c>
      <x:c r="E10" s="25" t="str">
        <x:v>Robotics and Autonomous Systems</x:v>
      </x:c>
      <x:c r="F10" s="25" t="str">
        <x:v>10.1016/s0921-8890(02)00372-x</x:v>
      </x:c>
      <x:c r="G10" s="25" t="str">
        <x:v>https://doi.org/10.1016/s0921-8890(02)00372-x</x:v>
      </x:c>
      <x:c r="H10" s="25" t="str">
        <x:v>OpenAlex</x:v>
      </x:c>
      <x:c r="I10" s="25" t="str">
        <x:v>C1_3D_mental_models</x:v>
      </x:c>
      <x:c r="J10" s="25" t="str">
        <x:v>Exclude</x:v>
      </x:c>
      <x:c r="K10" s="25" t="str">
        <x:v>Exclude: topic mismatch</x:v>
      </x:c>
    </x:row>
    <x:row r="11">
      <x:c r="A11" s="20" t="str">
        <x:v>R0007</x:v>
      </x:c>
      <x:c r="B11" s="25" t="str">
        <x:v>From Frequency to Meaning: Vector Space Models of Semantics</x:v>
      </x:c>
      <x:c r="C11" s="25" t="n">
        <x:v>2010</x:v>
      </x:c>
      <x:c r="D11" s="25" t="str">
        <x:v>Peter D. Turney; Patrick Pantel</x:v>
      </x:c>
      <x:c r="E11" s="25" t="str">
        <x:v>Journal of Artificial Intelligence Research</x:v>
      </x:c>
      <x:c r="F11" s="25" t="str">
        <x:v>10.1613/jair.2934</x:v>
      </x:c>
      <x:c r="G11" s="25" t="str">
        <x:v>https://doi.org/10.1613/jair.2934</x:v>
      </x:c>
      <x:c r="H11" s="25" t="str">
        <x:v>OpenAlex</x:v>
      </x:c>
      <x:c r="I11" s="25" t="str">
        <x:v>C2_interaction_signals</x:v>
      </x:c>
      <x:c r="J11" s="25" t="str">
        <x:v>Exclude</x:v>
      </x:c>
      <x:c r="K11" s="25" t="str">
        <x:v>Exclude: topic mismatch</x:v>
      </x:c>
    </x:row>
    <x:row r="12">
      <x:c r="A12" s="20" t="str">
        <x:v>R0008</x:v>
      </x:c>
      <x:c r="B12" s="25" t="str">
        <x:v>A probabilistic atlas and reference system for the human brain: International Consortium for Brain Mapping (ICBM)</x:v>
      </x:c>
      <x:c r="C12" s="25" t="n">
        <x:v>2001</x:v>
      </x:c>
      <x:c r="D12" s="25" t="str">
        <x:v>John C. Mazziotta; Arthur W. Toga; Alan C. Evans; Peter T. Fox; Jack L. Lancaster; Karl Zilles; Roger P. Woods; Tomáš Paus; Gregory V. Simpson; Bruce Pike; Colin J. Holmes; D. Louis Collins; Paul M. Thompson; David MacDonald; Marco Iacoboni; Thorsten Schormann; Katrin Amunts; Nicola Palomero‐Gallagher; Stefan Geyer; Larry Parsons; Katherine L. Narr; Noor Jehan Kabani; Georges Le Goualher; Dorret I. Boomsma; Tyrone D. Cannon; Ryuta Kawashima; Bernard Mazoyer</x:v>
      </x:c>
      <x:c r="E12" s="25" t="str">
        <x:v>Philosophical Transactions of the Royal Society B Biological Sciences</x:v>
      </x:c>
      <x:c r="F12" s="25" t="str">
        <x:v>10.1098/rstb.2001.0915</x:v>
      </x:c>
      <x:c r="G12" s="25" t="str">
        <x:v>https://doi.org/10.1098/rstb.2001.0915</x:v>
      </x:c>
      <x:c r="H12" s="25" t="str">
        <x:v>OpenAlex</x:v>
      </x:c>
      <x:c r="I12" s="25" t="str">
        <x:v>C1_3D_mental_models</x:v>
      </x:c>
      <x:c r="J12" s="25" t="str">
        <x:v>Exclude</x:v>
      </x:c>
      <x:c r="K12" s="25" t="str">
        <x:v>Exclude: topic mismatch</x:v>
      </x:c>
    </x:row>
    <x:row r="13">
      <x:c r="A13" s="20" t="str">
        <x:v>R0009</x:v>
      </x:c>
      <x:c r="B13" s="25" t="str">
        <x:v>A Metaverse: Taxonomy, Components, Applications, and Open Challenges</x:v>
      </x:c>
      <x:c r="C13" s="25" t="n">
        <x:v>2022</x:v>
      </x:c>
      <x:c r="D13" s="25" t="str">
        <x:v>Sangmin Park; Young‐Gab Kim</x:v>
      </x:c>
      <x:c r="E13" s="25" t="str">
        <x:v>IEEE Access</x:v>
      </x:c>
      <x:c r="F13" s="25" t="str">
        <x:v>10.1109/access.2021.3140175</x:v>
      </x:c>
      <x:c r="G13" s="25" t="str">
        <x:v>https://doi.org/10.1109/access.2021.3140175</x:v>
      </x:c>
      <x:c r="H13" s="25" t="str">
        <x:v>OpenAlex</x:v>
      </x:c>
      <x:c r="I13" s="25" t="str">
        <x:v>C1_3D_mental_models; C2_interaction_signals; C6_frontend_GUI_intent; C8_AI_3D_authoring</x:v>
      </x:c>
      <x:c r="J13" s="25" t="str">
        <x:v>Exclude</x:v>
      </x:c>
      <x:c r="K13" s="25" t="str">
        <x:v>Exclude: domain-specific signal model without transferable HCI theory</x:v>
      </x:c>
    </x:row>
    <x:row r="14">
      <x:c r="A14" s="20" t="str">
        <x:v>R0010</x:v>
      </x:c>
      <x:c r="B14" s="25" t="str">
        <x:v>Natural language processing: state of the art, current trends and challenges</x:v>
      </x:c>
      <x:c r="C14" s="25" t="n">
        <x:v>2022</x:v>
      </x:c>
      <x:c r="D14" s="25" t="str">
        <x:v>Diksha Khurana; Aditya Koli; Kiran Khatter; Sukhdev Singh</x:v>
      </x:c>
      <x:c r="E14" s="25" t="str">
        <x:v>Multimedia Tools and Applications</x:v>
      </x:c>
      <x:c r="F14" s="25" t="str">
        <x:v>10.1007/s11042-022-13428-4</x:v>
      </x:c>
      <x:c r="G14" s="25" t="str">
        <x:v>https://doi.org/10.1007/s11042-022-13428-4</x:v>
      </x:c>
      <x:c r="H14" s="25" t="str">
        <x:v>OpenAlex</x:v>
      </x:c>
      <x:c r="I14" s="25" t="str">
        <x:v>C6_frontend_GUI_intent</x:v>
      </x:c>
      <x:c r="J14" s="25" t="str">
        <x:v>Exclude</x:v>
      </x:c>
      <x:c r="K14" s="25" t="str">
        <x:v>Exclude: topic mismatch</x:v>
      </x:c>
    </x:row>
    <x:row r="15">
      <x:c r="A15" s="20" t="str">
        <x:v>R0011</x:v>
      </x:c>
      <x:c r="B15" s="25" t="str">
        <x:v>Explainable Artificial Intelligence (XAI): What we know and what is left to attain Trustworthy Artificial Intelligence</x:v>
      </x:c>
      <x:c r="C15" s="25" t="n">
        <x:v>2023</x:v>
      </x:c>
      <x:c r="D15" s="25" t="str">
        <x:v>Sajid Ali; Tamer Abuhmed; Shaker El–Sappagh; Khan Muhammad; José M. Alonso; Roberto Confalonieri; Riccardo Guidotti; Javier Del Ser; Natalia Díaz-Rodríguez; Francisco Herrera</x:v>
      </x:c>
      <x:c r="E15" s="25" t="str">
        <x:v>Information Fusion</x:v>
      </x:c>
      <x:c r="F15" s="25" t="str">
        <x:v>10.1016/j.inffus.2023.101805</x:v>
      </x:c>
      <x:c r="G15" s="25" t="str">
        <x:v>https://doi.org/10.1016/j.inffus.2023.101805</x:v>
      </x:c>
      <x:c r="H15" s="25" t="str">
        <x:v>OpenAlex</x:v>
      </x:c>
      <x:c r="I15" s="25" t="str">
        <x:v>C2_interaction_signals</x:v>
      </x:c>
      <x:c r="J15" s="25" t="str">
        <x:v>Exclude</x:v>
      </x:c>
      <x:c r="K15" s="25" t="str">
        <x:v>Exclude: adjacent/redundant or insufficiently theory-generative for DC1</x:v>
      </x:c>
    </x:row>
    <x:row r="16">
      <x:c r="A16" s="20" t="str">
        <x:v>R0012</x:v>
      </x:c>
      <x:c r="B16" s="25" t="str">
        <x:v>Sparks of Artificial General Intelligence: Early experiments with GPT-4</x:v>
      </x:c>
      <x:c r="C16" s="25" t="n">
        <x:v>2023</x:v>
      </x:c>
      <x:c r="D16" s="25" t="str">
        <x:v>Sébastien Bubeck; Varun Chandrasekaran; Ronen Eldan; Johannes Gehrke; Eric Horvitz; Ece Kamar; Peter Lee; Yin Tat Lee; Yuanzhi Li; Scott Lundberg; Harsha Nori; Hamid Palangi; Marco Túlio Ribeiro; Yi Zhang</x:v>
      </x:c>
      <x:c r="E16" s="25" t="str">
        <x:v>arXiv (Cornell University)</x:v>
      </x:c>
      <x:c r="F16" s="25" t="str">
        <x:v>10.48550/arxiv.2303.12712</x:v>
      </x:c>
      <x:c r="G16" s="25" t="str">
        <x:v>http://arxiv.org/abs/2303.12712</x:v>
      </x:c>
      <x:c r="H16" s="25" t="str">
        <x:v>OpenAlex</x:v>
      </x:c>
      <x:c r="I16" s="25" t="str">
        <x:v>C1_3D_mental_models; C6_frontend_GUI_intent</x:v>
      </x:c>
      <x:c r="J16" s="25" t="str">
        <x:v>Exclude</x:v>
      </x:c>
      <x:c r="K16" s="25" t="str">
        <x:v>Exclude: adjacent/redundant or insufficiently theory-generative for DC1</x:v>
      </x:c>
    </x:row>
    <x:row r="17">
      <x:c r="A17" s="20" t="str">
        <x:v>R0013</x:v>
      </x:c>
      <x:c r="B17" s="25" t="str">
        <x:v>Design Thinking for Social Innovation</x:v>
      </x:c>
      <x:c r="C17" s="25" t="n">
        <x:v>2010</x:v>
      </x:c>
      <x:c r="D17" s="25" t="str">
        <x:v>Tim Brown; Jocelyn Wyatt</x:v>
      </x:c>
      <x:c r="E17" s="25" t="str">
        <x:v>Development Outreach</x:v>
      </x:c>
      <x:c r="F17" s="25" t="str">
        <x:v>10.1596/1020-797x_12_1_29</x:v>
      </x:c>
      <x:c r="G17" s="25" t="str">
        <x:v>https://doi.org/10.1596/1020-797x_12_1_29</x:v>
      </x:c>
      <x:c r="H17" s="25" t="str">
        <x:v>OpenAlex</x:v>
      </x:c>
      <x:c r="I17" s="25" t="str">
        <x:v>C3_mixed_initiative_cocreation</x:v>
      </x:c>
      <x:c r="J17" s="25" t="str">
        <x:v>Exclude</x:v>
      </x:c>
      <x:c r="K17" s="25" t="str">
        <x:v>Exclude: domain-specific signal model without transferable HCI theory</x:v>
      </x:c>
    </x:row>
    <x:row r="18">
      <x:c r="A18" s="20" t="str">
        <x:v>R0014</x:v>
      </x:c>
      <x:c r="B18" s="25" t="str">
        <x:v>Proceedings of the 28th International Conference on Computational Linguistics</x:v>
      </x:c>
      <x:c r="C18" s="25" t="n">
        <x:v>2020</x:v>
      </x:c>
      <x:c r="D18" s="25" t="str"/>
      <x:c r="E18" s="25" t="str"/>
      <x:c r="F18" s="25" t="str">
        <x:v>10.18653/v1/2020.coling-main</x:v>
      </x:c>
      <x:c r="G18" s="25" t="str">
        <x:v>http://doi.org/10.18653/v1/2020.coling-main</x:v>
      </x:c>
      <x:c r="H18" s="25" t="str">
        <x:v>OpenAlex</x:v>
      </x:c>
      <x:c r="I18" s="25" t="str">
        <x:v>C2_interaction_signals; C6_frontend_GUI_intent</x:v>
      </x:c>
      <x:c r="J18" s="25" t="str">
        <x:v>Exclude</x:v>
      </x:c>
      <x:c r="K18" s="25" t="str">
        <x:v>Exclude: topic mismatch</x:v>
      </x:c>
    </x:row>
    <x:row r="19">
      <x:c r="A19" s="20" t="str">
        <x:v>R0015</x:v>
      </x:c>
      <x:c r="B19" s="25" t="str">
        <x:v>A Survey of Large Language Models</x:v>
      </x:c>
      <x:c r="C19" s="25" t="n">
        <x:v>2026</x:v>
      </x:c>
      <x:c r="D19" s="25" t="str">
        <x:v>Wayne Xin Zhao; Kun Zhou; Junyi Li; Tianyi Tang; Zican Dong; Yupeng Hou; Beichen Zhang; Yingqian Min; Junjie Zhang; Peiyu Liu; Xiaolei Wang; Yifan Du; Yushuo Chen; Yushuo Chen; Zhipeng Chen; Jinhao Jiang; Ruiyang Ren; Yifan Li; Xinyu Tang; Peiyu Liu; Yiwen Hu; Jian‐Yun Nie; Ji-Rong Wen</x:v>
      </x:c>
      <x:c r="E19" s="25" t="str">
        <x:v>Frontiers of Computer Science</x:v>
      </x:c>
      <x:c r="F19" s="25" t="str">
        <x:v>10.1007/s11704-026-60308-3</x:v>
      </x:c>
      <x:c r="G19" s="25" t="str">
        <x:v>https://doi.org/10.1007/s11704-026-60308-3</x:v>
      </x:c>
      <x:c r="H19" s="25" t="str">
        <x:v>OpenAlex</x:v>
      </x:c>
      <x:c r="I19" s="25" t="str">
        <x:v>C2_interaction_signals</x:v>
      </x:c>
      <x:c r="J19" s="25" t="str">
        <x:v>Exclude</x:v>
      </x:c>
      <x:c r="K19" s="25" t="str">
        <x:v>Exclude: adjacent/redundant or insufficiently theory-generative for DC1</x:v>
      </x:c>
    </x:row>
    <x:row r="20">
      <x:c r="A20" s="20" t="str">
        <x:v>R0016</x:v>
      </x:c>
      <x:c r="B20" s="25" t="str">
        <x:v>Hearing Impairment and Cognitive Energy: The Framework for Understanding Effortful Listening (FUEL)</x:v>
      </x:c>
      <x:c r="C20" s="25" t="n">
        <x:v>2016</x:v>
      </x:c>
      <x:c r="D20" s="25" t="str">
        <x:v>M. Kathleen Pichora‐Fuller; Sophia E. Kramer; Mark A. Eckert; Brent Edwards; Benjamin W. Y. Hornsby; Larry E. Humes; Ulrike Lemke; Thomas Lunner; Mohan Matthen; Carol L. Mackersie; Graham Naylor; Natalie A. Phillips; Michael M. Richter; Mary Rudner; Mitchell S. Sommers; Kelly L. Tremblay; Arthur Wingfield</x:v>
      </x:c>
      <x:c r="E20" s="25" t="str">
        <x:v>Ear and Hearing</x:v>
      </x:c>
      <x:c r="F20" s="25" t="str">
        <x:v>10.1097/aud.0000000000000312</x:v>
      </x:c>
      <x:c r="G20" s="25" t="str">
        <x:v>https://doi.org/10.1097/aud.0000000000000312</x:v>
      </x:c>
      <x:c r="H20" s="25" t="str">
        <x:v>OpenAlex</x:v>
      </x:c>
      <x:c r="I20" s="25" t="str">
        <x:v>C1_3D_mental_models</x:v>
      </x:c>
      <x:c r="J20" s="25" t="str">
        <x:v>Exclude</x:v>
      </x:c>
      <x:c r="K20" s="25" t="str">
        <x:v>Exclude: topic mismatch</x:v>
      </x:c>
    </x:row>
    <x:row r="21">
      <x:c r="A21" s="20" t="str">
        <x:v>R0017</x:v>
      </x:c>
      <x:c r="B21" s="25" t="str">
        <x:v>A survey on large language model based autonomous agents</x:v>
      </x:c>
      <x:c r="C21" s="25" t="n">
        <x:v>2024</x:v>
      </x:c>
      <x:c r="D21" s="25" t="str">
        <x:v>Lei Wang; Chen Ma; Xueyang Feng; Zeyu Zhang; Hao Yang; Jingsen Zhang; Zhiyuan Chen; Jiakai Tang; Xu Chen; Yankai Lin; Wayne Xin Zhao; Zhewei Wei; Ji-Rong Wen</x:v>
      </x:c>
      <x:c r="E21" s="25" t="str">
        <x:v>Frontiers of Computer Science</x:v>
      </x:c>
      <x:c r="F21" s="25" t="str">
        <x:v>10.1007/s11704-024-40231-1</x:v>
      </x:c>
      <x:c r="G21" s="25" t="str">
        <x:v>https://doi.org/10.1007/s11704-024-40231-1</x:v>
      </x:c>
      <x:c r="H21" s="25" t="str">
        <x:v>OpenAlex</x:v>
      </x:c>
      <x:c r="I21" s="25" t="str">
        <x:v>C8_AI_3D_authoring</x:v>
      </x:c>
      <x:c r="J21" s="25" t="str">
        <x:v>Exclude</x:v>
      </x:c>
      <x:c r="K21" s="25" t="str">
        <x:v>Exclude: adjacent/redundant or insufficiently theory-generative for DC1</x:v>
      </x:c>
    </x:row>
    <x:row r="22">
      <x:c r="A22" s="20" t="str">
        <x:v>R0018</x:v>
      </x:c>
      <x:c r="B22" s="25" t="str">
        <x:v>Natural Products for Drug Discovery in the 21st Century: Innovations for Novel Drug Discovery</x:v>
      </x:c>
      <x:c r="C22" s="25" t="n">
        <x:v>2018</x:v>
      </x:c>
      <x:c r="D22" s="25" t="str">
        <x:v>Nicholas Ekow Thomford; Dimakatso Alice Senthebane; Arielle Rowe; Daniella Munro; Palesa Pamela Seele; Alfred Maroyi; Kevin Dzobo</x:v>
      </x:c>
      <x:c r="E22" s="25" t="str">
        <x:v>International Journal of Molecular Sciences</x:v>
      </x:c>
      <x:c r="F22" s="25" t="str">
        <x:v>10.3390/ijms19061578</x:v>
      </x:c>
      <x:c r="G22" s="25" t="str">
        <x:v>https://doi.org/10.3390/ijms19061578</x:v>
      </x:c>
      <x:c r="H22" s="25" t="str">
        <x:v>OpenAlex</x:v>
      </x:c>
      <x:c r="I22" s="25" t="str">
        <x:v>C8_AI_3D_authoring</x:v>
      </x:c>
      <x:c r="J22" s="25" t="str">
        <x:v>Exclude</x:v>
      </x:c>
      <x:c r="K22" s="25" t="str">
        <x:v>Exclude: topic mismatch</x:v>
      </x:c>
    </x:row>
    <x:row r="23">
      <x:c r="A23" s="20" t="str">
        <x:v>R0019</x:v>
      </x:c>
      <x:c r="B23" s="25" t="str">
        <x:v>Ecological interface design: theoretical foundations</x:v>
      </x:c>
      <x:c r="C23" s="25" t="n">
        <x:v>1992</x:v>
      </x:c>
      <x:c r="D23" s="25" t="str">
        <x:v>Kim J. Vicente; Justin D. Rasmussen</x:v>
      </x:c>
      <x:c r="E23" s="25" t="str">
        <x:v>IEEE Transactions on Systems Man and Cybernetics</x:v>
      </x:c>
      <x:c r="F23" s="25" t="str">
        <x:v>10.1109/21.156574</x:v>
      </x:c>
      <x:c r="G23" s="25" t="str">
        <x:v>https://doi.org/10.1109/21.156574</x:v>
      </x:c>
      <x:c r="H23" s="25" t="str">
        <x:v>OpenAlex</x:v>
      </x:c>
      <x:c r="I23" s="25" t="str">
        <x:v>C2_interaction_signals</x:v>
      </x:c>
      <x:c r="J23" s="25" t="str">
        <x:v>Exclude</x:v>
      </x:c>
      <x:c r="K23" s="25" t="str">
        <x:v>Exclude: adjacent/redundant or insufficiently theory-generative for DC1</x:v>
      </x:c>
    </x:row>
    <x:row r="24">
      <x:c r="A24" s="20" t="str">
        <x:v>R0020</x:v>
      </x:c>
      <x:c r="B24" s="25" t="str">
        <x:v>Control strategies for active lower extremity prosthetics and orthotics: a review</x:v>
      </x:c>
      <x:c r="C24" s="25" t="n">
        <x:v>2015</x:v>
      </x:c>
      <x:c r="D24" s="25" t="str">
        <x:v>Michael R. Tucker; Jérémy Olivier; Anna Pagel; Hannes Bleuler; Mohamed Bouri; Olivier Lambercy; José del R. Millán; Robert Riener; Heike Vallery; Roger Gassert</x:v>
      </x:c>
      <x:c r="E24" s="25" t="str">
        <x:v>Journal of NeuroEngineering and Rehabilitation</x:v>
      </x:c>
      <x:c r="F24" s="25" t="str">
        <x:v>10.1186/1743-0003-12-1</x:v>
      </x:c>
      <x:c r="G24" s="25" t="str">
        <x:v>https://doi.org/10.1186/1743-0003-12-1</x:v>
      </x:c>
      <x:c r="H24" s="25" t="str">
        <x:v>OpenAlex</x:v>
      </x:c>
      <x:c r="I24" s="25" t="str">
        <x:v>C2_interaction_signals</x:v>
      </x:c>
      <x:c r="J24" s="25" t="str">
        <x:v>Exclude</x:v>
      </x:c>
      <x:c r="K24" s="25" t="str">
        <x:v>Exclude: domain-specific signal model without transferable HCI theory</x:v>
      </x:c>
    </x:row>
    <x:row r="25">
      <x:c r="A25" s="20" t="str">
        <x:v>R0021</x:v>
      </x:c>
      <x:c r="B25" s="25" t="str">
        <x:v>Planning and Decision-Making for Autonomous Vehicles</x:v>
      </x:c>
      <x:c r="C25" s="25" t="n">
        <x:v>2018</x:v>
      </x:c>
      <x:c r="D25" s="25" t="str">
        <x:v>Wilko Schwarting; Javier Alonso–Mora; Daniela Rus</x:v>
      </x:c>
      <x:c r="E25" s="25" t="str">
        <x:v>Annual Review of Control Robotics and Autonomous Systems</x:v>
      </x:c>
      <x:c r="F25" s="25" t="str">
        <x:v>10.1146/annurev-control-060117-105157</x:v>
      </x:c>
      <x:c r="G25" s="25" t="str">
        <x:v>https://doi.org/10.1146/annurev-control-060117-105157</x:v>
      </x:c>
      <x:c r="H25" s="25" t="str">
        <x:v>OpenAlex</x:v>
      </x:c>
      <x:c r="I25" s="25" t="str">
        <x:v>C4_uncertainty_shared_autonomy</x:v>
      </x:c>
      <x:c r="J25" s="25" t="str">
        <x:v>Exclude</x:v>
      </x:c>
      <x:c r="K25" s="25" t="str">
        <x:v>Exclude: adjacent/redundant or insufficiently theory-generative for DC1</x:v>
      </x:c>
    </x:row>
    <x:row r="26">
      <x:c r="A26" s="20" t="str">
        <x:v>R0022</x:v>
      </x:c>
      <x:c r="B26" s="25" t="str">
        <x:v>Understanding O-RAN: Architecture, Interfaces, Algorithms, Security, and Research Challenges</x:v>
      </x:c>
      <x:c r="C26" s="25" t="n">
        <x:v>2023</x:v>
      </x:c>
      <x:c r="D26" s="25" t="str">
        <x:v>Michele Polese; Leonardo Bonati; Salvatore D’Oro; Stefano Basagni; Tommaso Melodia</x:v>
      </x:c>
      <x:c r="E26" s="25" t="str">
        <x:v>IEEE Communications Surveys &amp; Tutorials</x:v>
      </x:c>
      <x:c r="F26" s="25" t="str">
        <x:v>10.1109/comst.2023.3239220</x:v>
      </x:c>
      <x:c r="G26" s="25" t="str">
        <x:v>https://doi.org/10.1109/comst.2023.3239220</x:v>
      </x:c>
      <x:c r="H26" s="25" t="str">
        <x:v>OpenAlex</x:v>
      </x:c>
      <x:c r="I26" s="25" t="str">
        <x:v>C2_interaction_signals</x:v>
      </x:c>
      <x:c r="J26" s="25" t="str">
        <x:v>Exclude</x:v>
      </x:c>
      <x:c r="K26" s="25" t="str">
        <x:v>Exclude: adjacent/redundant or insufficiently theory-generative for DC1</x:v>
      </x:c>
    </x:row>
    <x:row r="27">
      <x:c r="A27" s="20" t="str">
        <x:v>R0023</x:v>
      </x:c>
      <x:c r="B27" s="25" t="str">
        <x:v>Revolutionizing education with AI: Exploring the transformative potential of ChatGPT</x:v>
      </x:c>
      <x:c r="C27" s="25" t="n">
        <x:v>2023</x:v>
      </x:c>
      <x:c r="D27" s="25" t="str">
        <x:v>Tufan Adıgüzel; Mehmet Haldun Kaya; Fatih Kürşat Cansu</x:v>
      </x:c>
      <x:c r="E27" s="25" t="str">
        <x:v>Contemporary Educational Technology</x:v>
      </x:c>
      <x:c r="F27" s="25" t="str">
        <x:v>10.30935/cedtech/13152</x:v>
      </x:c>
      <x:c r="G27" s="25" t="str">
        <x:v>https://doi.org/10.30935/cedtech/13152</x:v>
      </x:c>
      <x:c r="H27" s="25" t="str">
        <x:v>OpenAlex</x:v>
      </x:c>
      <x:c r="I27" s="25" t="str">
        <x:v>C7_creative_agency</x:v>
      </x:c>
      <x:c r="J27" s="25" t="str">
        <x:v>Exclude</x:v>
      </x:c>
      <x:c r="K27" s="25" t="str">
        <x:v>Exclude: topic mismatch</x:v>
      </x:c>
    </x:row>
    <x:row r="28">
      <x:c r="A28" s="20" t="str">
        <x:v>R0024</x:v>
      </x:c>
      <x:c r="B28" s="25" t="str">
        <x:v>Human-in-the-loop machine learning: a state of the art</x:v>
      </x:c>
      <x:c r="C28" s="25" t="n">
        <x:v>2022</x:v>
      </x:c>
      <x:c r="D28" s="25" t="str">
        <x:v>Eduardo Mosqueira-Rey; Elena Hernández-Pereira; David Alonso-Ríos; José Bobes-Bascarán; Ángel Fernández-Leal</x:v>
      </x:c>
      <x:c r="E28" s="25" t="str">
        <x:v>Artificial Intelligence Review</x:v>
      </x:c>
      <x:c r="F28" s="25" t="str">
        <x:v>10.1007/s10462-022-10246-w</x:v>
      </x:c>
      <x:c r="G28" s="25" t="str">
        <x:v>https://doi.org/10.1007/s10462-022-10246-w</x:v>
      </x:c>
      <x:c r="H28" s="25" t="str">
        <x:v>OpenAlex</x:v>
      </x:c>
      <x:c r="I28" s="25" t="str">
        <x:v>C2_interaction_signals; C3_mixed_initiative_cocreation</x:v>
      </x:c>
      <x:c r="J28" s="25" t="str">
        <x:v>Exclude</x:v>
      </x:c>
      <x:c r="K28" s="25" t="str">
        <x:v>Exclude: topic mismatch</x:v>
      </x:c>
    </x:row>
    <x:row r="29">
      <x:c r="A29" s="20" t="str">
        <x:v>R0025</x:v>
      </x:c>
      <x:c r="B29" s="25" t="str">
        <x:v>Why Johnny Can’t Prompt: How Non-AI Experts Try (and Fail) to Design LLM Prompts</x:v>
      </x:c>
      <x:c r="C29" s="25" t="n">
        <x:v>2023</x:v>
      </x:c>
      <x:c r="D29" s="25" t="str">
        <x:v>J.D. Zamfirescu-Pereira; Richmond Y. Wong; Bjoern Hartmann; Qian Yang</x:v>
      </x:c>
      <x:c r="E29" s="25" t="str"/>
      <x:c r="F29" s="25" t="str">
        <x:v>10.1145/3544548.3581388</x:v>
      </x:c>
      <x:c r="G29" s="25" t="str">
        <x:v>https://doi.org/10.1145/3544548.3581388</x:v>
      </x:c>
      <x:c r="H29" s="25" t="str">
        <x:v>OpenAlex</x:v>
      </x:c>
      <x:c r="I29" s="25" t="str">
        <x:v>C7_creative_agency</x:v>
      </x:c>
      <x:c r="J29" s="25" t="str">
        <x:v>Exclude</x:v>
      </x:c>
      <x:c r="K29" s="25" t="str">
        <x:v>Exclude: topic mismatch</x:v>
      </x:c>
    </x:row>
    <x:row r="30">
      <x:c r="A30" s="20" t="str">
        <x:v>R0026</x:v>
      </x:c>
      <x:c r="B30" s="25" t="str">
        <x:v>Unlocking the value of artificial intelligence in human resource management through AI capability framework</x:v>
      </x:c>
      <x:c r="C30" s="25" t="n">
        <x:v>2022</x:v>
      </x:c>
      <x:c r="D30" s="25" t="str">
        <x:v>Soumyadeb Chowdhury; Prasanta Kumar Dey; Sian Joel-Edgar; Sudeshna Bhattacharya; Oscar Rodríguez-Espíndola; Amélie Abadie; Linh Truong</x:v>
      </x:c>
      <x:c r="E30" s="25" t="str">
        <x:v>Human Resource Management Review</x:v>
      </x:c>
      <x:c r="F30" s="25" t="str">
        <x:v>10.1016/j.hrmr.2022.100899</x:v>
      </x:c>
      <x:c r="G30" s="25" t="str">
        <x:v>https://doi.org/10.1016/j.hrmr.2022.100899</x:v>
      </x:c>
      <x:c r="H30" s="25" t="str">
        <x:v>OpenAlex</x:v>
      </x:c>
      <x:c r="I30" s="25" t="str">
        <x:v>C7_creative_agency</x:v>
      </x:c>
      <x:c r="J30" s="25" t="str">
        <x:v>Exclude</x:v>
      </x:c>
      <x:c r="K30" s="25" t="str">
        <x:v>Exclude: topic mismatch</x:v>
      </x:c>
    </x:row>
    <x:row r="31">
      <x:c r="A31" s="20" t="str">
        <x:v>R0027</x:v>
      </x:c>
      <x:c r="B31" s="25" t="str">
        <x:v>Progress and prospects of the human–robot collaboration</x:v>
      </x:c>
      <x:c r="C31" s="25" t="n">
        <x:v>2017</x:v>
      </x:c>
      <x:c r="D31" s="25" t="str">
        <x:v>Arash Ajoudani; Andrea Maria Zanchettin; Serena Ivaldi; Alin Albu‐Schäffer; Kazuhiro Kosuge; Oussama Khatib</x:v>
      </x:c>
      <x:c r="E31" s="25" t="str">
        <x:v>Autonomous Robots</x:v>
      </x:c>
      <x:c r="F31" s="25" t="str">
        <x:v>10.1007/s10514-017-9677-2</x:v>
      </x:c>
      <x:c r="G31" s="25" t="str">
        <x:v>https://doi.org/10.1007/s10514-017-9677-2</x:v>
      </x:c>
      <x:c r="H31" s="25" t="str">
        <x:v>OpenAlex</x:v>
      </x:c>
      <x:c r="I31" s="25" t="str">
        <x:v>C2_interaction_signals; C4_uncertainty_shared_autonomy</x:v>
      </x:c>
      <x:c r="J31" s="25" t="str">
        <x:v>Exclude</x:v>
      </x:c>
      <x:c r="K31" s="25" t="str">
        <x:v>Exclude: topic mismatch</x:v>
      </x:c>
    </x:row>
    <x:row r="32">
      <x:c r="A32" s="20" t="str">
        <x:v>R0028</x:v>
      </x:c>
      <x:c r="B32" s="25" t="str">
        <x:v>Human resource management in the age of generative artificial intelligence: Perspectives and research directions on ChatGPT</x:v>
      </x:c>
      <x:c r="C32" s="25" t="n">
        <x:v>2023</x:v>
      </x:c>
      <x:c r="D32" s="25" t="str">
        <x:v>Pawan Budhwar; Soumyadeb Chowdhury; Geoffrey Wood; Herman Aguinis; Greg J. Bamber; Jose R. Beltran; Paul Boselie; Fang Lee Cooke; Stephanie Decker; Angelo S. DeNisi; Prasanta Kumar Dey; David Guest; Andrew J. Knoblich; Ashish Malik; Jaap Paauwe; Savvas Papagiannidis; Charmi Patel; Vijay Pereira; Shuang Ren; Steven G. Rogelberg; Mark N. K. Saunders; Rosalie L. Tung; Arup Varma</x:v>
      </x:c>
      <x:c r="E32" s="25" t="str">
        <x:v>Human Resource Management Journal</x:v>
      </x:c>
      <x:c r="F32" s="25" t="str">
        <x:v>10.1111/1748-8583.12524</x:v>
      </x:c>
      <x:c r="G32" s="25" t="str">
        <x:v>https://doi.org/10.1111/1748-8583.12524</x:v>
      </x:c>
      <x:c r="H32" s="25" t="str">
        <x:v>OpenAlex</x:v>
      </x:c>
      <x:c r="I32" s="25" t="str">
        <x:v>C3_mixed_initiative_cocreation; C7_creative_agency</x:v>
      </x:c>
      <x:c r="J32" s="25" t="str">
        <x:v>Exclude</x:v>
      </x:c>
      <x:c r="K32" s="25" t="str">
        <x:v>Exclude: adjacent/redundant or insufficiently theory-generative for DC1</x:v>
      </x:c>
    </x:row>
    <x:row r="33">
      <x:c r="A33" s="20" t="str">
        <x:v>R0029</x:v>
      </x:c>
      <x:c r="B33" s="25" t="str">
        <x:v>From What to How: An Initial Review of Publicly Available AI Ethics Tools, Methods and Research to Translate Principles into Practices</x:v>
      </x:c>
      <x:c r="C33" s="25" t="n">
        <x:v>2019</x:v>
      </x:c>
      <x:c r="D33" s="25" t="str">
        <x:v>Jessica Morley; Luciano Floridi; Libby Kinsey; Anat Elhalal</x:v>
      </x:c>
      <x:c r="E33" s="25" t="str">
        <x:v>Science and Engineering Ethics</x:v>
      </x:c>
      <x:c r="F33" s="25" t="str">
        <x:v>10.1007/s11948-019-00165-5</x:v>
      </x:c>
      <x:c r="G33" s="25" t="str">
        <x:v>https://doi.org/10.1007/s11948-019-00165-5</x:v>
      </x:c>
      <x:c r="H33" s="25" t="str">
        <x:v>OpenAlex</x:v>
      </x:c>
      <x:c r="I33" s="25" t="str">
        <x:v>C7_creative_agency</x:v>
      </x:c>
      <x:c r="J33" s="25" t="str">
        <x:v>Exclude</x:v>
      </x:c>
      <x:c r="K33" s="25" t="str">
        <x:v>Exclude: adjacent/redundant or insufficiently theory-generative for DC1</x:v>
      </x:c>
    </x:row>
    <x:row r="34">
      <x:c r="A34" s="20" t="str">
        <x:v>R0030</x:v>
      </x:c>
      <x:c r="B34" s="25" t="str">
        <x:v>Decolonial AI: Decolonial Theory as Sociotechnical Foresight in Artificial Intelligence</x:v>
      </x:c>
      <x:c r="C34" s="25" t="n">
        <x:v>2020</x:v>
      </x:c>
      <x:c r="D34" s="25" t="str">
        <x:v>Shakir Mohamed; Marie-Thérèse Png; William Isaac</x:v>
      </x:c>
      <x:c r="E34" s="25" t="str">
        <x:v>Philosophy &amp; Technology</x:v>
      </x:c>
      <x:c r="F34" s="25" t="str">
        <x:v>10.1007/s13347-020-00405-8</x:v>
      </x:c>
      <x:c r="G34" s="25" t="str">
        <x:v>https://doi.org/10.1007/s13347-020-00405-8</x:v>
      </x:c>
      <x:c r="H34" s="25" t="str">
        <x:v>OpenAlex</x:v>
      </x:c>
      <x:c r="I34" s="25" t="str">
        <x:v>C7_creative_agency</x:v>
      </x:c>
      <x:c r="J34" s="25" t="str">
        <x:v>Exclude</x:v>
      </x:c>
      <x:c r="K34" s="25" t="str">
        <x:v>Exclude: topic mismatch</x:v>
      </x:c>
    </x:row>
    <x:row r="35">
      <x:c r="A35" s="20" t="str">
        <x:v>R0031</x:v>
      </x:c>
      <x:c r="B35" s="25" t="str">
        <x:v>Human Health and Ocean Pollution</x:v>
      </x:c>
      <x:c r="C35" s="25" t="n">
        <x:v>2020</x:v>
      </x:c>
      <x:c r="D35" s="25" t="str">
        <x:v>Philip J. Landrigan; John J. Stegeman; Lora E. Fleming; Denis Allemand; Donald M. Anderson; Lorraine C. Backer; Françoise Brücker-Davis; Nicolas Chevalier; Lilian Corra; Dorota Czerucka; Marie‐Yasmine Dechraoui Bottein; Barbara Demeneix; Michael H. Depledge; Dimitri D. Deheyn; Charles J. Dorman; Patrick Fénichel; Samantha Fisher; Françoise Gaill; François Galgani; William H. Gaze; Laura Giuliano; Philippe Grandjean; Mark E. Hahn; Amro Hamdoun; Philipp Heß; B.F. Judson; Amalia Laborde; Jacqueline McGlade; Jenna Mu; Adetoun Mustapha; María Neira; Rachel T. Noble; Maria Luiza Pedrotti; Christopher M. Reddy; Joacim Rocklöv; Ursula M. Scharler; Hariharan Shanmugam; Gabriella Taghian; Jeroen A. J. M. van de Water; Luigi Vezzulli; Pál Weihe; Ariana Zeka; Hervé Raps; Patrick Rampal</x:v>
      </x:c>
      <x:c r="E35" s="25" t="str">
        <x:v>Annals of Global Health</x:v>
      </x:c>
      <x:c r="F35" s="25" t="str">
        <x:v>10.5334/aogh.2831</x:v>
      </x:c>
      <x:c r="G35" s="25" t="str">
        <x:v>https://doi.org/10.5334/aogh.2831</x:v>
      </x:c>
      <x:c r="H35" s="25" t="str">
        <x:v>OpenAlex</x:v>
      </x:c>
      <x:c r="I35" s="25" t="str">
        <x:v>C7_creative_agency</x:v>
      </x:c>
      <x:c r="J35" s="25" t="str">
        <x:v>Exclude</x:v>
      </x:c>
      <x:c r="K35" s="25" t="str">
        <x:v>Exclude: adjacent/redundant or insufficiently theory-generative for DC1</x:v>
      </x:c>
    </x:row>
    <x:row r="36">
      <x:c r="A36" s="20" t="str">
        <x:v>R0032</x:v>
      </x:c>
      <x:c r="B36" s="25" t="str">
        <x:v>Usability of mobile applications: literature review and rationale for a new usability model</x:v>
      </x:c>
      <x:c r="C36" s="25" t="n">
        <x:v>2013</x:v>
      </x:c>
      <x:c r="D36" s="25" t="str">
        <x:v>Rachel Harrison; Derek Flood; David Duce</x:v>
      </x:c>
      <x:c r="E36" s="25" t="str">
        <x:v>Journal of Interaction Science</x:v>
      </x:c>
      <x:c r="F36" s="25" t="str">
        <x:v>10.1186/2194-0827-1-1</x:v>
      </x:c>
      <x:c r="G36" s="25" t="str">
        <x:v>https://doi.org/10.1186/2194-0827-1-1</x:v>
      </x:c>
      <x:c r="H36" s="25" t="str">
        <x:v>OpenAlex</x:v>
      </x:c>
      <x:c r="I36" s="25" t="str">
        <x:v>C1_3D_mental_models</x:v>
      </x:c>
      <x:c r="J36" s="25" t="str">
        <x:v>Exclude</x:v>
      </x:c>
      <x:c r="K36" s="25" t="str">
        <x:v>Exclude: topic mismatch</x:v>
      </x:c>
    </x:row>
    <x:row r="37">
      <x:c r="A37" s="20" t="str">
        <x:v>R0033</x:v>
      </x:c>
      <x:c r="B37" s="25" t="str">
        <x:v>Social Data: Biases, Methodological Pitfalls, and Ethical Boundaries</x:v>
      </x:c>
      <x:c r="C37" s="25" t="n">
        <x:v>2019</x:v>
      </x:c>
      <x:c r="D37" s="25" t="str">
        <x:v>Alexandra Olteanu; Carlos Castillo; Fernando Díaz; Emre Kıcıman</x:v>
      </x:c>
      <x:c r="E37" s="25" t="str">
        <x:v>Frontiers in Big Data</x:v>
      </x:c>
      <x:c r="F37" s="25" t="str">
        <x:v>10.3389/fdata.2019.00013</x:v>
      </x:c>
      <x:c r="G37" s="25" t="str">
        <x:v>https://doi.org/10.3389/fdata.2019.00013</x:v>
      </x:c>
      <x:c r="H37" s="25" t="str">
        <x:v>OpenAlex</x:v>
      </x:c>
      <x:c r="I37" s="25" t="str">
        <x:v>C2_interaction_signals</x:v>
      </x:c>
      <x:c r="J37" s="25" t="str">
        <x:v>Exclude</x:v>
      </x:c>
      <x:c r="K37" s="25" t="str">
        <x:v>Exclude: topic mismatch</x:v>
      </x:c>
    </x:row>
    <x:row r="38">
      <x:c r="A38" s="20" t="str">
        <x:v>R0034</x:v>
      </x:c>
      <x:c r="B38" s="25" t="str">
        <x:v>Computer Science Curricula 2013: Curriculum Guidelines for Undergraduate Degree Programs in Computer Science</x:v>
      </x:c>
      <x:c r="C38" s="25" t="n">
        <x:v>2013</x:v>
      </x:c>
      <x:c r="D38" s="25" t="str">
        <x:v>Sahami, Mehran; Roach, Steve; Cuadros-Vargas, Ernesto; Danyluk, Andrea; Dodge, Ronald; Fisher, Kathleen; France, Robert; Grossman, Dan; Hawthorne, Beth; Katz, Randy; Kumar, Amruth; LeBlanc, Rich; Reed, Dave; Robinson, Brian H.; Seker, Remzi; Thompson, Alfred</x:v>
      </x:c>
      <x:c r="E38" s="25" t="str">
        <x:v>ACM, Inc eBooks</x:v>
      </x:c>
      <x:c r="F38" s="25" t="str">
        <x:v>10.1145/2534860</x:v>
      </x:c>
      <x:c r="G38" s="25" t="str">
        <x:v>https://doi.org/10.1145/2534860</x:v>
      </x:c>
      <x:c r="H38" s="25" t="str">
        <x:v>OpenAlex</x:v>
      </x:c>
      <x:c r="I38" s="25" t="str">
        <x:v>C6_frontend_GUI_intent</x:v>
      </x:c>
      <x:c r="J38" s="25" t="str">
        <x:v>Exclude</x:v>
      </x:c>
      <x:c r="K38" s="25" t="str">
        <x:v>Exclude: topic mismatch</x:v>
      </x:c>
    </x:row>
    <x:row r="39">
      <x:c r="A39" s="20" t="str">
        <x:v>R0035</x:v>
      </x:c>
      <x:c r="B39" s="25" t="str">
        <x:v>The Global Traffic in Human Organs</x:v>
      </x:c>
      <x:c r="C39" s="25" t="n">
        <x:v>2000</x:v>
      </x:c>
      <x:c r="D39" s="25" t="str">
        <x:v>Nancy Scheper‐Hughes</x:v>
      </x:c>
      <x:c r="E39" s="25" t="str">
        <x:v>Current Anthropology</x:v>
      </x:c>
      <x:c r="F39" s="25" t="str">
        <x:v>10.1086/300123</x:v>
      </x:c>
      <x:c r="G39" s="25" t="str">
        <x:v>https://doi.org/10.1086/300123</x:v>
      </x:c>
      <x:c r="H39" s="25" t="str">
        <x:v>OpenAlex</x:v>
      </x:c>
      <x:c r="I39" s="25" t="str">
        <x:v>C7_creative_agency</x:v>
      </x:c>
      <x:c r="J39" s="25" t="str">
        <x:v>Exclude</x:v>
      </x:c>
      <x:c r="K39" s="25" t="str">
        <x:v>Exclude: topic mismatch</x:v>
      </x:c>
    </x:row>
    <x:row r="40">
      <x:c r="A40" s="20" t="str">
        <x:v>R0036</x:v>
      </x:c>
      <x:c r="B40" s="25" t="str">
        <x:v>Academic Integrity considerations of AI Large Language Models in the post-pandemic era: ChatGPT and beyond</x:v>
      </x:c>
      <x:c r="C40" s="25" t="n">
        <x:v>2023</x:v>
      </x:c>
      <x:c r="D40" s="25" t="str">
        <x:v>Mike Perkins</x:v>
      </x:c>
      <x:c r="E40" s="25" t="str">
        <x:v>Journal of University Teaching and Learning Practice</x:v>
      </x:c>
      <x:c r="F40" s="25" t="str">
        <x:v>10.53761/1.20.02.07</x:v>
      </x:c>
      <x:c r="G40" s="25" t="str">
        <x:v>https://doi.org/10.53761/1.20.02.07</x:v>
      </x:c>
      <x:c r="H40" s="25" t="str">
        <x:v>OpenAlex</x:v>
      </x:c>
      <x:c r="I40" s="25" t="str">
        <x:v>C7_creative_agency</x:v>
      </x:c>
      <x:c r="J40" s="25" t="str">
        <x:v>Exclude</x:v>
      </x:c>
      <x:c r="K40" s="25" t="str">
        <x:v>Exclude: topic mismatch</x:v>
      </x:c>
    </x:row>
    <x:row r="41">
      <x:c r="A41" s="20" t="str">
        <x:v>R0037</x:v>
      </x:c>
      <x:c r="B41" s="25" t="str">
        <x:v>Artificial intelligence in the creative industries: a review</x:v>
      </x:c>
      <x:c r="C41" s="25" t="n">
        <x:v>2021</x:v>
      </x:c>
      <x:c r="D41" s="25" t="str">
        <x:v>Nantheera Anantrasirichai; David Bull</x:v>
      </x:c>
      <x:c r="E41" s="25" t="str">
        <x:v>Artificial Intelligence Review</x:v>
      </x:c>
      <x:c r="F41" s="25" t="str">
        <x:v>10.1007/s10462-021-10039-7</x:v>
      </x:c>
      <x:c r="G41" s="25" t="str">
        <x:v>https://doi.org/10.1007/s10462-021-10039-7</x:v>
      </x:c>
      <x:c r="H41" s="25" t="str">
        <x:v>OpenAlex</x:v>
      </x:c>
      <x:c r="I41" s="25" t="str">
        <x:v>C8_AI_3D_authoring</x:v>
      </x:c>
      <x:c r="J41" s="25" t="str">
        <x:v>Exclude</x:v>
      </x:c>
      <x:c r="K41" s="25" t="str">
        <x:v>Exclude: adjacent/redundant or insufficiently theory-generative for DC1</x:v>
      </x:c>
    </x:row>
    <x:row r="42">
      <x:c r="A42" s="20" t="str">
        <x:v>R0038</x:v>
      </x:c>
      <x:c r="B42" s="25" t="str">
        <x:v>Creativity, Critical Thinking, Communication, and Collaboration: Assessment, Certification, and Promotion of 21st Century Skills for the Future of Work and Education</x:v>
      </x:c>
      <x:c r="C42" s="25" t="n">
        <x:v>2023</x:v>
      </x:c>
      <x:c r="D42" s="25" t="str">
        <x:v>Branden Thornhill-Miller; Anaëlle Camarda; Maxence Mercier; Jean‐Marie Burkhardt; Tiffany Morisseau; Samira Bourgeois‐Bougrine; Florent Vinchon; Stephanie El Hayek; Myriam Augereau-Landais; Florence Mourey; Cyrille Feybesse; Daniel Sundquist; Todd Lubart</x:v>
      </x:c>
      <x:c r="E42" s="25" t="str">
        <x:v>Journal of Intelligence</x:v>
      </x:c>
      <x:c r="F42" s="25" t="str">
        <x:v>10.3390/jintelligence11030054</x:v>
      </x:c>
      <x:c r="G42" s="25" t="str">
        <x:v>https://doi.org/10.3390/jintelligence11030054</x:v>
      </x:c>
      <x:c r="H42" s="25" t="str">
        <x:v>OpenAlex</x:v>
      </x:c>
      <x:c r="I42" s="25" t="str">
        <x:v>C3_mixed_initiative_cocreation</x:v>
      </x:c>
      <x:c r="J42" s="25" t="str">
        <x:v>Exclude</x:v>
      </x:c>
      <x:c r="K42" s="25" t="str">
        <x:v>Exclude: adjacent/redundant or insufficiently theory-generative for DC1</x:v>
      </x:c>
    </x:row>
    <x:row r="43">
      <x:c r="A43" s="20" t="str">
        <x:v>R0039</x:v>
      </x:c>
      <x:c r="B43" s="25" t="str">
        <x:v>EEG-Based Brain-Computer Interfaces Using Motor-Imagery: Techniques and Challenges</x:v>
      </x:c>
      <x:c r="C43" s="25" t="n">
        <x:v>2019</x:v>
      </x:c>
      <x:c r="D43" s="25" t="str">
        <x:v>Natasha Padfield; Jaime Zabalza; Huimin Zhao; Valentín Masero; Jinchang Ren</x:v>
      </x:c>
      <x:c r="E43" s="25" t="str">
        <x:v>Sensors</x:v>
      </x:c>
      <x:c r="F43" s="25" t="str">
        <x:v>10.3390/s19061423</x:v>
      </x:c>
      <x:c r="G43" s="25" t="str">
        <x:v>https://doi.org/10.3390/s19061423</x:v>
      </x:c>
      <x:c r="H43" s="25" t="str">
        <x:v>OpenAlex</x:v>
      </x:c>
      <x:c r="I43" s="25" t="str">
        <x:v>C1_3D_mental_models</x:v>
      </x:c>
      <x:c r="J43" s="25" t="str">
        <x:v>Exclude</x:v>
      </x:c>
      <x:c r="K43" s="25" t="str">
        <x:v>Exclude: topic mismatch</x:v>
      </x:c>
    </x:row>
    <x:row r="44">
      <x:c r="A44" s="20" t="str">
        <x:v>R0040</x:v>
      </x:c>
      <x:c r="B44" s="25" t="str">
        <x:v>Re-examining Whether, Why, and How Human-AI Interaction Is Uniquely Difficult to Design</x:v>
      </x:c>
      <x:c r="C44" s="25" t="n">
        <x:v>2020</x:v>
      </x:c>
      <x:c r="D44" s="25" t="str">
        <x:v>Qian Yang; Aaron Steinfeld; Carolyn Penstein Rosé; John Zimmerman</x:v>
      </x:c>
      <x:c r="E44" s="25" t="str"/>
      <x:c r="F44" s="25" t="str">
        <x:v>10.1145/3313831.3376301</x:v>
      </x:c>
      <x:c r="G44" s="25" t="str">
        <x:v>https://doi.org/10.1145/3313831.3376301</x:v>
      </x:c>
      <x:c r="H44" s="25" t="str">
        <x:v>OpenAlex</x:v>
      </x:c>
      <x:c r="I44" s="25" t="str">
        <x:v>C7_creative_agency</x:v>
      </x:c>
      <x:c r="J44" s="25" t="str">
        <x:v>Include</x:v>
      </x:c>
      <x:c r="K44" s="25" t="str">
        <x:v>Included in focused synthesis</x:v>
      </x:c>
    </x:row>
    <x:row r="45">
      <x:c r="A45" s="20" t="str">
        <x:v>R0041</x:v>
      </x:c>
      <x:c r="B45" s="25" t="str">
        <x:v>Molecular representations in AI-driven drug discovery: a review and practical guide</x:v>
      </x:c>
      <x:c r="C45" s="25" t="n">
        <x:v>2020</x:v>
      </x:c>
      <x:c r="D45" s="25" t="str">
        <x:v>Laurianne David; Amol Thakkar; Rocío Mercado; Ola Engkvist</x:v>
      </x:c>
      <x:c r="E45" s="25" t="str">
        <x:v>Journal of Cheminformatics</x:v>
      </x:c>
      <x:c r="F45" s="25" t="str">
        <x:v>10.1186/s13321-020-00460-5</x:v>
      </x:c>
      <x:c r="G45" s="25" t="str">
        <x:v>https://doi.org/10.1186/s13321-020-00460-5</x:v>
      </x:c>
      <x:c r="H45" s="25" t="str">
        <x:v>OpenAlex</x:v>
      </x:c>
      <x:c r="I45" s="25" t="str">
        <x:v>C8_AI_3D_authoring</x:v>
      </x:c>
      <x:c r="J45" s="25" t="str">
        <x:v>Exclude</x:v>
      </x:c>
      <x:c r="K45" s="25" t="str">
        <x:v>Exclude: topic mismatch</x:v>
      </x:c>
    </x:row>
    <x:row r="46">
      <x:c r="A46" s="20" t="str">
        <x:v>R0042</x:v>
      </x:c>
      <x:c r="B46" s="25" t="str">
        <x:v>Learning design to support student-AI collaboration: perspectives of leading teachers for AI in education</x:v>
      </x:c>
      <x:c r="C46" s="25" t="n">
        <x:v>2022</x:v>
      </x:c>
      <x:c r="D46" s="25" t="str">
        <x:v>Jinhee Kim; Hyun-Kyung Lee; Young Hoan Cho</x:v>
      </x:c>
      <x:c r="E46" s="25" t="str">
        <x:v>Education and Information Technologies</x:v>
      </x:c>
      <x:c r="F46" s="25" t="str">
        <x:v>10.1007/s10639-021-10831-6</x:v>
      </x:c>
      <x:c r="G46" s="25" t="str">
        <x:v>https://doi.org/10.1007/s10639-021-10831-6</x:v>
      </x:c>
      <x:c r="H46" s="25" t="str">
        <x:v>OpenAlex</x:v>
      </x:c>
      <x:c r="I46" s="25" t="str">
        <x:v>C7_creative_agency</x:v>
      </x:c>
      <x:c r="J46" s="25" t="str">
        <x:v>Exclude</x:v>
      </x:c>
      <x:c r="K46" s="25" t="str">
        <x:v>Exclude: adjacent/redundant or insufficiently theory-generative for DC1</x:v>
      </x:c>
    </x:row>
    <x:row r="47">
      <x:c r="A47" s="20" t="str">
        <x:v>R0043</x:v>
      </x:c>
      <x:c r="B47" s="25" t="str">
        <x:v>AI literacy in K-12: a systematic literature review</x:v>
      </x:c>
      <x:c r="C47" s="25" t="n">
        <x:v>2023</x:v>
      </x:c>
      <x:c r="D47" s="25" t="str">
        <x:v>Lorena Casal Otero; Alejandro Catalá; Carmen Fernández-Morante; M. Taboada; Beatriz Cebreiro López; Senén Barro</x:v>
      </x:c>
      <x:c r="E47" s="25" t="str">
        <x:v>International Journal of STEM Education</x:v>
      </x:c>
      <x:c r="F47" s="25" t="str">
        <x:v>10.1186/s40594-023-00418-7</x:v>
      </x:c>
      <x:c r="G47" s="25" t="str">
        <x:v>https://doi.org/10.1186/s40594-023-00418-7</x:v>
      </x:c>
      <x:c r="H47" s="25" t="str">
        <x:v>OpenAlex</x:v>
      </x:c>
      <x:c r="I47" s="25" t="str">
        <x:v>C7_creative_agency</x:v>
      </x:c>
      <x:c r="J47" s="25" t="str">
        <x:v>Exclude</x:v>
      </x:c>
      <x:c r="K47" s="25" t="str">
        <x:v>Exclude: topic mismatch</x:v>
      </x:c>
    </x:row>
    <x:row r="48">
      <x:c r="A48" s="20" t="str">
        <x:v>R0044</x:v>
      </x:c>
      <x:c r="B48" s="25" t="str">
        <x:v>AI in marketing, consumer research and psychology: A systematic literature review and research agenda</x:v>
      </x:c>
      <x:c r="C48" s="25" t="n">
        <x:v>2021</x:v>
      </x:c>
      <x:c r="D48" s="25" t="str">
        <x:v>Marcello M. Mariani; Rodrigo Perez‐Vega; Jochen Wirtz</x:v>
      </x:c>
      <x:c r="E48" s="25" t="str">
        <x:v>Psychology and Marketing</x:v>
      </x:c>
      <x:c r="F48" s="25" t="str">
        <x:v>10.1002/mar.21619</x:v>
      </x:c>
      <x:c r="G48" s="25" t="str">
        <x:v>https://doi.org/10.1002/mar.21619</x:v>
      </x:c>
      <x:c r="H48" s="25" t="str">
        <x:v>OpenAlex</x:v>
      </x:c>
      <x:c r="I48" s="25" t="str">
        <x:v>C7_creative_agency</x:v>
      </x:c>
      <x:c r="J48" s="25" t="str">
        <x:v>Exclude</x:v>
      </x:c>
      <x:c r="K48" s="25" t="str">
        <x:v>Exclude: domain-specific signal model without transferable HCI theory</x:v>
      </x:c>
    </x:row>
    <x:row r="49">
      <x:c r="A49" s="20" t="str">
        <x:v>R0045</x:v>
      </x:c>
      <x:c r="B49" s="25" t="str">
        <x:v>Trustworthy artificial intelligence</x:v>
      </x:c>
      <x:c r="C49" s="25" t="n">
        <x:v>2020</x:v>
      </x:c>
      <x:c r="D49" s="25" t="str">
        <x:v>Scott Thiebes; Sebastian Lins; Ali Sunyaev</x:v>
      </x:c>
      <x:c r="E49" s="25" t="str">
        <x:v>Electronic Markets</x:v>
      </x:c>
      <x:c r="F49" s="25" t="str">
        <x:v>10.1007/s12525-020-00441-4</x:v>
      </x:c>
      <x:c r="G49" s="25" t="str">
        <x:v>https://doi.org/10.1007/s12525-020-00441-4</x:v>
      </x:c>
      <x:c r="H49" s="25" t="str">
        <x:v>OpenAlex</x:v>
      </x:c>
      <x:c r="I49" s="25" t="str">
        <x:v>C4_uncertainty_shared_autonomy</x:v>
      </x:c>
      <x:c r="J49" s="25" t="str">
        <x:v>Exclude</x:v>
      </x:c>
      <x:c r="K49" s="25" t="str">
        <x:v>Exclude: adjacent/redundant or insufficiently theory-generative for DC1</x:v>
      </x:c>
    </x:row>
    <x:row r="50">
      <x:c r="A50" s="20" t="str">
        <x:v>R0046</x:v>
      </x:c>
      <x:c r="B50" s="25" t="str">
        <x:v>Contributions and Risks of Artificial Intelligence (AI) in Building Smarter Cities: Insights from a Systematic Review of the Literature</x:v>
      </x:c>
      <x:c r="C50" s="25" t="n">
        <x:v>2020</x:v>
      </x:c>
      <x:c r="D50" s="25" t="str">
        <x:v>Tan Yiğitcanlar; Kevin C. Desouza; Luke Butler; Farnoosh Roozkhosh</x:v>
      </x:c>
      <x:c r="E50" s="25" t="str">
        <x:v>Energies</x:v>
      </x:c>
      <x:c r="F50" s="25" t="str">
        <x:v>10.3390/en13061473</x:v>
      </x:c>
      <x:c r="G50" s="25" t="str">
        <x:v>https://doi.org/10.3390/en13061473</x:v>
      </x:c>
      <x:c r="H50" s="25" t="str">
        <x:v>OpenAlex</x:v>
      </x:c>
      <x:c r="I50" s="25" t="str">
        <x:v>C3_mixed_initiative_cocreation</x:v>
      </x:c>
      <x:c r="J50" s="25" t="str">
        <x:v>Exclude</x:v>
      </x:c>
      <x:c r="K50" s="25" t="str">
        <x:v>Exclude: topic mismatch</x:v>
      </x:c>
    </x:row>
    <x:row r="51">
      <x:c r="A51" s="20" t="str">
        <x:v>R0047</x:v>
      </x:c>
      <x:c r="B51" s="25" t="str">
        <x:v>Towards a standard for identifying and managing bias in artificial intelligence</x:v>
      </x:c>
      <x:c r="C51" s="25" t="n">
        <x:v>2022</x:v>
      </x:c>
      <x:c r="D51" s="25" t="str">
        <x:v>Reva Schwartz; Apostol Vassilev; Kristen Greene; Lori Perine; Andrew Burt; Patrick Hall</x:v>
      </x:c>
      <x:c r="E51" s="25" t="str"/>
      <x:c r="F51" s="25" t="str">
        <x:v>10.6028/nist.sp.1270</x:v>
      </x:c>
      <x:c r="G51" s="25" t="str">
        <x:v>https://doi.org/10.6028/nist.sp.1270</x:v>
      </x:c>
      <x:c r="H51" s="25" t="str">
        <x:v>OpenAlex</x:v>
      </x:c>
      <x:c r="I51" s="25" t="str">
        <x:v>C2_interaction_signals</x:v>
      </x:c>
      <x:c r="J51" s="25" t="str">
        <x:v>Exclude</x:v>
      </x:c>
      <x:c r="K51" s="25" t="str">
        <x:v>Exclude: adjacent/redundant or insufficiently theory-generative for DC1</x:v>
      </x:c>
    </x:row>
    <x:row r="52">
      <x:c r="A52" s="20" t="str">
        <x:v>R0048</x:v>
      </x:c>
      <x:c r="B52" s="25" t="str">
        <x:v>Data mountain</x:v>
      </x:c>
      <x:c r="C52" s="25" t="n">
        <x:v>1998</x:v>
      </x:c>
      <x:c r="D52" s="25" t="str">
        <x:v>George Robertson; Mary Czerwinski; Kevin Larson; Daniel C. Robbins; David Thiel; Maarten van Dantzich</x:v>
      </x:c>
      <x:c r="E52" s="25" t="str"/>
      <x:c r="F52" s="25" t="str">
        <x:v>10.1145/288392.288596</x:v>
      </x:c>
      <x:c r="G52" s="25" t="str">
        <x:v>https://doi.org/10.1145/288392.288596</x:v>
      </x:c>
      <x:c r="H52" s="25" t="str">
        <x:v>OpenAlex</x:v>
      </x:c>
      <x:c r="I52" s="25" t="str">
        <x:v>C1_3D_mental_models</x:v>
      </x:c>
      <x:c r="J52" s="25" t="str">
        <x:v>Exclude</x:v>
      </x:c>
      <x:c r="K52" s="25" t="str">
        <x:v>Exclude: adjacent/redundant or insufficiently theory-generative for DC1</x:v>
      </x:c>
    </x:row>
    <x:row r="53">
      <x:c r="A53" s="20" t="str">
        <x:v>R0049</x:v>
      </x:c>
      <x:c r="B53" s="25" t="str">
        <x:v>Artificial Intelligence and Entrepreneurship: Implications for Venture Creation in the Fourth Industrial Revolution</x:v>
      </x:c>
      <x:c r="C53" s="25" t="n">
        <x:v>2020</x:v>
      </x:c>
      <x:c r="D53" s="25" t="str">
        <x:v>Dominic Chalmers; Niall MacKenzie; Sara Carter</x:v>
      </x:c>
      <x:c r="E53" s="25" t="str">
        <x:v>Entrepreneurship Theory and Practice</x:v>
      </x:c>
      <x:c r="F53" s="25" t="str">
        <x:v>10.1177/1042258720934581</x:v>
      </x:c>
      <x:c r="G53" s="25" t="str">
        <x:v>https://doi.org/10.1177/1042258720934581</x:v>
      </x:c>
      <x:c r="H53" s="25" t="str">
        <x:v>OpenAlex</x:v>
      </x:c>
      <x:c r="I53" s="25" t="str">
        <x:v>C7_creative_agency</x:v>
      </x:c>
      <x:c r="J53" s="25" t="str">
        <x:v>Exclude</x:v>
      </x:c>
      <x:c r="K53" s="25" t="str">
        <x:v>Exclude: topic mismatch</x:v>
      </x:c>
    </x:row>
    <x:row r="54">
      <x:c r="A54" s="20" t="str">
        <x:v>R0050</x:v>
      </x:c>
      <x:c r="B54" s="25" t="str">
        <x:v>Six Human-Centered Artificial Intelligence Grand Challenges</x:v>
      </x:c>
      <x:c r="C54" s="25" t="n">
        <x:v>2023</x:v>
      </x:c>
      <x:c r="D54" s="25" t="str">
        <x:v>Özlem Özmen Garibay; Brent Winslow; Salvatore Andolina; Margherita Antona; Anja Bodenschatz; Constantinos K. Coursaris; Gregory Falco; Stephen M. Fiore; Iván Garibay; Keri Grieman; John C. Havens; Marina Jirotka; Hernisa Kacorri; Waldemar Karwowski; Joseph T. Kider; Joseph A. Konstan; Sean Koon; Mónica López-González; Iliana Maifeld-Carucci; Sean McGregor; Gavriel Salvendy; Ben Shneiderman; Constantine Stephanidis; Christina Strobel; Carolyn Ten Holter; Wei Xu</x:v>
      </x:c>
      <x:c r="E54" s="25" t="str">
        <x:v>International Journal of Human-Computer Interaction</x:v>
      </x:c>
      <x:c r="F54" s="25" t="str">
        <x:v>10.1080/10447318.2022.2153320</x:v>
      </x:c>
      <x:c r="G54" s="25" t="str">
        <x:v>https://doi.org/10.1080/10447318.2022.2153320</x:v>
      </x:c>
      <x:c r="H54" s="25" t="str">
        <x:v>OpenAlex</x:v>
      </x:c>
      <x:c r="I54" s="25" t="str">
        <x:v>C3_mixed_initiative_cocreation; C4_uncertainty_shared_autonomy</x:v>
      </x:c>
      <x:c r="J54" s="25" t="str">
        <x:v>Exclude</x:v>
      </x:c>
      <x:c r="K54" s="25" t="str">
        <x:v>Exclude: adjacent/redundant or insufficiently theory-generative for DC1</x:v>
      </x:c>
    </x:row>
    <x:row r="55">
      <x:c r="A55" s="20" t="str">
        <x:v>R0051</x:v>
      </x:c>
      <x:c r="B55" s="25" t="str">
        <x:v>A dissociation between object manipulation spatial ability and spatial orientation ability</x:v>
      </x:c>
      <x:c r="C55" s="25" t="n">
        <x:v>2001</x:v>
      </x:c>
      <x:c r="D55" s="25" t="str">
        <x:v>Maria Kozhevnikov; Mary Hegarty</x:v>
      </x:c>
      <x:c r="E55" s="25" t="str">
        <x:v>Memory &amp;amp; Cognition</x:v>
      </x:c>
      <x:c r="F55" s="25" t="str">
        <x:v>10.3758/bf03200477</x:v>
      </x:c>
      <x:c r="G55" s="25" t="str">
        <x:v>https://doi.org/10.3758/bf03200477</x:v>
      </x:c>
      <x:c r="H55" s="25" t="str">
        <x:v>Crossref</x:v>
      </x:c>
      <x:c r="I55" s="25" t="str">
        <x:v>C1_3D_mental_models</x:v>
      </x:c>
      <x:c r="J55" s="25" t="str">
        <x:v>Exclude</x:v>
      </x:c>
      <x:c r="K55" s="25" t="str">
        <x:v>Exclude: adjacent/redundant or insufficiently theory-generative for DC1</x:v>
      </x:c>
    </x:row>
    <x:row r="56">
      <x:c r="A56" s="20" t="str">
        <x:v>R0052</x:v>
      </x:c>
      <x:c r="B56" s="25" t="str">
        <x:v>Cobot programming for collaborative industrial tasks: An overview</x:v>
      </x:c>
      <x:c r="C56" s="25" t="n">
        <x:v>2019</x:v>
      </x:c>
      <x:c r="D56" s="25" t="str">
        <x:v>Shirine El Zaatari; Mohamed Marei; Weidong Li; Zahid Usman</x:v>
      </x:c>
      <x:c r="E56" s="25" t="str">
        <x:v>Robotics and Autonomous Systems</x:v>
      </x:c>
      <x:c r="F56" s="25" t="str">
        <x:v>10.1016/j.robot.2019.03.003</x:v>
      </x:c>
      <x:c r="G56" s="25" t="str">
        <x:v>https://doi.org/10.1016/j.robot.2019.03.003</x:v>
      </x:c>
      <x:c r="H56" s="25" t="str">
        <x:v>OpenAlex</x:v>
      </x:c>
      <x:c r="I56" s="25" t="str">
        <x:v>C6_frontend_GUI_intent</x:v>
      </x:c>
      <x:c r="J56" s="25" t="str">
        <x:v>Exclude</x:v>
      </x:c>
      <x:c r="K56" s="25" t="str">
        <x:v>Exclude: topic mismatch</x:v>
      </x:c>
    </x:row>
    <x:row r="57">
      <x:c r="A57" s="20" t="str">
        <x:v>R0053</x:v>
      </x:c>
      <x:c r="B57" s="25" t="str">
        <x:v>AI Chains: Transparent and Controllable Human-AI Interaction by Chaining Large Language Model Prompts</x:v>
      </x:c>
      <x:c r="C57" s="25" t="n">
        <x:v>2022</x:v>
      </x:c>
      <x:c r="D57" s="25" t="str">
        <x:v>Tongshuang Wu; Michael Terry; Carrie J. Cai</x:v>
      </x:c>
      <x:c r="E57" s="25" t="str">
        <x:v>CHI Conference on Human Factors in Computing Systems</x:v>
      </x:c>
      <x:c r="F57" s="25" t="str">
        <x:v>10.1145/3491102.3517582</x:v>
      </x:c>
      <x:c r="G57" s="25" t="str">
        <x:v>https://doi.org/10.1145/3491102.3517582</x:v>
      </x:c>
      <x:c r="H57" s="25" t="str">
        <x:v>OpenAlex</x:v>
      </x:c>
      <x:c r="I57" s="25" t="str">
        <x:v>C3_mixed_initiative_cocreation; C7_creative_agency</x:v>
      </x:c>
      <x:c r="J57" s="25" t="str">
        <x:v>Exclude</x:v>
      </x:c>
      <x:c r="K57" s="25" t="str">
        <x:v>Exclude: topic mismatch</x:v>
      </x:c>
    </x:row>
    <x:row r="58">
      <x:c r="A58" s="20" t="str">
        <x:v>R0054</x:v>
      </x:c>
      <x:c r="B58" s="25" t="str">
        <x:v>The effects of transparency on trust in and acceptance of a content-based art recommender</x:v>
      </x:c>
      <x:c r="C58" s="25" t="n">
        <x:v>2008</x:v>
      </x:c>
      <x:c r="D58" s="25" t="str">
        <x:v>Henriette Cramer; Vanessa Evers; Satyan Ramlal; Maarten van Someren; Lloyd Rutledge; Natalia Stash; Lora Aroyo; Bob Wielinga</x:v>
      </x:c>
      <x:c r="E58" s="25" t="str">
        <x:v>User Modeling and User-Adapted Interaction</x:v>
      </x:c>
      <x:c r="F58" s="25" t="str">
        <x:v>10.1007/s11257-008-9051-3</x:v>
      </x:c>
      <x:c r="G58" s="25" t="str">
        <x:v>https://doi.org/10.1007/s11257-008-9051-3</x:v>
      </x:c>
      <x:c r="H58" s="25" t="str">
        <x:v>OpenAlex</x:v>
      </x:c>
      <x:c r="I58" s="25" t="str">
        <x:v>C2_interaction_signals</x:v>
      </x:c>
      <x:c r="J58" s="25" t="str">
        <x:v>Exclude</x:v>
      </x:c>
      <x:c r="K58" s="25" t="str">
        <x:v>Exclude: topic mismatch</x:v>
      </x:c>
    </x:row>
    <x:row r="59">
      <x:c r="A59" s="20" t="str">
        <x:v>R0055</x:v>
      </x:c>
      <x:c r="B59" s="25" t="str">
        <x:v>ChatGPT for Robotics: Design Principles and Model Abilities</x:v>
      </x:c>
      <x:c r="C59" s="25" t="n">
        <x:v>2024</x:v>
      </x:c>
      <x:c r="D59" s="25" t="str">
        <x:v>Sai Vemprala; Rogerio Bonatti; Arthur Bucker; Ashish Kapoor</x:v>
      </x:c>
      <x:c r="E59" s="25" t="str">
        <x:v>IEEE Access</x:v>
      </x:c>
      <x:c r="F59" s="25" t="str">
        <x:v>10.1109/access.2024.3387941</x:v>
      </x:c>
      <x:c r="G59" s="25" t="str">
        <x:v>https://doi.org/10.1109/access.2024.3387941</x:v>
      </x:c>
      <x:c r="H59" s="25" t="str">
        <x:v>OpenAlex</x:v>
      </x:c>
      <x:c r="I59" s="25" t="str">
        <x:v>C8_AI_3D_authoring</x:v>
      </x:c>
      <x:c r="J59" s="25" t="str">
        <x:v>Exclude</x:v>
      </x:c>
      <x:c r="K59" s="25" t="str">
        <x:v>Exclude: adjacent/redundant or insufficiently theory-generative for DC1</x:v>
      </x:c>
    </x:row>
    <x:row r="60">
      <x:c r="A60" s="20" t="str">
        <x:v>R0056</x:v>
      </x:c>
      <x:c r="B60" s="25" t="str">
        <x:v>Deep learning for deepfakes creation and detection: A survey</x:v>
      </x:c>
      <x:c r="C60" s="25" t="n">
        <x:v>2022</x:v>
      </x:c>
      <x:c r="D60" s="25" t="str">
        <x:v>Thanh Thi Nguyen; Thanh Thi Nguyen; Quoc Viet Hung Nguyen; Dung T. Nguyen; Duc Thanh Nguyen; Thien Huynh‐The; Saeid Nahavandi; Thanh Thi Nguyen; Thành Tâm Nguyên; Quoc‐Viet Pham; Cuong Nguyen</x:v>
      </x:c>
      <x:c r="E60" s="25" t="str">
        <x:v>Computer Vision and Image Understanding</x:v>
      </x:c>
      <x:c r="F60" s="25" t="str">
        <x:v>10.1016/j.cviu.2022.103525</x:v>
      </x:c>
      <x:c r="G60" s="25" t="str">
        <x:v>https://doi.org/10.1016/j.cviu.2022.103525</x:v>
      </x:c>
      <x:c r="H60" s="25" t="str">
        <x:v>OpenAlex</x:v>
      </x:c>
      <x:c r="I60" s="25" t="str">
        <x:v>C7_creative_agency</x:v>
      </x:c>
      <x:c r="J60" s="25" t="str">
        <x:v>Exclude</x:v>
      </x:c>
      <x:c r="K60" s="25" t="str">
        <x:v>Exclude: topic mismatch</x:v>
      </x:c>
    </x:row>
    <x:row r="61">
      <x:c r="A61" s="20" t="str">
        <x:v>R0057</x:v>
      </x:c>
      <x:c r="B61" s="25" t="str">
        <x:v>Citizens Versus the Internet: Confronting Digital Challenges With Cognitive Tools</x:v>
      </x:c>
      <x:c r="C61" s="25" t="n">
        <x:v>2020</x:v>
      </x:c>
      <x:c r="D61" s="25" t="str">
        <x:v>Anastasia Kozyreva; Stephan Lewandowsky; Ralph Hertwig</x:v>
      </x:c>
      <x:c r="E61" s="25" t="str">
        <x:v>Gothic.net</x:v>
      </x:c>
      <x:c r="F61" s="25" t="str">
        <x:v>10.1177/1529100620946707</x:v>
      </x:c>
      <x:c r="G61" s="25" t="str">
        <x:v>https://doi.org/10.1177/1529100620946707</x:v>
      </x:c>
      <x:c r="H61" s="25" t="str">
        <x:v>OpenAlex</x:v>
      </x:c>
      <x:c r="I61" s="25" t="str">
        <x:v>C4_uncertainty_shared_autonomy</x:v>
      </x:c>
      <x:c r="J61" s="25" t="str">
        <x:v>Exclude</x:v>
      </x:c>
      <x:c r="K61" s="25" t="str">
        <x:v>Exclude: adjacent/redundant or insufficiently theory-generative for DC1</x:v>
      </x:c>
    </x:row>
    <x:row r="62">
      <x:c r="A62" s="20" t="str">
        <x:v>R0058</x:v>
      </x:c>
      <x:c r="B62" s="25" t="str">
        <x:v>AI adoption and diffusion in public administration: A systematic literature review and future research agenda</x:v>
      </x:c>
      <x:c r="C62" s="25" t="n">
        <x:v>2022</x:v>
      </x:c>
      <x:c r="D62" s="25" t="str">
        <x:v>Rohit Madan; Mona Ashok</x:v>
      </x:c>
      <x:c r="E62" s="25" t="str">
        <x:v>Government Information Quarterly</x:v>
      </x:c>
      <x:c r="F62" s="25" t="str">
        <x:v>10.1016/j.giq.2022.101774</x:v>
      </x:c>
      <x:c r="G62" s="25" t="str">
        <x:v>https://doi.org/10.1016/j.giq.2022.101774</x:v>
      </x:c>
      <x:c r="H62" s="25" t="str">
        <x:v>OpenAlex</x:v>
      </x:c>
      <x:c r="I62" s="25" t="str">
        <x:v>C3_mixed_initiative_cocreation</x:v>
      </x:c>
      <x:c r="J62" s="25" t="str">
        <x:v>Exclude</x:v>
      </x:c>
      <x:c r="K62" s="25" t="str">
        <x:v>Exclude: topic mismatch</x:v>
      </x:c>
    </x:row>
    <x:row r="63">
      <x:c r="A63" s="20" t="str">
        <x:v>R0059</x:v>
      </x:c>
      <x:c r="B63" s="25" t="str">
        <x:v>Artificial empathy in marketing interactions: Bridging the human-AI gap in affective and social customer experience</x:v>
      </x:c>
      <x:c r="C63" s="25" t="n">
        <x:v>2022</x:v>
      </x:c>
      <x:c r="D63" s="25" t="str">
        <x:v>Yuping Liu–Thompkins; Shintaro Okazaki; Hairong Li</x:v>
      </x:c>
      <x:c r="E63" s="25" t="str">
        <x:v>Journal of the Academy of Marketing Science</x:v>
      </x:c>
      <x:c r="F63" s="25" t="str">
        <x:v>10.1007/s11747-022-00892-5</x:v>
      </x:c>
      <x:c r="G63" s="25" t="str">
        <x:v>https://doi.org/10.1007/s11747-022-00892-5</x:v>
      </x:c>
      <x:c r="H63" s="25" t="str">
        <x:v>OpenAlex</x:v>
      </x:c>
      <x:c r="I63" s="25" t="str">
        <x:v>C2_interaction_signals; C4_uncertainty_shared_autonomy; C7_creative_agency</x:v>
      </x:c>
      <x:c r="J63" s="25" t="str">
        <x:v>Exclude</x:v>
      </x:c>
      <x:c r="K63" s="25" t="str">
        <x:v>Exclude: topic mismatch</x:v>
      </x:c>
    </x:row>
    <x:row r="64">
      <x:c r="A64" s="20" t="str">
        <x:v>R0060</x:v>
      </x:c>
      <x:c r="B64" s="25" t="str">
        <x:v>The promise and challenges of generative AI in education</x:v>
      </x:c>
      <x:c r="C64" s="25" t="n">
        <x:v>2024</x:v>
      </x:c>
      <x:c r="D64" s="25" t="str">
        <x:v>Michail N. Giannakos; Roger Azevedo; Peter Brusilovsky; Mutlu Cukurova; Yannis Dimitriadis; Davinia Hernández‐Leo; Sanna Järvelä; Manolis Mavrikis; Bart Rienties</x:v>
      </x:c>
      <x:c r="E64" s="25" t="str">
        <x:v>Behaviour and Information Technology</x:v>
      </x:c>
      <x:c r="F64" s="25" t="str">
        <x:v>10.1080/0144929x.2024.2394886</x:v>
      </x:c>
      <x:c r="G64" s="25" t="str">
        <x:v>https://doi.org/10.1080/0144929x.2024.2394886</x:v>
      </x:c>
      <x:c r="H64" s="25" t="str">
        <x:v>OpenAlex</x:v>
      </x:c>
      <x:c r="I64" s="25" t="str">
        <x:v>C7_creative_agency</x:v>
      </x:c>
      <x:c r="J64" s="25" t="str">
        <x:v>Exclude</x:v>
      </x:c>
      <x:c r="K64" s="25" t="str">
        <x:v>Exclude: topic mismatch</x:v>
      </x:c>
    </x:row>
    <x:row r="65">
      <x:c r="A65" s="20" t="str">
        <x:v>R0061</x:v>
      </x:c>
      <x:c r="B65" s="25" t="str">
        <x:v>Immersive VR and Education: Embodied Design Principles That Include Gesture and Hand Controls</x:v>
      </x:c>
      <x:c r="C65" s="25" t="n">
        <x:v>2018</x:v>
      </x:c>
      <x:c r="D65" s="25" t="str">
        <x:v>Mina C. Johnson‐Glenberg</x:v>
      </x:c>
      <x:c r="E65" s="25" t="str">
        <x:v>Frontiers in Robotics and AI</x:v>
      </x:c>
      <x:c r="F65" s="25" t="str">
        <x:v>10.3389/frobt.2018.00081</x:v>
      </x:c>
      <x:c r="G65" s="25" t="str">
        <x:v>https://doi.org/10.3389/frobt.2018.00081</x:v>
      </x:c>
      <x:c r="H65" s="25" t="str">
        <x:v>OpenAlex</x:v>
      </x:c>
      <x:c r="I65" s="25" t="str">
        <x:v>C1_3D_mental_models</x:v>
      </x:c>
      <x:c r="J65" s="25" t="str">
        <x:v>Exclude</x:v>
      </x:c>
      <x:c r="K65" s="25" t="str">
        <x:v>Exclude: adjacent/redundant or insufficiently theory-generative for DC1</x:v>
      </x:c>
    </x:row>
    <x:row r="66">
      <x:c r="A66" s="20" t="str">
        <x:v>R0062</x:v>
      </x:c>
      <x:c r="B66" s="25" t="str">
        <x:v>A Review of Intent Detection, Arbitration, and Communication Aspects of Shared Control for Physical Human–Robot Interaction</x:v>
      </x:c>
      <x:c r="C66" s="25" t="n">
        <x:v>2018</x:v>
      </x:c>
      <x:c r="D66" s="25" t="str">
        <x:v>Dylan P. Losey; Craig G. McDonald; Edoardo Battaglia; Marcia K. O’Malley</x:v>
      </x:c>
      <x:c r="E66" s="25" t="str">
        <x:v>Applied Mechanics Reviews</x:v>
      </x:c>
      <x:c r="F66" s="25" t="str">
        <x:v>10.1115/1.4039145</x:v>
      </x:c>
      <x:c r="G66" s="25" t="str">
        <x:v>https://doi.org/10.1115/1.4039145</x:v>
      </x:c>
      <x:c r="H66" s="25" t="str">
        <x:v>OpenAlex</x:v>
      </x:c>
      <x:c r="I66" s="25" t="str">
        <x:v>C2_interaction_signals; C4_uncertainty_shared_autonomy</x:v>
      </x:c>
      <x:c r="J66" s="25" t="str">
        <x:v>Exclude</x:v>
      </x:c>
      <x:c r="K66" s="25" t="str">
        <x:v>Exclude: adjacent/redundant or insufficiently theory-generative for DC1</x:v>
      </x:c>
    </x:row>
    <x:row r="67">
      <x:c r="A67" s="20" t="str">
        <x:v>R0063</x:v>
      </x:c>
      <x:c r="B67" s="25" t="str">
        <x:v>Hybrid-augmented intelligence: collaboration and cognition</x:v>
      </x:c>
      <x:c r="C67" s="25" t="n">
        <x:v>2017</x:v>
      </x:c>
      <x:c r="D67" s="25" t="str">
        <x:v>Nanning Zheng; Ziyi Liu; Pengju Ren; Yongqiang Ma; Shitao Chen; Siyu Yu; Jianru Xue; Badong Chen; Fei‐Yue Wang</x:v>
      </x:c>
      <x:c r="E67" s="25" t="str">
        <x:v>Frontiers of Information Technology &amp; Electronic Engineering</x:v>
      </x:c>
      <x:c r="F67" s="25" t="str">
        <x:v>10.1631/fitee.1700053</x:v>
      </x:c>
      <x:c r="G67" s="25" t="str">
        <x:v>https://doi.org/10.1631/fitee.1700053</x:v>
      </x:c>
      <x:c r="H67" s="25" t="str">
        <x:v>OpenAlex</x:v>
      </x:c>
      <x:c r="I67" s="25" t="str">
        <x:v>C1_3D_mental_models</x:v>
      </x:c>
      <x:c r="J67" s="25" t="str">
        <x:v>Exclude</x:v>
      </x:c>
      <x:c r="K67" s="25" t="str">
        <x:v>Exclude: adjacent/redundant or insufficiently theory-generative for DC1</x:v>
      </x:c>
    </x:row>
    <x:row r="68">
      <x:c r="A68" s="20" t="str">
        <x:v>R0064</x:v>
      </x:c>
      <x:c r="B68" s="25" t="str">
        <x:v>Design and validation of an augmented book for spatial abilities development in engineering students</x:v>
      </x:c>
      <x:c r="C68" s="25" t="n">
        <x:v>2009</x:v>
      </x:c>
      <x:c r="D68" s="25" t="str">
        <x:v>Jorge Martín‐Gutiérrez; José Luis Saorín; Manuel Contero; Mariano Alcañíz; David Pérez; Mario Ortega</x:v>
      </x:c>
      <x:c r="E68" s="25" t="str">
        <x:v>Computers &amp; Graphics</x:v>
      </x:c>
      <x:c r="F68" s="25" t="str">
        <x:v>10.1016/j.cag.2009.11.003</x:v>
      </x:c>
      <x:c r="G68" s="25" t="str">
        <x:v>https://doi.org/10.1016/j.cag.2009.11.003</x:v>
      </x:c>
      <x:c r="H68" s="25" t="str">
        <x:v>OpenAlex</x:v>
      </x:c>
      <x:c r="I68" s="25" t="str">
        <x:v>C1_3D_mental_models</x:v>
      </x:c>
      <x:c r="J68" s="25" t="str">
        <x:v>Exclude</x:v>
      </x:c>
      <x:c r="K68" s="25" t="str">
        <x:v>Exclude: topic mismatch</x:v>
      </x:c>
    </x:row>
    <x:row r="69">
      <x:c r="A69" s="20" t="str">
        <x:v>R0065</x:v>
      </x:c>
      <x:c r="B69" s="25" t="str">
        <x:v>Measuring the impact of innovative human capital on small firms’ propensity to innovate</x:v>
      </x:c>
      <x:c r="C69" s="25" t="n">
        <x:v>2014</x:v>
      </x:c>
      <x:c r="D69" s="25" t="str">
        <x:v>Helen McGuirk; Helena Lenihan; Mark Hart</x:v>
      </x:c>
      <x:c r="E69" s="25" t="str">
        <x:v>Research Policy</x:v>
      </x:c>
      <x:c r="F69" s="25" t="str">
        <x:v>10.1016/j.respol.2014.11.008</x:v>
      </x:c>
      <x:c r="G69" s="25" t="str">
        <x:v>https://doi.org/10.1016/j.respol.2014.11.008</x:v>
      </x:c>
      <x:c r="H69" s="25" t="str">
        <x:v>OpenAlex</x:v>
      </x:c>
      <x:c r="I69" s="25" t="str">
        <x:v>C3_mixed_initiative_cocreation</x:v>
      </x:c>
      <x:c r="J69" s="25" t="str">
        <x:v>Exclude</x:v>
      </x:c>
      <x:c r="K69" s="25" t="str">
        <x:v>Exclude: topic mismatch</x:v>
      </x:c>
    </x:row>
    <x:row r="70">
      <x:c r="A70" s="20" t="str">
        <x:v>R0066</x:v>
      </x:c>
      <x:c r="B70" s="25" t="str">
        <x:v>Promises and challenges of generative artificial intelligence for human learning</x:v>
      </x:c>
      <x:c r="C70" s="25" t="n">
        <x:v>2024</x:v>
      </x:c>
      <x:c r="D70" s="25" t="str">
        <x:v>Lixiang Yan; Samuel Greiff; Ziwen Teuber; Dragan Gašević</x:v>
      </x:c>
      <x:c r="E70" s="25" t="str">
        <x:v>Nature Human Behaviour</x:v>
      </x:c>
      <x:c r="F70" s="25" t="str">
        <x:v>10.1038/s41562-024-02004-5</x:v>
      </x:c>
      <x:c r="G70" s="25" t="str">
        <x:v>https://doi.org/10.1038/s41562-024-02004-5</x:v>
      </x:c>
      <x:c r="H70" s="25" t="str">
        <x:v>OpenAlex</x:v>
      </x:c>
      <x:c r="I70" s="25" t="str">
        <x:v>C7_creative_agency</x:v>
      </x:c>
      <x:c r="J70" s="25" t="str">
        <x:v>Exclude</x:v>
      </x:c>
      <x:c r="K70" s="25" t="str">
        <x:v>Exclude: topic mismatch</x:v>
      </x:c>
    </x:row>
    <x:row r="71">
      <x:c r="A71" s="20" t="str">
        <x:v>R0067</x:v>
      </x:c>
      <x:c r="B71" s="25" t="str">
        <x:v>In search of artificial intelligence (AI) literacy in teacher education: A scoping review</x:v>
      </x:c>
      <x:c r="C71" s="25" t="n">
        <x:v>2024</x:v>
      </x:c>
      <x:c r="D71" s="25" t="str">
        <x:v>Katarina Sperling; Carl-Johan Stenberg; Cormac McGrath; Anna Åkerfeldt; Fredrik Heintz; Linnéa Stenliden</x:v>
      </x:c>
      <x:c r="E71" s="25" t="str">
        <x:v>Computers and Education Open</x:v>
      </x:c>
      <x:c r="F71" s="25" t="str">
        <x:v>10.1016/j.caeo.2024.100169</x:v>
      </x:c>
      <x:c r="G71" s="25" t="str">
        <x:v>https://doi.org/10.1016/j.caeo.2024.100169</x:v>
      </x:c>
      <x:c r="H71" s="25" t="str">
        <x:v>OpenAlex</x:v>
      </x:c>
      <x:c r="I71" s="25" t="str">
        <x:v>C3_mixed_initiative_cocreation</x:v>
      </x:c>
      <x:c r="J71" s="25" t="str">
        <x:v>Exclude</x:v>
      </x:c>
      <x:c r="K71" s="25" t="str">
        <x:v>Exclude: topic mismatch</x:v>
      </x:c>
    </x:row>
    <x:row r="72">
      <x:c r="A72" s="20" t="str">
        <x:v>R0068</x:v>
      </x:c>
      <x:c r="B72" s="25" t="str">
        <x:v>Large Language Models in Healthcare and Medical Domain: A Review</x:v>
      </x:c>
      <x:c r="C72" s="25" t="n">
        <x:v>2024</x:v>
      </x:c>
      <x:c r="D72" s="25" t="str">
        <x:v>Zabir Al Nazi; Wei Peng</x:v>
      </x:c>
      <x:c r="E72" s="25" t="str">
        <x:v>Informatics</x:v>
      </x:c>
      <x:c r="F72" s="25" t="str">
        <x:v>10.3390/informatics11030057</x:v>
      </x:c>
      <x:c r="G72" s="25" t="str">
        <x:v>https://doi.org/10.3390/informatics11030057</x:v>
      </x:c>
      <x:c r="H72" s="25" t="str">
        <x:v>OpenAlex</x:v>
      </x:c>
      <x:c r="I72" s="25" t="str">
        <x:v>C8_AI_3D_authoring</x:v>
      </x:c>
      <x:c r="J72" s="25" t="str">
        <x:v>Exclude</x:v>
      </x:c>
      <x:c r="K72" s="25" t="str">
        <x:v>Exclude: topic mismatch</x:v>
      </x:c>
    </x:row>
    <x:row r="73">
      <x:c r="A73" s="20" t="str">
        <x:v>R0069</x:v>
      </x:c>
      <x:c r="B73" s="25" t="str">
        <x:v>Cognitive and Usability Issues in Geovisualization</x:v>
      </x:c>
      <x:c r="C73" s="25" t="n">
        <x:v>2001</x:v>
      </x:c>
      <x:c r="D73" s="25" t="str">
        <x:v>Terry A. Slocum; C.A. Blok; Bin Jiang; Alexandra Koussoulakou; Daniel R. Montello; Sven Fuhrmann; Nick Hedley</x:v>
      </x:c>
      <x:c r="E73" s="25" t="str">
        <x:v>Cartography and Geographic Information Science</x:v>
      </x:c>
      <x:c r="F73" s="25" t="str">
        <x:v>10.1559/152304001782173998</x:v>
      </x:c>
      <x:c r="G73" s="25" t="str">
        <x:v>https://doi.org/10.1559/152304001782173998</x:v>
      </x:c>
      <x:c r="H73" s="25" t="str">
        <x:v>OpenAlex</x:v>
      </x:c>
      <x:c r="I73" s="25" t="str">
        <x:v>C1_3D_mental_models</x:v>
      </x:c>
      <x:c r="J73" s="25" t="str">
        <x:v>Exclude</x:v>
      </x:c>
      <x:c r="K73" s="25" t="str">
        <x:v>Exclude: adjacent/redundant or insufficiently theory-generative for DC1</x:v>
      </x:c>
    </x:row>
    <x:row r="74">
      <x:c r="A74" s="20" t="str">
        <x:v>R0070</x:v>
      </x:c>
      <x:c r="B74" s="25" t="str">
        <x:v>The Robots Are Here: Navigating the Generative AI Revolution in Computing Education</x:v>
      </x:c>
      <x:c r="C74" s="25" t="n">
        <x:v>2023</x:v>
      </x:c>
      <x:c r="D74" s="25" t="str">
        <x:v>James Prather; Paul Denny; Juho Leinonen; Brett A. Becker; Ibrahim Albluwi; Michelle Craig; Hieke Keuning; Natalie Kiesler; Tobias Kohn; Andrew Luxton-Reilly; Stephen MacNeil; Andrew Petersen; Raymond Pettit; Brent N. Reeves; Jaromír Šavelka</x:v>
      </x:c>
      <x:c r="E74" s="25" t="str"/>
      <x:c r="F74" s="25" t="str">
        <x:v>10.1145/3623762.3633499</x:v>
      </x:c>
      <x:c r="G74" s="25" t="str">
        <x:v>https://doi.org/10.1145/3623762.3633499</x:v>
      </x:c>
      <x:c r="H74" s="25" t="str">
        <x:v>OpenAlex</x:v>
      </x:c>
      <x:c r="I74" s="25" t="str">
        <x:v>C7_creative_agency</x:v>
      </x:c>
      <x:c r="J74" s="25" t="str">
        <x:v>Exclude</x:v>
      </x:c>
      <x:c r="K74" s="25" t="str">
        <x:v>Exclude: topic mismatch</x:v>
      </x:c>
    </x:row>
    <x:row r="75">
      <x:c r="A75" s="20" t="str">
        <x:v>R0071</x:v>
      </x:c>
      <x:c r="B75" s="25" t="str">
        <x:v>A Review of User Interface Design for Interactive Machine Learning</x:v>
      </x:c>
      <x:c r="C75" s="25" t="n">
        <x:v>2018</x:v>
      </x:c>
      <x:c r="D75" s="25" t="str">
        <x:v>John J. Dudley; Per Ola Kristensson</x:v>
      </x:c>
      <x:c r="E75" s="25" t="str">
        <x:v>ACM Transactions on Interactive Intelligent Systems</x:v>
      </x:c>
      <x:c r="F75" s="25" t="str">
        <x:v>10.1145/3185517</x:v>
      </x:c>
      <x:c r="G75" s="25" t="str">
        <x:v>https://doi.org/10.1145/3185517</x:v>
      </x:c>
      <x:c r="H75" s="25" t="str">
        <x:v>OpenAlex</x:v>
      </x:c>
      <x:c r="I75" s="25" t="str">
        <x:v>C2_interaction_signals</x:v>
      </x:c>
      <x:c r="J75" s="25" t="str">
        <x:v>Exclude</x:v>
      </x:c>
      <x:c r="K75" s="25" t="str">
        <x:v>Exclude: topic mismatch</x:v>
      </x:c>
    </x:row>
    <x:row r="76">
      <x:c r="A76" s="20" t="str">
        <x:v>R0072</x:v>
      </x:c>
      <x:c r="B76" s="25" t="str">
        <x:v>A Survey on ChatGPT: AI–Generated Contents, Challenges, and Solutions</x:v>
      </x:c>
      <x:c r="C76" s="25" t="n">
        <x:v>2023</x:v>
      </x:c>
      <x:c r="D76" s="25" t="str">
        <x:v>Yuntao Wang; Yanghe Pan; Miao Yan; Zhou Su; Tom H. Luan</x:v>
      </x:c>
      <x:c r="E76" s="25" t="str">
        <x:v>IEEE Open Journal of the Computer Society</x:v>
      </x:c>
      <x:c r="F76" s="25" t="str">
        <x:v>10.1109/ojcs.2023.3300321</x:v>
      </x:c>
      <x:c r="G76" s="25" t="str">
        <x:v>https://doi.org/10.1109/ojcs.2023.3300321</x:v>
      </x:c>
      <x:c r="H76" s="25" t="str">
        <x:v>OpenAlex</x:v>
      </x:c>
      <x:c r="I76" s="25" t="str">
        <x:v>C7_creative_agency</x:v>
      </x:c>
      <x:c r="J76" s="25" t="str">
        <x:v>Exclude</x:v>
      </x:c>
      <x:c r="K76" s="25" t="str">
        <x:v>Exclude: adjacent/redundant or insufficiently theory-generative for DC1</x:v>
      </x:c>
    </x:row>
    <x:row r="77">
      <x:c r="A77" s="20" t="str">
        <x:v>R0073</x:v>
      </x:c>
      <x:c r="B77" s="25" t="str">
        <x:v>Worker and workplace Artificial Intelligence (AI) coexistence: Emerging themes and research agenda</x:v>
      </x:c>
      <x:c r="C77" s="25" t="n">
        <x:v>2023</x:v>
      </x:c>
      <x:c r="D77" s="25" t="str">
        <x:v>Araz Zirar; Syed Imran Ali; Nazrul Islam</x:v>
      </x:c>
      <x:c r="E77" s="25" t="str">
        <x:v>Technovation</x:v>
      </x:c>
      <x:c r="F77" s="25" t="str">
        <x:v>10.1016/j.technovation.2023.102747</x:v>
      </x:c>
      <x:c r="G77" s="25" t="str">
        <x:v>https://doi.org/10.1016/j.technovation.2023.102747</x:v>
      </x:c>
      <x:c r="H77" s="25" t="str">
        <x:v>OpenAlex</x:v>
      </x:c>
      <x:c r="I77" s="25" t="str">
        <x:v>C3_mixed_initiative_cocreation</x:v>
      </x:c>
      <x:c r="J77" s="25" t="str">
        <x:v>Exclude</x:v>
      </x:c>
      <x:c r="K77" s="25" t="str">
        <x:v>Exclude: topic mismatch</x:v>
      </x:c>
    </x:row>
    <x:row r="78">
      <x:c r="A78" s="20" t="str">
        <x:v>R0074</x:v>
      </x:c>
      <x:c r="B78" s="25" t="str">
        <x:v>Speculative futures on ChatGPT and generative artificial intelligence (AI): A collective reflection from the educational landscape</x:v>
      </x:c>
      <x:c r="C78" s="25" t="n">
        <x:v>2023</x:v>
      </x:c>
      <x:c r="D78" s="25" t="str">
        <x:v>Aras Bozkurt; J. Xiao; Steven Imanuel Lambert; A. Pazurek; H. Crompton; S. Koseoglu; Robert Farrow; Melissa Bond; Chrissi Nerantzi; Selina Honeychurch; Maha Bali; Jon Dron; Kamran Mir; Bonnie Stewart; Eamon Costello; Jon Mason; Christian M. Stracke; E. Romero-Hall; A. Koutropoulos; C. M. Toquero; L. Singh; A. Tlili; Kyungmee Lee; Mark Nichols; E. Ossiannilsson; M. Brown; V. Irvine; Juliana Elisa Raffaghelli; G. Santos-Hermosa; Orna Farrell; T. Adam; Y. L. Thong; S. Sani-Bozkurt; R. C. Sharma; Stefan Hrastinski; Petar Jandrić</x:v>
      </x:c>
      <x:c r="E78" s="25" t="str">
        <x:v>Dublin City University Open Access Institutional Repository (Dublin City University)</x:v>
      </x:c>
      <x:c r="F78" s="25" t="str">
        <x:v>10.5281/zenodo.7636568</x:v>
      </x:c>
      <x:c r="G78" s="25" t="str">
        <x:v>https://openalex.org/W4327672398</x:v>
      </x:c>
      <x:c r="H78" s="25" t="str">
        <x:v>OpenAlex</x:v>
      </x:c>
      <x:c r="I78" s="25" t="str">
        <x:v>C3_mixed_initiative_cocreation</x:v>
      </x:c>
      <x:c r="J78" s="25" t="str">
        <x:v>Exclude</x:v>
      </x:c>
      <x:c r="K78" s="25" t="str">
        <x:v>Exclude: topic mismatch</x:v>
      </x:c>
    </x:row>
    <x:row r="79">
      <x:c r="A79" s="20" t="str">
        <x:v>R0075</x:v>
      </x:c>
      <x:c r="B79" s="25" t="str">
        <x:v>The uselessness of AI ethics</x:v>
      </x:c>
      <x:c r="C79" s="25" t="n">
        <x:v>2022</x:v>
      </x:c>
      <x:c r="D79" s="25" t="str">
        <x:v>Luke Munn</x:v>
      </x:c>
      <x:c r="E79" s="25" t="str">
        <x:v>AI and Ethics</x:v>
      </x:c>
      <x:c r="F79" s="25" t="str">
        <x:v>10.1007/s43681-022-00209-w</x:v>
      </x:c>
      <x:c r="G79" s="25" t="str">
        <x:v>https://doi.org/10.1007/s43681-022-00209-w</x:v>
      </x:c>
      <x:c r="H79" s="25" t="str">
        <x:v>OpenAlex</x:v>
      </x:c>
      <x:c r="I79" s="25" t="str">
        <x:v>C7_creative_agency</x:v>
      </x:c>
      <x:c r="J79" s="25" t="str">
        <x:v>Exclude</x:v>
      </x:c>
      <x:c r="K79" s="25" t="str">
        <x:v>Exclude: topic mismatch</x:v>
      </x:c>
    </x:row>
    <x:row r="80">
      <x:c r="A80" s="20" t="str">
        <x:v>R0076</x:v>
      </x:c>
      <x:c r="B80" s="25" t="str">
        <x:v>Rethinking the entwinement between artificial intelligence and human learning: What capabilities do learners need for a world with AI?</x:v>
      </x:c>
      <x:c r="C80" s="25" t="n">
        <x:v>2022</x:v>
      </x:c>
      <x:c r="D80" s="25" t="str">
        <x:v>Lina Markauskaitė; Rebecca Marrone; Oleksandra Poquet; Simon Knight; Roberto Martínez‐Maldonado; Sarah Howard; Jo Tondeur; Maarten de Laat; Simon Buckingham Shum; Dragan Gašević; George Siemens</x:v>
      </x:c>
      <x:c r="E80" s="25" t="str">
        <x:v>Computers and Education Artificial Intelligence</x:v>
      </x:c>
      <x:c r="F80" s="25" t="str">
        <x:v>10.1016/j.caeai.2022.100056</x:v>
      </x:c>
      <x:c r="G80" s="25" t="str">
        <x:v>https://doi.org/10.1016/j.caeai.2022.100056</x:v>
      </x:c>
      <x:c r="H80" s="25" t="str">
        <x:v>OpenAlex</x:v>
      </x:c>
      <x:c r="I80" s="25" t="str">
        <x:v>C7_creative_agency</x:v>
      </x:c>
      <x:c r="J80" s="25" t="str">
        <x:v>Exclude</x:v>
      </x:c>
      <x:c r="K80" s="25" t="str">
        <x:v>Exclude: topic mismatch</x:v>
      </x:c>
    </x:row>
    <x:row r="81">
      <x:c r="A81" s="20" t="str">
        <x:v>R0077</x:v>
      </x:c>
      <x:c r="B81" s="25" t="str">
        <x:v>The Evolution of Altruism in Humans</x:v>
      </x:c>
      <x:c r="C81" s="25" t="n">
        <x:v>2014</x:v>
      </x:c>
      <x:c r="D81" s="25" t="str">
        <x:v>Robert Kurzban; Maxwell N. Burton-Chellew; Stuart A. West</x:v>
      </x:c>
      <x:c r="E81" s="25" t="str">
        <x:v>Annual Review of Psychology</x:v>
      </x:c>
      <x:c r="F81" s="25" t="str">
        <x:v>10.1146/annurev-psych-010814-015355</x:v>
      </x:c>
      <x:c r="G81" s="25" t="str">
        <x:v>https://doi.org/10.1146/annurev-psych-010814-015355</x:v>
      </x:c>
      <x:c r="H81" s="25" t="str">
        <x:v>OpenAlex</x:v>
      </x:c>
      <x:c r="I81" s="25" t="str">
        <x:v>C4_uncertainty_shared_autonomy</x:v>
      </x:c>
      <x:c r="J81" s="25" t="str">
        <x:v>Exclude</x:v>
      </x:c>
      <x:c r="K81" s="25" t="str">
        <x:v>Exclude: adjacent/redundant or insufficiently theory-generative for DC1</x:v>
      </x:c>
    </x:row>
    <x:row r="82">
      <x:c r="A82" s="20" t="str">
        <x:v>R0078</x:v>
      </x:c>
      <x:c r="B82" s="25" t="str">
        <x:v>Noncommand user interfaces</x:v>
      </x:c>
      <x:c r="C82" s="25" t="n">
        <x:v>1993</x:v>
      </x:c>
      <x:c r="D82" s="25" t="str">
        <x:v>Jakob Nielsen</x:v>
      </x:c>
      <x:c r="E82" s="25" t="str">
        <x:v>Communications of the ACM</x:v>
      </x:c>
      <x:c r="F82" s="25" t="str">
        <x:v>10.1145/255950.153582</x:v>
      </x:c>
      <x:c r="G82" s="25" t="str">
        <x:v>https://doi.org/10.1145/255950.153582</x:v>
      </x:c>
      <x:c r="H82" s="25" t="str">
        <x:v>OpenAlex</x:v>
      </x:c>
      <x:c r="I82" s="25" t="str">
        <x:v>C6_frontend_GUI_intent</x:v>
      </x:c>
      <x:c r="J82" s="25" t="str">
        <x:v>Exclude</x:v>
      </x:c>
      <x:c r="K82" s="25" t="str">
        <x:v>Exclude: topic mismatch</x:v>
      </x:c>
    </x:row>
    <x:row r="83">
      <x:c r="A83" s="20" t="str">
        <x:v>R0079</x:v>
      </x:c>
      <x:c r="B83" s="25" t="str">
        <x:v>Generative AI in Medical Practice: In-Depth Exploration of Privacy and Security Challenges</x:v>
      </x:c>
      <x:c r="C83" s="25" t="n">
        <x:v>2024</x:v>
      </x:c>
      <x:c r="D83" s="25" t="str">
        <x:v>Yan Chen; Pouyan Esmaeilzadeh</x:v>
      </x:c>
      <x:c r="E83" s="25" t="str">
        <x:v>Journal of Medical Internet Research</x:v>
      </x:c>
      <x:c r="F83" s="25" t="str">
        <x:v>10.2196/53008</x:v>
      </x:c>
      <x:c r="G83" s="25" t="str">
        <x:v>https://doi.org/10.2196/53008</x:v>
      </x:c>
      <x:c r="H83" s="25" t="str">
        <x:v>OpenAlex</x:v>
      </x:c>
      <x:c r="I83" s="25" t="str">
        <x:v>C3_mixed_initiative_cocreation</x:v>
      </x:c>
      <x:c r="J83" s="25" t="str">
        <x:v>Exclude</x:v>
      </x:c>
      <x:c r="K83" s="25" t="str">
        <x:v>Exclude: topic mismatch</x:v>
      </x:c>
    </x:row>
    <x:row r="84">
      <x:c r="A84" s="20" t="str">
        <x:v>R0080</x:v>
      </x:c>
      <x:c r="B84" s="25" t="str">
        <x:v>The Spatial Presence Experience Scale (SPES)</x:v>
      </x:c>
      <x:c r="C84" s="25" t="n">
        <x:v>2015</x:v>
      </x:c>
      <x:c r="D84" s="25" t="str">
        <x:v>Tilo Hartmann; Werner Wirth; Holger Schramm; Christoph Klimmt; Peter Vorderer; André Gysbers; Saskia Böcking; Niklas Ravaja; Jari Laarni; Timo Saari; Feliz Ribeiro Gouveia; Ana Sacau</x:v>
      </x:c>
      <x:c r="E84" s="25" t="str">
        <x:v>Journal of Media Psychology Theories Methods and Applications</x:v>
      </x:c>
      <x:c r="F84" s="25" t="str">
        <x:v>10.1027/1864-1105/a000137</x:v>
      </x:c>
      <x:c r="G84" s="25" t="str">
        <x:v>https://doi.org/10.1027/1864-1105/a000137</x:v>
      </x:c>
      <x:c r="H84" s="25" t="str">
        <x:v>OpenAlex</x:v>
      </x:c>
      <x:c r="I84" s="25" t="str">
        <x:v>C1_3D_mental_models</x:v>
      </x:c>
      <x:c r="J84" s="25" t="str">
        <x:v>Exclude</x:v>
      </x:c>
      <x:c r="K84" s="25" t="str">
        <x:v>Exclude: topic mismatch</x:v>
      </x:c>
    </x:row>
    <x:row r="85">
      <x:c r="A85" s="20" t="str">
        <x:v>R0081</x:v>
      </x:c>
      <x:c r="B85" s="25" t="str">
        <x:v>When large language models meet personalization: perspectives of challenges and opportunities</x:v>
      </x:c>
      <x:c r="C85" s="25" t="n">
        <x:v>2024</x:v>
      </x:c>
      <x:c r="D85" s="25" t="str">
        <x:v>Jing Chen; Zheng Liu; Xu Huang; Chenwang Wu; Qi Liu; Gangwei Jiang; Yuanhao Pu; Yuxuan Lei; Xiaolong Chen; Xingmei Wang; Kai Zheng; Defu Lian; Enhong Chen</x:v>
      </x:c>
      <x:c r="E85" s="25" t="str">
        <x:v>World Wide Web</x:v>
      </x:c>
      <x:c r="F85" s="25" t="str">
        <x:v>10.1007/s11280-024-01276-1</x:v>
      </x:c>
      <x:c r="G85" s="25" t="str">
        <x:v>https://doi.org/10.1007/s11280-024-01276-1</x:v>
      </x:c>
      <x:c r="H85" s="25" t="str">
        <x:v>OpenAlex</x:v>
      </x:c>
      <x:c r="I85" s="25" t="str">
        <x:v>C6_frontend_GUI_intent</x:v>
      </x:c>
      <x:c r="J85" s="25" t="str">
        <x:v>Exclude</x:v>
      </x:c>
      <x:c r="K85" s="25" t="str">
        <x:v>Exclude: topic mismatch</x:v>
      </x:c>
    </x:row>
    <x:row r="86">
      <x:c r="A86" s="20" t="str">
        <x:v>R0082</x:v>
      </x:c>
      <x:c r="B86" s="25" t="str">
        <x:v>A Review of Trustworthy and Explainable Artificial Intelligence (XAI)</x:v>
      </x:c>
      <x:c r="C86" s="25" t="n">
        <x:v>2023</x:v>
      </x:c>
      <x:c r="D86" s="25" t="str">
        <x:v>Vinay Chamola; Vikas Hassija; A. Razia Sulthana; Debshishu Ghosh; Divyansh Dhingra; Biplab Sikdar</x:v>
      </x:c>
      <x:c r="E86" s="25" t="str">
        <x:v>IEEE Access</x:v>
      </x:c>
      <x:c r="F86" s="25" t="str">
        <x:v>10.1109/access.2023.3294569</x:v>
      </x:c>
      <x:c r="G86" s="25" t="str">
        <x:v>https://doi.org/10.1109/access.2023.3294569</x:v>
      </x:c>
      <x:c r="H86" s="25" t="str">
        <x:v>OpenAlex</x:v>
      </x:c>
      <x:c r="I86" s="25" t="str">
        <x:v>C7_creative_agency</x:v>
      </x:c>
      <x:c r="J86" s="25" t="str">
        <x:v>Exclude</x:v>
      </x:c>
      <x:c r="K86" s="25" t="str">
        <x:v>Exclude: adjacent/redundant or insufficiently theory-generative for DC1</x:v>
      </x:c>
    </x:row>
    <x:row r="87">
      <x:c r="A87" s="20" t="str">
        <x:v>R0083</x:v>
      </x:c>
      <x:c r="B87" s="25" t="str">
        <x:v>Artificial intelligence in innovation management: A review of innovation capabilities and a taxonomy of &lt;scp&gt;AI&lt;/scp&gt; applications</x:v>
      </x:c>
      <x:c r="C87" s="25" t="n">
        <x:v>2023</x:v>
      </x:c>
      <x:c r="D87" s="25" t="str">
        <x:v>Fábio Gama; Stefano Magistretti</x:v>
      </x:c>
      <x:c r="E87" s="25" t="str">
        <x:v>Journal of Product Innovation Management</x:v>
      </x:c>
      <x:c r="F87" s="25" t="str">
        <x:v>10.1111/jpim.12698</x:v>
      </x:c>
      <x:c r="G87" s="25" t="str">
        <x:v>https://doi.org/10.1111/jpim.12698</x:v>
      </x:c>
      <x:c r="H87" s="25" t="str">
        <x:v>OpenAlex</x:v>
      </x:c>
      <x:c r="I87" s="25" t="str">
        <x:v>C3_mixed_initiative_cocreation</x:v>
      </x:c>
      <x:c r="J87" s="25" t="str">
        <x:v>Exclude</x:v>
      </x:c>
      <x:c r="K87" s="25" t="str">
        <x:v>Exclude: topic mismatch</x:v>
      </x:c>
    </x:row>
    <x:row r="88">
      <x:c r="A88" s="20" t="str">
        <x:v>R0084</x:v>
      </x:c>
      <x:c r="B88" s="25" t="str">
        <x:v>Let Me Imagine That for You: Transforming the Retail Frontline Through Augmenting Customer Mental Imagery Ability</x:v>
      </x:c>
      <x:c r="C88" s="25" t="n">
        <x:v>2019</x:v>
      </x:c>
      <x:c r="D88" s="25" t="str">
        <x:v>Jonas Heller; Mathew Chylinski; Ko de Ruyter; Dominik Mahr; Debbie Keeling</x:v>
      </x:c>
      <x:c r="E88" s="25" t="str">
        <x:v>Journal of Retailing</x:v>
      </x:c>
      <x:c r="F88" s="25" t="str">
        <x:v>10.1016/j.jretai.2019.03.005</x:v>
      </x:c>
      <x:c r="G88" s="25" t="str">
        <x:v>https://doi.org/10.1016/j.jretai.2019.03.005</x:v>
      </x:c>
      <x:c r="H88" s="25" t="str">
        <x:v>OpenAlex</x:v>
      </x:c>
      <x:c r="I88" s="25" t="str">
        <x:v>C1_3D_mental_models</x:v>
      </x:c>
      <x:c r="J88" s="25" t="str">
        <x:v>Exclude</x:v>
      </x:c>
      <x:c r="K88" s="25" t="str">
        <x:v>Exclude: topic mismatch</x:v>
      </x:c>
    </x:row>
    <x:row r="89">
      <x:c r="A89" s="20" t="str">
        <x:v>R0085</x:v>
      </x:c>
      <x:c r="B89" s="25" t="str">
        <x:v>Extended Reality in Spatial Sciences: A Review of Research Challenges and Future Directions</x:v>
      </x:c>
      <x:c r="C89" s="25" t="n">
        <x:v>2020</x:v>
      </x:c>
      <x:c r="D89" s="25" t="str">
        <x:v>Arzu Çöltekin; Ian Lochhead; Marguerite Madden; Sidonie Christophe; Alexandre Devaux; Christopher Pettit; Oliver Lock; Shashwat Shukla; Lukáš Heřman; Zdeněk Stachoň; Petr Kubíček; Dajana Snopková; Sérgio Bernardes; Nick Hedley</x:v>
      </x:c>
      <x:c r="E89" s="25" t="str">
        <x:v>ISPRS International Journal of Geo-Information</x:v>
      </x:c>
      <x:c r="F89" s="25" t="str">
        <x:v>10.3390/ijgi9070439</x:v>
      </x:c>
      <x:c r="G89" s="25" t="str">
        <x:v>https://doi.org/10.3390/ijgi9070439</x:v>
      </x:c>
      <x:c r="H89" s="25" t="str">
        <x:v>OpenAlex</x:v>
      </x:c>
      <x:c r="I89" s="25" t="str">
        <x:v>C1_3D_mental_models</x:v>
      </x:c>
      <x:c r="J89" s="25" t="str">
        <x:v>Exclude</x:v>
      </x:c>
      <x:c r="K89" s="25" t="str">
        <x:v>Exclude: adjacent/redundant or insufficiently theory-generative for DC1</x:v>
      </x:c>
    </x:row>
    <x:row r="90">
      <x:c r="A90" s="20" t="str">
        <x:v>R0086</x:v>
      </x:c>
      <x:c r="B90" s="25" t="str">
        <x:v>Use of Intelligent Voice Assistants by Older Adults with Low Technology Use</x:v>
      </x:c>
      <x:c r="C90" s="25" t="n">
        <x:v>2020</x:v>
      </x:c>
      <x:c r="D90" s="25" t="str">
        <x:v>Alisha Pradhan; Amanda Lazar; Leah Findlater</x:v>
      </x:c>
      <x:c r="E90" s="25" t="str">
        <x:v>ACM Transactions on Computer-Human Interaction</x:v>
      </x:c>
      <x:c r="F90" s="25" t="str">
        <x:v>10.1145/3373759</x:v>
      </x:c>
      <x:c r="G90" s="25" t="str">
        <x:v>https://doi.org/10.1145/3373759</x:v>
      </x:c>
      <x:c r="H90" s="25" t="str">
        <x:v>OpenAlex</x:v>
      </x:c>
      <x:c r="I90" s="25" t="str">
        <x:v>C6_frontend_GUI_intent</x:v>
      </x:c>
      <x:c r="J90" s="25" t="str">
        <x:v>Exclude</x:v>
      </x:c>
      <x:c r="K90" s="25" t="str">
        <x:v>Exclude: adjacent/redundant or insufficiently theory-generative for DC1</x:v>
      </x:c>
    </x:row>
    <x:row r="91">
      <x:c r="A91" s="20" t="str">
        <x:v>R0087</x:v>
      </x:c>
      <x:c r="B91" s="25" t="str">
        <x:v>The Role of Trust in Human-Robot Interaction</x:v>
      </x:c>
      <x:c r="C91" s="25" t="n">
        <x:v>2018</x:v>
      </x:c>
      <x:c r="D91" s="25" t="str">
        <x:v>Michael Lewis; Katia Sycara; Phillip Walker</x:v>
      </x:c>
      <x:c r="E91" s="25" t="str">
        <x:v>Studies in systems, decision and control</x:v>
      </x:c>
      <x:c r="F91" s="25" t="str">
        <x:v>10.1007/978-3-319-64816-3_8</x:v>
      </x:c>
      <x:c r="G91" s="25" t="str">
        <x:v>https://doi.org/10.1007/978-3-319-64816-3_8</x:v>
      </x:c>
      <x:c r="H91" s="25" t="str">
        <x:v>OpenAlex</x:v>
      </x:c>
      <x:c r="I91" s="25" t="str">
        <x:v>C2_interaction_signals; C4_uncertainty_shared_autonomy</x:v>
      </x:c>
      <x:c r="J91" s="25" t="str">
        <x:v>Exclude</x:v>
      </x:c>
      <x:c r="K91" s="25" t="str">
        <x:v>Exclude: topic mismatch</x:v>
      </x:c>
    </x:row>
    <x:row r="92">
      <x:c r="A92" s="20" t="str">
        <x:v>R0088</x:v>
      </x:c>
      <x:c r="B92" s="25" t="str">
        <x:v>Brain-Computer Interfacing for Intelligent Systems</x:v>
      </x:c>
      <x:c r="C92" s="25" t="n">
        <x:v>2008</x:v>
      </x:c>
      <x:c r="D92" s="25" t="str">
        <x:v>Anton Nijholt; Desney Tan</x:v>
      </x:c>
      <x:c r="E92" s="25" t="str">
        <x:v>IEEE Intelligent Systems</x:v>
      </x:c>
      <x:c r="F92" s="25" t="str">
        <x:v>10.1109/mis.2008.41</x:v>
      </x:c>
      <x:c r="G92" s="25" t="str">
        <x:v>https://doi.org/10.1109/mis.2008.41</x:v>
      </x:c>
      <x:c r="H92" s="25" t="str">
        <x:v>OpenAlex</x:v>
      </x:c>
      <x:c r="I92" s="25" t="str">
        <x:v>C2_interaction_signals</x:v>
      </x:c>
      <x:c r="J92" s="25" t="str">
        <x:v>Exclude</x:v>
      </x:c>
      <x:c r="K92" s="25" t="str">
        <x:v>Exclude: adjacent/redundant or insufficiently theory-generative for DC1</x:v>
      </x:c>
    </x:row>
    <x:row r="93">
      <x:c r="A93" s="20" t="str">
        <x:v>R0089</x:v>
      </x:c>
      <x:c r="B93" s="25" t="str">
        <x:v>Advancing Conservation by Understanding and Influencing Human Behavior</x:v>
      </x:c>
      <x:c r="C93" s="25" t="n">
        <x:v>2016</x:v>
      </x:c>
      <x:c r="D93" s="25" t="str">
        <x:v>Sheila M. W. Reddy; Jensen Montambault; Yuta J. Masuda; Elizabeth A. Keenan; W. H. Butler; Jonathan R. B. Fisher; Stanley T. Asah; Ayelet Gneezy</x:v>
      </x:c>
      <x:c r="E93" s="25" t="str">
        <x:v>Conservation Letters</x:v>
      </x:c>
      <x:c r="F93" s="25" t="str">
        <x:v>10.1111/conl.12252</x:v>
      </x:c>
      <x:c r="G93" s="25" t="str">
        <x:v>https://doi.org/10.1111/conl.12252</x:v>
      </x:c>
      <x:c r="H93" s="25" t="str">
        <x:v>OpenAlex</x:v>
      </x:c>
      <x:c r="I93" s="25" t="str">
        <x:v>C4_uncertainty_shared_autonomy</x:v>
      </x:c>
      <x:c r="J93" s="25" t="str">
        <x:v>Exclude</x:v>
      </x:c>
      <x:c r="K93" s="25" t="str">
        <x:v>Exclude: topic mismatch</x:v>
      </x:c>
    </x:row>
    <x:row r="94">
      <x:c r="A94" s="20" t="str">
        <x:v>R0090</x:v>
      </x:c>
      <x:c r="B94" s="25" t="str">
        <x:v>Synthetic Lies: Understanding AI-Generated Misinformation and Evaluating Algorithmic and Human Solutions</x:v>
      </x:c>
      <x:c r="C94" s="25" t="n">
        <x:v>2023</x:v>
      </x:c>
      <x:c r="D94" s="25" t="str">
        <x:v>Jiawei Zhou; Yixuan Zhang; Qianni Luo; Andrea G. Parker; Munmun De Choudhury</x:v>
      </x:c>
      <x:c r="E94" s="25" t="str"/>
      <x:c r="F94" s="25" t="str">
        <x:v>10.1145/3544548.3581318</x:v>
      </x:c>
      <x:c r="G94" s="25" t="str">
        <x:v>https://doi.org/10.1145/3544548.3581318</x:v>
      </x:c>
      <x:c r="H94" s="25" t="str">
        <x:v>OpenAlex</x:v>
      </x:c>
      <x:c r="I94" s="25" t="str">
        <x:v>C7_creative_agency</x:v>
      </x:c>
      <x:c r="J94" s="25" t="str">
        <x:v>Exclude</x:v>
      </x:c>
      <x:c r="K94" s="25" t="str">
        <x:v>Exclude: topic mismatch</x:v>
      </x:c>
    </x:row>
    <x:row r="95">
      <x:c r="A95" s="20" t="str">
        <x:v>R0091</x:v>
      </x:c>
      <x:c r="B95" s="25" t="str">
        <x:v>The key role of innovation and organizational resilience in improving business performance: A mixed-methods approach</x:v>
      </x:c>
      <x:c r="C95" s="25" t="n">
        <x:v>2024</x:v>
      </x:c>
      <x:c r="D95" s="25" t="str">
        <x:v>Aurora Garrido‐Moreno; Rodrigo Martín‐Rojas; Victor Jesús García Morales</x:v>
      </x:c>
      <x:c r="E95" s="25" t="str">
        <x:v>International Journal of Information Management</x:v>
      </x:c>
      <x:c r="F95" s="25" t="str">
        <x:v>10.1016/j.ijinfomgt.2024.102777</x:v>
      </x:c>
      <x:c r="G95" s="25" t="str">
        <x:v>https://doi.org/10.1016/j.ijinfomgt.2024.102777</x:v>
      </x:c>
      <x:c r="H95" s="25" t="str">
        <x:v>OpenAlex</x:v>
      </x:c>
      <x:c r="I95" s="25" t="str">
        <x:v>C3_mixed_initiative_cocreation</x:v>
      </x:c>
      <x:c r="J95" s="25" t="str">
        <x:v>Exclude</x:v>
      </x:c>
      <x:c r="K95" s="25" t="str">
        <x:v>Exclude: topic mismatch</x:v>
      </x:c>
    </x:row>
    <x:row r="96">
      <x:c r="A96" s="20" t="str">
        <x:v>R0092</x:v>
      </x:c>
      <x:c r="B96" s="25" t="str">
        <x:v>Novice-AI Music Co-Creation via AI-Steering Tools for Deep Generative Models</x:v>
      </x:c>
      <x:c r="C96" s="25" t="n">
        <x:v>2020</x:v>
      </x:c>
      <x:c r="D96" s="25" t="str">
        <x:v>Ryan Louie; Andy Coenen; Cheng Zhi Huang; Michael Terry; Carrie J. Cai</x:v>
      </x:c>
      <x:c r="E96" s="25" t="str"/>
      <x:c r="F96" s="25" t="str">
        <x:v>10.1145/3313831.3376739</x:v>
      </x:c>
      <x:c r="G96" s="25" t="str">
        <x:v>https://doi.org/10.1145/3313831.3376739</x:v>
      </x:c>
      <x:c r="H96" s="25" t="str">
        <x:v>OpenAlex</x:v>
      </x:c>
      <x:c r="I96" s="25" t="str">
        <x:v>C3_mixed_initiative_cocreation</x:v>
      </x:c>
      <x:c r="J96" s="25" t="str">
        <x:v>Include</x:v>
      </x:c>
      <x:c r="K96" s="25" t="str">
        <x:v>Included in focused synthesis</x:v>
      </x:c>
    </x:row>
    <x:row r="97">
      <x:c r="A97" s="20" t="str">
        <x:v>R0093</x:v>
      </x:c>
      <x:c r="B97" s="25" t="str">
        <x:v>A Review of Machine Learning and Deep Learning for Object Detection, Semantic Segmentation, and Human Action Recognition in Machine and Robotic Vision</x:v>
      </x:c>
      <x:c r="C97" s="25" t="n">
        <x:v>2024</x:v>
      </x:c>
      <x:c r="D97" s="25" t="str">
        <x:v>Nikoleta Manakitsa; George S. Maraslidis; Lazaros Moysis; George F. Fragulis</x:v>
      </x:c>
      <x:c r="E97" s="25" t="str">
        <x:v>Technologies</x:v>
      </x:c>
      <x:c r="F97" s="25" t="str">
        <x:v>10.3390/technologies12020015</x:v>
      </x:c>
      <x:c r="G97" s="25" t="str">
        <x:v>https://doi.org/10.3390/technologies12020015</x:v>
      </x:c>
      <x:c r="H97" s="25" t="str">
        <x:v>OpenAlex</x:v>
      </x:c>
      <x:c r="I97" s="25" t="str">
        <x:v>C8_AI_3D_authoring</x:v>
      </x:c>
      <x:c r="J97" s="25" t="str">
        <x:v>Exclude</x:v>
      </x:c>
      <x:c r="K97" s="25" t="str">
        <x:v>Exclude: topic mismatch</x:v>
      </x:c>
    </x:row>
    <x:row r="98">
      <x:c r="A98" s="20" t="str">
        <x:v>R0094</x:v>
      </x:c>
      <x:c r="B98" s="25" t="str">
        <x:v>The Rise and Potential of Large Language Model Based Agents: A Survey</x:v>
      </x:c>
      <x:c r="C98" s="25" t="n">
        <x:v>2023</x:v>
      </x:c>
      <x:c r="D98" s="25" t="str">
        <x:v>Zhiheng Xi; Wen-Xiang Chen; Xin Guo; Wei He; Yiwen Ding; Boyang Hong; Ming Zhang; Junzhe Wang; Senjie Jin; Enyu Zhou; Rui Zheng; Xiaoran Fan; Xiao Wang; Limao Xiong; Yuhao Zhou; Weiran Wang; Changhao Jiang; Yicheng Zou; Xiangyang Liu; Zhangyue Yin; Shihan Dou; Rongxiang Weng; Wensen Cheng; Qi Zhang; Wenjuan Qin; Yongyan Zheng; Xipeng Qiu; Huang, Xuanjing; Tao Gui</x:v>
      </x:c>
      <x:c r="E98" s="25" t="str">
        <x:v>arXiv (Cornell University)</x:v>
      </x:c>
      <x:c r="F98" s="25" t="str">
        <x:v>10.48550/arxiv.2309.07864</x:v>
      </x:c>
      <x:c r="G98" s="25" t="str">
        <x:v>http://arxiv.org/abs/2309.07864</x:v>
      </x:c>
      <x:c r="H98" s="25" t="str">
        <x:v>OpenAlex</x:v>
      </x:c>
      <x:c r="I98" s="25" t="str">
        <x:v>C1_3D_mental_models; C8_AI_3D_authoring</x:v>
      </x:c>
      <x:c r="J98" s="25" t="str">
        <x:v>Exclude</x:v>
      </x:c>
      <x:c r="K98" s="25" t="str">
        <x:v>Exclude: topic mismatch</x:v>
      </x:c>
    </x:row>
    <x:row r="99">
      <x:c r="A99" s="20" t="str">
        <x:v>R0095</x:v>
      </x:c>
      <x:c r="B99" s="25" t="str">
        <x:v>AI in the Foreign Language Classroom: A Pedagogical Overview of Automated Writing Assistance Tools</x:v>
      </x:c>
      <x:c r="C99" s="25" t="n">
        <x:v>2023</x:v>
      </x:c>
      <x:c r="D99" s="25" t="str">
        <x:v>Wael Alharbi</x:v>
      </x:c>
      <x:c r="E99" s="25" t="str">
        <x:v>Education Research International</x:v>
      </x:c>
      <x:c r="F99" s="25" t="str">
        <x:v>10.1155/2023/4253331</x:v>
      </x:c>
      <x:c r="G99" s="25" t="str">
        <x:v>https://doi.org/10.1155/2023/4253331</x:v>
      </x:c>
      <x:c r="H99" s="25" t="str">
        <x:v>OpenAlex</x:v>
      </x:c>
      <x:c r="I99" s="25" t="str">
        <x:v>C7_creative_agency</x:v>
      </x:c>
      <x:c r="J99" s="25" t="str">
        <x:v>Exclude</x:v>
      </x:c>
      <x:c r="K99" s="25" t="str">
        <x:v>Exclude: topic mismatch</x:v>
      </x:c>
    </x:row>
    <x:row r="100">
      <x:c r="A100" s="20" t="str">
        <x:v>R0096</x:v>
      </x:c>
      <x:c r="B100" s="25" t="str">
        <x:v>Proactive human–robot collaboration: Mutual-cognitive, predictable, and self-organising perspectives</x:v>
      </x:c>
      <x:c r="C100" s="25" t="n">
        <x:v>2022</x:v>
      </x:c>
      <x:c r="D100" s="25" t="str">
        <x:v>Shufei Li; Pai Zheng; Sichao Liu; Zuoxu Wang; Xi Vincent Wang; Lianyu Zheng; Lihui Wang</x:v>
      </x:c>
      <x:c r="E100" s="25" t="str">
        <x:v>Robotics and Computer-Integrated Manufacturing</x:v>
      </x:c>
      <x:c r="F100" s="25" t="str">
        <x:v>10.1016/j.rcim.2022.102510</x:v>
      </x:c>
      <x:c r="G100" s="25" t="str">
        <x:v>https://doi.org/10.1016/j.rcim.2022.102510</x:v>
      </x:c>
      <x:c r="H100" s="25" t="str">
        <x:v>OpenAlex</x:v>
      </x:c>
      <x:c r="I100" s="25" t="str">
        <x:v>C4_uncertainty_shared_autonomy</x:v>
      </x:c>
      <x:c r="J100" s="25" t="str">
        <x:v>Exclude</x:v>
      </x:c>
      <x:c r="K100" s="25" t="str">
        <x:v>Exclude: adjacent/redundant or insufficiently theory-generative for DC1</x:v>
      </x:c>
    </x:row>
    <x:row r="101">
      <x:c r="A101" s="20" t="str">
        <x:v>R0097</x:v>
      </x:c>
      <x:c r="B101" s="25" t="str">
        <x:v>Can Generative AI improve social science?</x:v>
      </x:c>
      <x:c r="C101" s="25" t="n">
        <x:v>2024</x:v>
      </x:c>
      <x:c r="D101" s="25" t="str">
        <x:v>Christopher A. Bail</x:v>
      </x:c>
      <x:c r="E101" s="25" t="str">
        <x:v>Proceedings of the National Academy of Sciences</x:v>
      </x:c>
      <x:c r="F101" s="25" t="str">
        <x:v>10.1073/pnas.2314021121</x:v>
      </x:c>
      <x:c r="G101" s="25" t="str">
        <x:v>https://doi.org/10.1073/pnas.2314021121</x:v>
      </x:c>
      <x:c r="H101" s="25" t="str">
        <x:v>OpenAlex</x:v>
      </x:c>
      <x:c r="I101" s="25" t="str">
        <x:v>C7_creative_agency</x:v>
      </x:c>
      <x:c r="J101" s="25" t="str">
        <x:v>Exclude</x:v>
      </x:c>
      <x:c r="K101" s="25" t="str">
        <x:v>Exclude: topic mismatch</x:v>
      </x:c>
    </x:row>
    <x:row r="102">
      <x:c r="A102" s="20" t="str">
        <x:v>R0098</x:v>
      </x:c>
      <x:c r="B102" s="25" t="str">
        <x:v>The Crowdless Future? Generative AI and Creative Problem-Solving</x:v>
      </x:c>
      <x:c r="C102" s="25" t="n">
        <x:v>2024</x:v>
      </x:c>
      <x:c r="D102" s="25" t="str">
        <x:v>Léonard Boussioux; Jacqueline N. Lane; Miaomiao Zhang; Vladimir Jaćimović; Karim R. Lakhani</x:v>
      </x:c>
      <x:c r="E102" s="25" t="str">
        <x:v>Organization Science</x:v>
      </x:c>
      <x:c r="F102" s="25" t="str">
        <x:v>10.1287/orsc.2023.18430</x:v>
      </x:c>
      <x:c r="G102" s="25" t="str">
        <x:v>https://doi.org/10.1287/orsc.2023.18430</x:v>
      </x:c>
      <x:c r="H102" s="25" t="str">
        <x:v>OpenAlex</x:v>
      </x:c>
      <x:c r="I102" s="25" t="str">
        <x:v>C7_creative_agency</x:v>
      </x:c>
      <x:c r="J102" s="25" t="str">
        <x:v>Exclude</x:v>
      </x:c>
      <x:c r="K102" s="25" t="str">
        <x:v>Exclude: adjacent/redundant or insufficiently theory-generative for DC1</x:v>
      </x:c>
    </x:row>
    <x:row r="103">
      <x:c r="A103" s="20" t="str">
        <x:v>R0099</x:v>
      </x:c>
      <x:c r="B103" s="25" t="str">
        <x:v>Explainable AI for Designers: A Human-Centered Perspective on Mixed-Initiative Co-Creation</x:v>
      </x:c>
      <x:c r="C103" s="25" t="n">
        <x:v>2018</x:v>
      </x:c>
      <x:c r="D103" s="25" t="str">
        <x:v>Jichen Zhu; Antonios Liapis; Sebastian Risi; Rafael Bidarra; G. Michael Youngblood</x:v>
      </x:c>
      <x:c r="E103" s="25" t="str">
        <x:v>2018 IEEE Conference on Computational Intelligence and Games (CIG)</x:v>
      </x:c>
      <x:c r="F103" s="25" t="str">
        <x:v>10.1109/cig.2018.8490433</x:v>
      </x:c>
      <x:c r="G103" s="25" t="str">
        <x:v>https://doi.org/10.1109/cig.2018.8490433</x:v>
      </x:c>
      <x:c r="H103" s="25" t="str">
        <x:v>Crossref; OpenAlex</x:v>
      </x:c>
      <x:c r="I103" s="25" t="str">
        <x:v>C3_mixed_initiative_cocreation</x:v>
      </x:c>
      <x:c r="J103" s="25" t="str">
        <x:v>Exclude</x:v>
      </x:c>
      <x:c r="K103" s="25" t="str">
        <x:v>Exclude: adjacent/redundant or insufficiently theory-generative for DC1</x:v>
      </x:c>
    </x:row>
    <x:row r="104">
      <x:c r="A104" s="20" t="str">
        <x:v>R0100</x:v>
      </x:c>
      <x:c r="B104" s="25" t="str">
        <x:v>The Programmer’s Assistant: Conversational Interaction with a Large Language Model for Software Development</x:v>
      </x:c>
      <x:c r="C104" s="25" t="n">
        <x:v>2023</x:v>
      </x:c>
      <x:c r="D104" s="25" t="str">
        <x:v>Steven Ross; Fernando Martinez; Stephanie Houde; Michael Müller; Justin D. Weisz</x:v>
      </x:c>
      <x:c r="E104" s="25" t="str"/>
      <x:c r="F104" s="25" t="str">
        <x:v>10.1145/3581641.3584037</x:v>
      </x:c>
      <x:c r="G104" s="25" t="str">
        <x:v>https://doi.org/10.1145/3581641.3584037</x:v>
      </x:c>
      <x:c r="H104" s="25" t="str">
        <x:v>OpenAlex</x:v>
      </x:c>
      <x:c r="I104" s="25" t="str">
        <x:v>C6_frontend_GUI_intent</x:v>
      </x:c>
      <x:c r="J104" s="25" t="str">
        <x:v>Exclude</x:v>
      </x:c>
      <x:c r="K104" s="25" t="str">
        <x:v>Exclude: adjacent/redundant or insufficiently theory-generative for DC1</x:v>
      </x:c>
    </x:row>
    <x:row r="105">
      <x:c r="A105" s="20" t="str">
        <x:v>R0101</x:v>
      </x:c>
      <x:c r="B105" s="25" t="str">
        <x:v>Human–robot collaboration in industrial environments: A literature review on non-destructive disassembly</x:v>
      </x:c>
      <x:c r="C105" s="25" t="n">
        <x:v>2021</x:v>
      </x:c>
      <x:c r="D105" s="25" t="str">
        <x:v>Sebastian Hjorth; Dimitrios Chrysostomou</x:v>
      </x:c>
      <x:c r="E105" s="25" t="str">
        <x:v>Robotics and Computer-Integrated Manufacturing</x:v>
      </x:c>
      <x:c r="F105" s="25" t="str">
        <x:v>10.1016/j.rcim.2021.102208</x:v>
      </x:c>
      <x:c r="G105" s="25" t="str">
        <x:v>https://doi.org/10.1016/j.rcim.2021.102208</x:v>
      </x:c>
      <x:c r="H105" s="25" t="str">
        <x:v>OpenAlex</x:v>
      </x:c>
      <x:c r="I105" s="25" t="str">
        <x:v>C6_frontend_GUI_intent</x:v>
      </x:c>
      <x:c r="J105" s="25" t="str">
        <x:v>Exclude</x:v>
      </x:c>
      <x:c r="K105" s="25" t="str">
        <x:v>Exclude: adjacent/redundant or insufficiently theory-generative for DC1</x:v>
      </x:c>
    </x:row>
    <x:row r="106">
      <x:c r="A106" s="20" t="str">
        <x:v>R0102</x:v>
      </x:c>
      <x:c r="B106" s="25" t="str">
        <x:v>AI-chatbots on the services frontline addressing the challenges and opportunities of agency</x:v>
      </x:c>
      <x:c r="C106" s="25" t="n">
        <x:v>2021</x:v>
      </x:c>
      <x:c r="D106" s="25" t="str">
        <x:v>Terrence Chong; Ting Yu; Debbie Keeling; Ko de Ruyter</x:v>
      </x:c>
      <x:c r="E106" s="25" t="str">
        <x:v>Journal of Retailing and Consumer Services</x:v>
      </x:c>
      <x:c r="F106" s="25" t="str">
        <x:v>10.1016/j.jretconser.2021.102735</x:v>
      </x:c>
      <x:c r="G106" s="25" t="str">
        <x:v>https://doi.org/10.1016/j.jretconser.2021.102735</x:v>
      </x:c>
      <x:c r="H106" s="25" t="str">
        <x:v>OpenAlex</x:v>
      </x:c>
      <x:c r="I106" s="25" t="str">
        <x:v>C7_creative_agency</x:v>
      </x:c>
      <x:c r="J106" s="25" t="str">
        <x:v>Exclude</x:v>
      </x:c>
      <x:c r="K106" s="25" t="str">
        <x:v>Exclude: topic mismatch</x:v>
      </x:c>
    </x:row>
    <x:row r="107">
      <x:c r="A107" s="20" t="str">
        <x:v>R0103</x:v>
      </x:c>
      <x:c r="B107" s="25" t="str">
        <x:v>AI agency vs. human agency: understanding human–AI interactions on TikTok and their implications for user engagement</x:v>
      </x:c>
      <x:c r="C107" s="25" t="n">
        <x:v>2022</x:v>
      </x:c>
      <x:c r="D107" s="25" t="str">
        <x:v>Hyunjin Kang; Chen Lou</x:v>
      </x:c>
      <x:c r="E107" s="25" t="str">
        <x:v>Journal of Computer-Mediated Communication</x:v>
      </x:c>
      <x:c r="F107" s="25" t="str">
        <x:v>10.1093/jcmc/zmac014</x:v>
      </x:c>
      <x:c r="G107" s="25" t="str">
        <x:v>https://doi.org/10.1093/jcmc/zmac014</x:v>
      </x:c>
      <x:c r="H107" s="25" t="str">
        <x:v>OpenAlex</x:v>
      </x:c>
      <x:c r="I107" s="25" t="str">
        <x:v>C7_creative_agency</x:v>
      </x:c>
      <x:c r="J107" s="25" t="str">
        <x:v>Exclude</x:v>
      </x:c>
      <x:c r="K107" s="25" t="str">
        <x:v>Exclude: topic mismatch</x:v>
      </x:c>
    </x:row>
    <x:row r="108">
      <x:c r="A108" s="20" t="str">
        <x:v>R0104</x:v>
      </x:c>
      <x:c r="B108" s="25" t="str">
        <x:v>Large AI Models in Health Informatics: Applications, Challenges, and the Future</x:v>
      </x:c>
      <x:c r="C108" s="25" t="n">
        <x:v>2023</x:v>
      </x:c>
      <x:c r="D108" s="25" t="str">
        <x:v>Jianing Qiu; Lin Li; Jiankai Sun; Jiachuan Peng; Peilun Shi; Ruiyang Zhang; Yinzhao Dong; Kyle Lam; Frank P.-W. Lo; Bo Xiao; Wu Yuan; Ningli Wang; Dong Xu; Benny Lo</x:v>
      </x:c>
      <x:c r="E108" s="25" t="str">
        <x:v>IEEE Journal of Biomedical and Health Informatics</x:v>
      </x:c>
      <x:c r="F108" s="25" t="str">
        <x:v>10.1109/jbhi.2023.3316750</x:v>
      </x:c>
      <x:c r="G108" s="25" t="str">
        <x:v>https://doi.org/10.1109/jbhi.2023.3316750</x:v>
      </x:c>
      <x:c r="H108" s="25" t="str">
        <x:v>OpenAlex</x:v>
      </x:c>
      <x:c r="I108" s="25" t="str">
        <x:v>C8_AI_3D_authoring</x:v>
      </x:c>
      <x:c r="J108" s="25" t="str">
        <x:v>Exclude</x:v>
      </x:c>
      <x:c r="K108" s="25" t="str">
        <x:v>Exclude: domain-specific signal model without transferable HCI theory</x:v>
      </x:c>
    </x:row>
    <x:row r="109">
      <x:c r="A109" s="20" t="str">
        <x:v>R0105</x:v>
      </x:c>
      <x:c r="B109" s="25" t="str">
        <x:v>Spatial navigation by congenitally blind individuals</x:v>
      </x:c>
      <x:c r="C109" s="25" t="n">
        <x:v>2015</x:v>
      </x:c>
      <x:c r="D109" s="25" t="str">
        <x:v>Victor R. Schinazi; Tyler Thrash; Daniel‐Robert Chebat</x:v>
      </x:c>
      <x:c r="E109" s="25" t="str">
        <x:v>Wiley Interdisciplinary Reviews Cognitive Science</x:v>
      </x:c>
      <x:c r="F109" s="25" t="str">
        <x:v>10.1002/wcs.1375</x:v>
      </x:c>
      <x:c r="G109" s="25" t="str">
        <x:v>https://doi.org/10.1002/wcs.1375</x:v>
      </x:c>
      <x:c r="H109" s="25" t="str">
        <x:v>OpenAlex</x:v>
      </x:c>
      <x:c r="I109" s="25" t="str">
        <x:v>C1_3D_mental_models</x:v>
      </x:c>
      <x:c r="J109" s="25" t="str">
        <x:v>Exclude</x:v>
      </x:c>
      <x:c r="K109" s="25" t="str">
        <x:v>Exclude: topic mismatch</x:v>
      </x:c>
    </x:row>
    <x:row r="110">
      <x:c r="A110" s="20" t="str">
        <x:v>R0106</x:v>
      </x:c>
      <x:c r="B110" s="25" t="str">
        <x:v>The Chatbot Usability Scale: the Design and Pilot of a Usability Scale for Interaction with AI-Based Conversational Agents</x:v>
      </x:c>
      <x:c r="C110" s="25" t="n">
        <x:v>2021</x:v>
      </x:c>
      <x:c r="D110" s="25" t="str">
        <x:v>Simone Borsci; Alessio Malizia; Martin Schmettow; Frank van der Velde; Gunay Tariverdiyeva; Divyaa Balaji; Alan Chamberlain</x:v>
      </x:c>
      <x:c r="E110" s="25" t="str">
        <x:v>Personal and Ubiquitous Computing</x:v>
      </x:c>
      <x:c r="F110" s="25" t="str">
        <x:v>10.1007/s00779-021-01582-9</x:v>
      </x:c>
      <x:c r="G110" s="25" t="str">
        <x:v>https://doi.org/10.1007/s00779-021-01582-9</x:v>
      </x:c>
      <x:c r="H110" s="25" t="str">
        <x:v>OpenAlex</x:v>
      </x:c>
      <x:c r="I110" s="25" t="str">
        <x:v>C3_mixed_initiative_cocreation</x:v>
      </x:c>
      <x:c r="J110" s="25" t="str">
        <x:v>Exclude</x:v>
      </x:c>
      <x:c r="K110" s="25" t="str">
        <x:v>Exclude: topic mismatch</x:v>
      </x:c>
    </x:row>
    <x:row r="111">
      <x:c r="A111" s="20" t="str">
        <x:v>R0107</x:v>
      </x:c>
      <x:c r="B111" s="25" t="str">
        <x:v>Designing human-robot collaboration (HRC) workspaces in industrial settings: A systematic literature review</x:v>
      </x:c>
      <x:c r="C111" s="25" t="n">
        <x:v>2021</x:v>
      </x:c>
      <x:c r="D111" s="25" t="str">
        <x:v>Ana Correia Simões; Ana Pinto; Joana Santos; Sofia Pinheiro; David Romero</x:v>
      </x:c>
      <x:c r="E111" s="25" t="str">
        <x:v>Journal of Manufacturing Systems</x:v>
      </x:c>
      <x:c r="F111" s="25" t="str">
        <x:v>10.1016/j.jmsy.2021.11.007</x:v>
      </x:c>
      <x:c r="G111" s="25" t="str">
        <x:v>https://doi.org/10.1016/j.jmsy.2021.11.007</x:v>
      </x:c>
      <x:c r="H111" s="25" t="str">
        <x:v>OpenAlex</x:v>
      </x:c>
      <x:c r="I111" s="25" t="str">
        <x:v>C4_uncertainty_shared_autonomy</x:v>
      </x:c>
      <x:c r="J111" s="25" t="str">
        <x:v>Exclude</x:v>
      </x:c>
      <x:c r="K111" s="25" t="str">
        <x:v>Exclude: topic mismatch</x:v>
      </x:c>
    </x:row>
    <x:row r="112">
      <x:c r="A112" s="20" t="str">
        <x:v>R0108</x:v>
      </x:c>
      <x:c r="B112" s="25" t="str">
        <x:v>Getting Down to Details: Using Theories of Cognition and Learning to Inform Tangible User Interface Design</x:v>
      </x:c>
      <x:c r="C112" s="25" t="n">
        <x:v>2013</x:v>
      </x:c>
      <x:c r="D112" s="25" t="str">
        <x:v>Alissa N. Antle; Alyssa Friend Wise</x:v>
      </x:c>
      <x:c r="E112" s="25" t="str">
        <x:v>Interacting with Computers</x:v>
      </x:c>
      <x:c r="F112" s="25" t="str">
        <x:v>10.1093/iwc/iws007</x:v>
      </x:c>
      <x:c r="G112" s="25" t="str">
        <x:v>https://doi.org/10.1093/iwc/iws007</x:v>
      </x:c>
      <x:c r="H112" s="25" t="str">
        <x:v>OpenAlex</x:v>
      </x:c>
      <x:c r="I112" s="25" t="str">
        <x:v>C1_3D_mental_models</x:v>
      </x:c>
      <x:c r="J112" s="25" t="str">
        <x:v>Exclude</x:v>
      </x:c>
      <x:c r="K112" s="25" t="str">
        <x:v>Exclude: topic mismatch</x:v>
      </x:c>
    </x:row>
    <x:row r="113">
      <x:c r="A113" s="20" t="str">
        <x:v>R0109</x:v>
      </x:c>
      <x:c r="B113" s="25" t="str">
        <x:v>Methods and tools: a method for evaluating the communicability of user interfaces</x:v>
      </x:c>
      <x:c r="C113" s="25" t="n">
        <x:v>2000</x:v>
      </x:c>
      <x:c r="D113" s="25" t="str">
        <x:v>Raquel Oliveira Prates; Clarisse Sieckenius de Souza; Simone Diniz Junqueira Barbosa</x:v>
      </x:c>
      <x:c r="E113" s="25" t="str">
        <x:v>interactions</x:v>
      </x:c>
      <x:c r="F113" s="25" t="str">
        <x:v>10.1145/328595.328608</x:v>
      </x:c>
      <x:c r="G113" s="25" t="str">
        <x:v>https://doi.org/10.1145/328595.328608</x:v>
      </x:c>
      <x:c r="H113" s="25" t="str">
        <x:v>OpenAlex</x:v>
      </x:c>
      <x:c r="I113" s="25" t="str">
        <x:v>C2_interaction_signals</x:v>
      </x:c>
      <x:c r="J113" s="25" t="str">
        <x:v>Exclude</x:v>
      </x:c>
      <x:c r="K113" s="25" t="str">
        <x:v>Exclude: topic mismatch</x:v>
      </x:c>
    </x:row>
    <x:row r="114">
      <x:c r="A114" s="20" t="str">
        <x:v>R0110</x:v>
      </x:c>
      <x:c r="B114" s="25" t="str">
        <x:v>A sociotechnical perspective for the future of AI: narratives, inequalities, and human control</x:v>
      </x:c>
      <x:c r="C114" s="25" t="n">
        <x:v>2022</x:v>
      </x:c>
      <x:c r="D114" s="25" t="str">
        <x:v>Laura Sartori; Andreas Theodorou</x:v>
      </x:c>
      <x:c r="E114" s="25" t="str">
        <x:v>Ethics and Information Technology</x:v>
      </x:c>
      <x:c r="F114" s="25" t="str">
        <x:v>10.1007/s10676-022-09624-3</x:v>
      </x:c>
      <x:c r="G114" s="25" t="str">
        <x:v>https://doi.org/10.1007/s10676-022-09624-3</x:v>
      </x:c>
      <x:c r="H114" s="25" t="str">
        <x:v>OpenAlex</x:v>
      </x:c>
      <x:c r="I114" s="25" t="str">
        <x:v>C7_creative_agency</x:v>
      </x:c>
      <x:c r="J114" s="25" t="str">
        <x:v>Exclude</x:v>
      </x:c>
      <x:c r="K114" s="25" t="str">
        <x:v>Exclude: topic mismatch</x:v>
      </x:c>
    </x:row>
    <x:row r="115">
      <x:c r="A115" s="20" t="str">
        <x:v>R0111</x:v>
      </x:c>
      <x:c r="B115" s="25" t="str">
        <x:v>From ethical AI frameworks to tools: a review of approaches</x:v>
      </x:c>
      <x:c r="C115" s="25" t="n">
        <x:v>2023</x:v>
      </x:c>
      <x:c r="D115" s="25" t="str">
        <x:v>Erich Prem</x:v>
      </x:c>
      <x:c r="E115" s="25" t="str">
        <x:v>AI and Ethics</x:v>
      </x:c>
      <x:c r="F115" s="25" t="str">
        <x:v>10.1007/s43681-023-00258-9</x:v>
      </x:c>
      <x:c r="G115" s="25" t="str">
        <x:v>https://doi.org/10.1007/s43681-023-00258-9</x:v>
      </x:c>
      <x:c r="H115" s="25" t="str">
        <x:v>OpenAlex</x:v>
      </x:c>
      <x:c r="I115" s="25" t="str">
        <x:v>C7_creative_agency</x:v>
      </x:c>
      <x:c r="J115" s="25" t="str">
        <x:v>Exclude</x:v>
      </x:c>
      <x:c r="K115" s="25" t="str">
        <x:v>Exclude: topic mismatch</x:v>
      </x:c>
    </x:row>
    <x:row r="116">
      <x:c r="A116" s="20" t="str">
        <x:v>R0112</x:v>
      </x:c>
      <x:c r="B116" s="25" t="str">
        <x:v>Survey on Explainable AI: From Approaches, Limitations and Applications Aspects</x:v>
      </x:c>
      <x:c r="C116" s="25" t="n">
        <x:v>2023</x:v>
      </x:c>
      <x:c r="D116" s="25" t="str">
        <x:v>Wenli Yang; Yu-Chen Wei; Hanyu Wei; Yanyu Chen; Guan Huang; Xiang Li; Renjie Li; Naimeng Yao; Xinyi Wang; Xiaotong Gu; Muhammad Bilal Amin; Byeong Ho Kang</x:v>
      </x:c>
      <x:c r="E116" s="25" t="str">
        <x:v>Human-Centric Intelligent Systems</x:v>
      </x:c>
      <x:c r="F116" s="25" t="str">
        <x:v>10.1007/s44230-023-00038-y</x:v>
      </x:c>
      <x:c r="G116" s="25" t="str">
        <x:v>https://doi.org/10.1007/s44230-023-00038-y</x:v>
      </x:c>
      <x:c r="H116" s="25" t="str">
        <x:v>OpenAlex</x:v>
      </x:c>
      <x:c r="I116" s="25" t="str">
        <x:v>C7_creative_agency</x:v>
      </x:c>
      <x:c r="J116" s="25" t="str">
        <x:v>Exclude</x:v>
      </x:c>
      <x:c r="K116" s="25" t="str">
        <x:v>Exclude: adjacent/redundant or insufficiently theory-generative for DC1</x:v>
      </x:c>
    </x:row>
    <x:row r="117">
      <x:c r="A117" s="20" t="str">
        <x:v>R0113</x:v>
      </x:c>
      <x:c r="B117" s="25" t="str">
        <x:v>A review of large language models and autonomous agents in chemistry</x:v>
      </x:c>
      <x:c r="C117" s="25" t="n">
        <x:v>2024</x:v>
      </x:c>
      <x:c r="D117" s="25" t="str">
        <x:v>Mayk Caldas Ramos; Christopher J. Collison; Andrew Dickson White</x:v>
      </x:c>
      <x:c r="E117" s="25" t="str">
        <x:v>Chemical Science</x:v>
      </x:c>
      <x:c r="F117" s="25" t="str">
        <x:v>10.1039/d4sc03921a</x:v>
      </x:c>
      <x:c r="G117" s="25" t="str">
        <x:v>https://doi.org/10.1039/d4sc03921a</x:v>
      </x:c>
      <x:c r="H117" s="25" t="str">
        <x:v>OpenAlex</x:v>
      </x:c>
      <x:c r="I117" s="25" t="str">
        <x:v>C5_agent_memory</x:v>
      </x:c>
      <x:c r="J117" s="25" t="str">
        <x:v>Exclude</x:v>
      </x:c>
      <x:c r="K117" s="25" t="str">
        <x:v>Exclude: adjacent/redundant or insufficiently theory-generative for DC1</x:v>
      </x:c>
    </x:row>
    <x:row r="118">
      <x:c r="A118" s="20" t="str">
        <x:v>R0114</x:v>
      </x:c>
      <x:c r="B118" s="25" t="str">
        <x:v>The Berlin Brain-Computer Interface: Progress Beyond Communication and Control</x:v>
      </x:c>
      <x:c r="C118" s="25" t="n">
        <x:v>2016</x:v>
      </x:c>
      <x:c r="D118" s="25" t="str">
        <x:v>Benjamin Blankertz; Laura Acqualagna; Sven Dähne; Stefan Haufe; Matthias Schultze-Kraft; Irene Sturm; Marija Ušćumlić; Markus Wenzel; Gabriel Curio; Klaus‐Robert Müller</x:v>
      </x:c>
      <x:c r="E118" s="25" t="str">
        <x:v>Frontiers in Neuroscience</x:v>
      </x:c>
      <x:c r="F118" s="25" t="str">
        <x:v>10.3389/fnins.2016.00530</x:v>
      </x:c>
      <x:c r="G118" s="25" t="str">
        <x:v>https://doi.org/10.3389/fnins.2016.00530</x:v>
      </x:c>
      <x:c r="H118" s="25" t="str">
        <x:v>OpenAlex</x:v>
      </x:c>
      <x:c r="I118" s="25" t="str">
        <x:v>C2_interaction_signals</x:v>
      </x:c>
      <x:c r="J118" s="25" t="str">
        <x:v>Exclude</x:v>
      </x:c>
      <x:c r="K118" s="25" t="str">
        <x:v>Exclude: topic mismatch</x:v>
      </x:c>
    </x:row>
    <x:row r="119">
      <x:c r="A119" s="20" t="str">
        <x:v>R0115</x:v>
      </x:c>
      <x:c r="B119" s="25" t="str">
        <x:v>Investigating Explainability of Generative AI for Code through Scenario-based Design</x:v>
      </x:c>
      <x:c r="C119" s="25" t="n">
        <x:v>2022</x:v>
      </x:c>
      <x:c r="D119" s="25" t="str">
        <x:v>Jiao Sun; Q. Vera Liao; Michael Müller; Mayank Agarwal; Stephanie Houde; Kartik Talamadupula; Justin D. Weisz</x:v>
      </x:c>
      <x:c r="E119" s="25" t="str"/>
      <x:c r="F119" s="25" t="str">
        <x:v>10.1145/3490099.3511119</x:v>
      </x:c>
      <x:c r="G119" s="25" t="str">
        <x:v>https://doi.org/10.1145/3490099.3511119</x:v>
      </x:c>
      <x:c r="H119" s="25" t="str">
        <x:v>OpenAlex</x:v>
      </x:c>
      <x:c r="I119" s="25" t="str">
        <x:v>C3_mixed_initiative_cocreation</x:v>
      </x:c>
      <x:c r="J119" s="25" t="str">
        <x:v>Exclude</x:v>
      </x:c>
      <x:c r="K119" s="25" t="str">
        <x:v>Exclude: topic mismatch</x:v>
      </x:c>
    </x:row>
    <x:row r="120">
      <x:c r="A120" s="20" t="str">
        <x:v>R0116</x:v>
      </x:c>
      <x:c r="B120" s="25" t="str">
        <x:v>Large language models empowered agent-based modeling and simulation: a survey and perspectives</x:v>
      </x:c>
      <x:c r="C120" s="25" t="n">
        <x:v>2024</x:v>
      </x:c>
      <x:c r="D120" s="25" t="str">
        <x:v>Chen Gao; Xiaochong Lan; Nian Li; Yuan Yuan; Jingtao Ding; Zhilun Zhou; Fengli Xu; Yong Li</x:v>
      </x:c>
      <x:c r="E120" s="25" t="str">
        <x:v>Humanities and Social Sciences Communications</x:v>
      </x:c>
      <x:c r="F120" s="25" t="str">
        <x:v>10.1057/s41599-024-03611-3</x:v>
      </x:c>
      <x:c r="G120" s="25" t="str">
        <x:v>https://doi.org/10.1057/s41599-024-03611-3</x:v>
      </x:c>
      <x:c r="H120" s="25" t="str">
        <x:v>OpenAlex</x:v>
      </x:c>
      <x:c r="I120" s="25" t="str">
        <x:v>C6_frontend_GUI_intent</x:v>
      </x:c>
      <x:c r="J120" s="25" t="str">
        <x:v>Exclude</x:v>
      </x:c>
      <x:c r="K120" s="25" t="str">
        <x:v>Exclude: adjacent/redundant or insufficiently theory-generative for DC1</x:v>
      </x:c>
    </x:row>
    <x:row r="121">
      <x:c r="A121" s="20" t="str">
        <x:v>R0117</x:v>
      </x:c>
      <x:c r="B121" s="25" t="str">
        <x:v>MM-LLMs: Recent Advances in MultiModal Large Language Models</x:v>
      </x:c>
      <x:c r="C121" s="25" t="n">
        <x:v>2024</x:v>
      </x:c>
      <x:c r="D121" s="25" t="str">
        <x:v>Duzhen Zhang; Yahan Yu; Jiahua Dong; Chenxing Li; Dan Su; Chenhui Chu; Dong Yu</x:v>
      </x:c>
      <x:c r="E121" s="25" t="str"/>
      <x:c r="F121" s="25" t="str">
        <x:v>10.18653/v1/2024.findings-acl.738</x:v>
      </x:c>
      <x:c r="G121" s="25" t="str">
        <x:v>https://doi.org/10.18653/v1/2024.findings-acl.738</x:v>
      </x:c>
      <x:c r="H121" s="25" t="str">
        <x:v>OpenAlex</x:v>
      </x:c>
      <x:c r="I121" s="25" t="str">
        <x:v>C8_AI_3D_authoring</x:v>
      </x:c>
      <x:c r="J121" s="25" t="str">
        <x:v>Exclude</x:v>
      </x:c>
      <x:c r="K121" s="25" t="str">
        <x:v>Exclude: topic mismatch</x:v>
      </x:c>
    </x:row>
    <x:row r="122">
      <x:c r="A122" s="20" t="str">
        <x:v>R0118</x:v>
      </x:c>
      <x:c r="B122" s="25" t="str">
        <x:v>Usability Studies on Mobile User Interface Design Patterns: A Systematic Literature Review</x:v>
      </x:c>
      <x:c r="C122" s="25" t="n">
        <x:v>2017</x:v>
      </x:c>
      <x:c r="D122" s="25" t="str">
        <x:v>Lumpapun Punchoojit; Nuttanont Hongwarittorrn</x:v>
      </x:c>
      <x:c r="E122" s="25" t="str">
        <x:v>Advances in Human-Computer Interaction</x:v>
      </x:c>
      <x:c r="F122" s="25" t="str">
        <x:v>10.1155/2017/6787504</x:v>
      </x:c>
      <x:c r="G122" s="25" t="str">
        <x:v>https://doi.org/10.1155/2017/6787504</x:v>
      </x:c>
      <x:c r="H122" s="25" t="str">
        <x:v>OpenAlex</x:v>
      </x:c>
      <x:c r="I122" s="25" t="str">
        <x:v>C1_3D_mental_models</x:v>
      </x:c>
      <x:c r="J122" s="25" t="str">
        <x:v>Exclude</x:v>
      </x:c>
      <x:c r="K122" s="25" t="str">
        <x:v>Exclude: adjacent/redundant or insufficiently theory-generative for DC1</x:v>
      </x:c>
    </x:row>
    <x:row r="123">
      <x:c r="A123" s="20" t="str">
        <x:v>R0119</x:v>
      </x:c>
      <x:c r="B123" s="25" t="str">
        <x:v>A review on vision techniques applied to Human Behaviour Analysis for Ambient-Assisted Living</x:v>
      </x:c>
      <x:c r="C123" s="25" t="n">
        <x:v>2012</x:v>
      </x:c>
      <x:c r="D123" s="25" t="str">
        <x:v>Alexandros André Chaaraoui; Pau Climent-Pérez; Francisco Flórez‐Revuelta</x:v>
      </x:c>
      <x:c r="E123" s="25" t="str">
        <x:v>Expert Systems with Applications</x:v>
      </x:c>
      <x:c r="F123" s="25" t="str">
        <x:v>10.1016/j.eswa.2012.03.005</x:v>
      </x:c>
      <x:c r="G123" s="25" t="str">
        <x:v>https://doi.org/10.1016/j.eswa.2012.03.005</x:v>
      </x:c>
      <x:c r="H123" s="25" t="str">
        <x:v>OpenAlex</x:v>
      </x:c>
      <x:c r="I123" s="25" t="str">
        <x:v>C8_AI_3D_authoring</x:v>
      </x:c>
      <x:c r="J123" s="25" t="str">
        <x:v>Exclude</x:v>
      </x:c>
      <x:c r="K123" s="25" t="str">
        <x:v>Exclude: topic mismatch</x:v>
      </x:c>
    </x:row>
    <x:row r="124">
      <x:c r="A124" s="20" t="str">
        <x:v>R0120</x:v>
      </x:c>
      <x:c r="B124" s="25" t="str">
        <x:v>Artificial intelligence and human behavioral development: A perspective on new skills and competences acquisition for the educational context</x:v>
      </x:c>
      <x:c r="C124" s="25" t="n">
        <x:v>2023</x:v>
      </x:c>
      <x:c r="D124" s="25" t="str">
        <x:v>Martina Benvenuti; Angelo Cangelosi; Armin Weinberger; Elvis Mazzoni; Mariagrazia Benassi; Mattia Barbaresi; Matteo Orsoni</x:v>
      </x:c>
      <x:c r="E124" s="25" t="str">
        <x:v>Computers in Human Behavior</x:v>
      </x:c>
      <x:c r="F124" s="25" t="str">
        <x:v>10.1016/j.chb.2023.107903</x:v>
      </x:c>
      <x:c r="G124" s="25" t="str">
        <x:v>https://doi.org/10.1016/j.chb.2023.107903</x:v>
      </x:c>
      <x:c r="H124" s="25" t="str">
        <x:v>OpenAlex</x:v>
      </x:c>
      <x:c r="I124" s="25" t="str">
        <x:v>C3_mixed_initiative_cocreation</x:v>
      </x:c>
      <x:c r="J124" s="25" t="str">
        <x:v>Exclude</x:v>
      </x:c>
      <x:c r="K124" s="25" t="str">
        <x:v>Exclude: adjacent/redundant or insufficiently theory-generative for DC1</x:v>
      </x:c>
    </x:row>
    <x:row r="125">
      <x:c r="A125" s="20" t="str">
        <x:v>R0121</x:v>
      </x:c>
      <x:c r="B125" s="25" t="str">
        <x:v>Virtual Replicas for Remote Assistance in Virtual and Augmented Reality</x:v>
      </x:c>
      <x:c r="C125" s="25" t="n">
        <x:v>2015</x:v>
      </x:c>
      <x:c r="D125" s="25" t="str">
        <x:v>Ohan Oda; Carmine Elvezio; Mengu Sukan; Steven Feiner; Barbara Tversky</x:v>
      </x:c>
      <x:c r="E125" s="25" t="str"/>
      <x:c r="F125" s="25" t="str">
        <x:v>10.1145/2807442.2807497</x:v>
      </x:c>
      <x:c r="G125" s="25" t="str">
        <x:v>https://doi.org/10.1145/2807442.2807497</x:v>
      </x:c>
      <x:c r="H125" s="25" t="str">
        <x:v>OpenAlex</x:v>
      </x:c>
      <x:c r="I125" s="25" t="str">
        <x:v>C1_3D_mental_models</x:v>
      </x:c>
      <x:c r="J125" s="25" t="str">
        <x:v>Exclude</x:v>
      </x:c>
      <x:c r="K125" s="25" t="str">
        <x:v>Exclude: adjacent/redundant or insufficiently theory-generative for DC1</x:v>
      </x:c>
    </x:row>
    <x:row r="126">
      <x:c r="A126" s="20" t="str">
        <x:v>R0122</x:v>
      </x:c>
      <x:c r="B126" s="25" t="str">
        <x:v>A State-of-the-Art Review on Image Synthesis With Generative Adversarial Networks</x:v>
      </x:c>
      <x:c r="C126" s="25" t="n">
        <x:v>2020</x:v>
      </x:c>
      <x:c r="D126" s="25" t="str">
        <x:v>Lei Wang; Wei Chen; Wen‐Jia Yang; Fangming Bi; F. Richard Yu</x:v>
      </x:c>
      <x:c r="E126" s="25" t="str">
        <x:v>IEEE Access</x:v>
      </x:c>
      <x:c r="F126" s="25" t="str">
        <x:v>10.1109/access.2020.2982224</x:v>
      </x:c>
      <x:c r="G126" s="25" t="str">
        <x:v>https://doi.org/10.1109/access.2020.2982224</x:v>
      </x:c>
      <x:c r="H126" s="25" t="str">
        <x:v>OpenAlex</x:v>
      </x:c>
      <x:c r="I126" s="25" t="str">
        <x:v>C8_AI_3D_authoring</x:v>
      </x:c>
      <x:c r="J126" s="25" t="str">
        <x:v>Exclude</x:v>
      </x:c>
      <x:c r="K126" s="25" t="str">
        <x:v>Exclude: adjacent/redundant or insufficiently theory-generative for DC1</x:v>
      </x:c>
    </x:row>
    <x:row r="127">
      <x:c r="A127" s="20" t="str">
        <x:v>R0123</x:v>
      </x:c>
      <x:c r="B127" s="25" t="str">
        <x:v>Speeding up to keep up: exploring the use of AI in the research process</x:v>
      </x:c>
      <x:c r="C127" s="25" t="n">
        <x:v>2021</x:v>
      </x:c>
      <x:c r="D127" s="25" t="str">
        <x:v>Jennifer Chubb; Peter Cowling; Darren Reed</x:v>
      </x:c>
      <x:c r="E127" s="25" t="str">
        <x:v>AI &amp; Society</x:v>
      </x:c>
      <x:c r="F127" s="25" t="str">
        <x:v>10.1007/s00146-021-01259-0</x:v>
      </x:c>
      <x:c r="G127" s="25" t="str">
        <x:v>https://doi.org/10.1007/s00146-021-01259-0</x:v>
      </x:c>
      <x:c r="H127" s="25" t="str">
        <x:v>OpenAlex</x:v>
      </x:c>
      <x:c r="I127" s="25" t="str">
        <x:v>C3_mixed_initiative_cocreation</x:v>
      </x:c>
      <x:c r="J127" s="25" t="str">
        <x:v>Exclude</x:v>
      </x:c>
      <x:c r="K127" s="25" t="str">
        <x:v>Exclude: adjacent/redundant or insufficiently theory-generative for DC1</x:v>
      </x:c>
    </x:row>
    <x:row r="128">
      <x:c r="A128" s="20" t="str">
        <x:v>R0124</x:v>
      </x:c>
      <x:c r="B128" s="25" t="str">
        <x:v>Artificial intelligence (AI) learning tools in K-12 education: A scoping review</x:v>
      </x:c>
      <x:c r="C128" s="25" t="n">
        <x:v>2024</x:v>
      </x:c>
      <x:c r="D128" s="25" t="str">
        <x:v>Iris Heung Yue Yim; Jiahong Su</x:v>
      </x:c>
      <x:c r="E128" s="25" t="str">
        <x:v>Journal of Computers in Education</x:v>
      </x:c>
      <x:c r="F128" s="25" t="str">
        <x:v>10.1007/s40692-023-00304-9</x:v>
      </x:c>
      <x:c r="G128" s="25" t="str">
        <x:v>https://doi.org/10.1007/s40692-023-00304-9</x:v>
      </x:c>
      <x:c r="H128" s="25" t="str">
        <x:v>OpenAlex</x:v>
      </x:c>
      <x:c r="I128" s="25" t="str">
        <x:v>C3_mixed_initiative_cocreation</x:v>
      </x:c>
      <x:c r="J128" s="25" t="str">
        <x:v>Exclude</x:v>
      </x:c>
      <x:c r="K128" s="25" t="str">
        <x:v>Exclude: adjacent/redundant or insufficiently theory-generative for DC1</x:v>
      </x:c>
    </x:row>
    <x:row r="129">
      <x:c r="A129" s="20" t="str">
        <x:v>R0125</x:v>
      </x:c>
      <x:c r="B129" s="25" t="str">
        <x:v>Extended TAM based acceptance of AI-Powered ChatGPT for supporting metacognitive self-regulated learning in education: A mixed-methods study</x:v>
      </x:c>
      <x:c r="C129" s="25" t="n">
        <x:v>2024</x:v>
      </x:c>
      <x:c r="D129" s="25" t="str">
        <x:v>Nisar Ahmed Dahri; Noraffandy Yahaya; Waleed Mugahed Al-Rahmi; Ahmed Aldraiweesh; Uthman Alturki; Sultan Almutairy; Anna Shutaleva; Rahim Bux Soomro</x:v>
      </x:c>
      <x:c r="E129" s="25" t="str">
        <x:v>Heliyon</x:v>
      </x:c>
      <x:c r="F129" s="25" t="str">
        <x:v>10.1016/j.heliyon.2024.e29317</x:v>
      </x:c>
      <x:c r="G129" s="25" t="str">
        <x:v>https://doi.org/10.1016/j.heliyon.2024.e29317</x:v>
      </x:c>
      <x:c r="H129" s="25" t="str">
        <x:v>OpenAlex</x:v>
      </x:c>
      <x:c r="I129" s="25" t="str">
        <x:v>C3_mixed_initiative_cocreation</x:v>
      </x:c>
      <x:c r="J129" s="25" t="str">
        <x:v>Exclude</x:v>
      </x:c>
      <x:c r="K129" s="25" t="str">
        <x:v>Exclude: adjacent/redundant or insufficiently theory-generative for DC1</x:v>
      </x:c>
    </x:row>
    <x:row r="130">
      <x:c r="A130" s="20" t="str">
        <x:v>R0126</x:v>
      </x:c>
      <x:c r="B130" s="25" t="str">
        <x:v>Interoceptive inference: From computational neuroscience to clinic</x:v>
      </x:c>
      <x:c r="C130" s="25" t="n">
        <x:v>2018</x:v>
      </x:c>
      <x:c r="D130" s="25" t="str">
        <x:v>Andrew P. Owens; Micah Allen; Sasha Ondobaka; Karl Friston</x:v>
      </x:c>
      <x:c r="E130" s="25" t="str">
        <x:v>Neuroscience &amp; Biobehavioral Reviews</x:v>
      </x:c>
      <x:c r="F130" s="25" t="str">
        <x:v>10.1016/j.neubiorev.2018.04.017</x:v>
      </x:c>
      <x:c r="G130" s="25" t="str">
        <x:v>https://doi.org/10.1016/j.neubiorev.2018.04.017</x:v>
      </x:c>
      <x:c r="H130" s="25" t="str">
        <x:v>OpenAlex</x:v>
      </x:c>
      <x:c r="I130" s="25" t="str">
        <x:v>C4_uncertainty_shared_autonomy</x:v>
      </x:c>
      <x:c r="J130" s="25" t="str">
        <x:v>Exclude</x:v>
      </x:c>
      <x:c r="K130" s="25" t="str">
        <x:v>Exclude: topic mismatch</x:v>
      </x:c>
    </x:row>
    <x:row r="131">
      <x:c r="A131" s="20" t="str">
        <x:v>R0127</x:v>
      </x:c>
      <x:c r="B131" s="25" t="str">
        <x:v>Human–Autonomy Teaming: Definitions, Debates, and Directions</x:v>
      </x:c>
      <x:c r="C131" s="25" t="n">
        <x:v>2021</x:v>
      </x:c>
      <x:c r="D131" s="25" t="str">
        <x:v>Joseph B. Lyons; Katia Sycara; Michael Lewis; August Capiola</x:v>
      </x:c>
      <x:c r="E131" s="25" t="str">
        <x:v>Frontiers in Psychology</x:v>
      </x:c>
      <x:c r="F131" s="25" t="str">
        <x:v>10.3389/fpsyg.2021.589585</x:v>
      </x:c>
      <x:c r="G131" s="25" t="str">
        <x:v>https://doi.org/10.3389/fpsyg.2021.589585</x:v>
      </x:c>
      <x:c r="H131" s="25" t="str">
        <x:v>OpenAlex</x:v>
      </x:c>
      <x:c r="I131" s="25" t="str">
        <x:v>C4_uncertainty_shared_autonomy</x:v>
      </x:c>
      <x:c r="J131" s="25" t="str">
        <x:v>Exclude</x:v>
      </x:c>
      <x:c r="K131" s="25" t="str">
        <x:v>Exclude: adjacent/redundant or insufficiently theory-generative for DC1</x:v>
      </x:c>
    </x:row>
    <x:row r="132">
      <x:c r="A132" s="20" t="str">
        <x:v>R0128</x:v>
      </x:c>
      <x:c r="B132" s="25" t="str">
        <x:v>Redefining Creativity in the Era of AI? Perspectives of Computer Scientists and New Media Artists</x:v>
      </x:c>
      <x:c r="C132" s="25" t="n">
        <x:v>2022</x:v>
      </x:c>
      <x:c r="D132" s="25" t="str">
        <x:v>Roosa Wingström; Johanna Hautala; Riina Lundman</x:v>
      </x:c>
      <x:c r="E132" s="25" t="str">
        <x:v>Creativity Research Journal</x:v>
      </x:c>
      <x:c r="F132" s="25" t="str">
        <x:v>10.1080/10400419.2022.2107850</x:v>
      </x:c>
      <x:c r="G132" s="25" t="str">
        <x:v>https://doi.org/10.1080/10400419.2022.2107850</x:v>
      </x:c>
      <x:c r="H132" s="25" t="str">
        <x:v>OpenAlex</x:v>
      </x:c>
      <x:c r="I132" s="25" t="str">
        <x:v>C7_creative_agency</x:v>
      </x:c>
      <x:c r="J132" s="25" t="str">
        <x:v>Exclude</x:v>
      </x:c>
      <x:c r="K132" s="25" t="str">
        <x:v>Exclude: adjacent/redundant or insufficiently theory-generative for DC1</x:v>
      </x:c>
    </x:row>
    <x:row r="133">
      <x:c r="A133" s="20" t="str">
        <x:v>R0129</x:v>
      </x:c>
      <x:c r="B133" s="25" t="str">
        <x:v>Supporting Novice to Expert Transitions in User Interfaces</x:v>
      </x:c>
      <x:c r="C133" s="25" t="n">
        <x:v>2014</x:v>
      </x:c>
      <x:c r="D133" s="25" t="str">
        <x:v>Andy Cockburn; Carl Gutwin; Joey Scarr; Sylvain Malacria</x:v>
      </x:c>
      <x:c r="E133" s="25" t="str">
        <x:v>ACM Computing Surveys</x:v>
      </x:c>
      <x:c r="F133" s="25" t="str">
        <x:v>10.1145/2659796</x:v>
      </x:c>
      <x:c r="G133" s="25" t="str">
        <x:v>https://doi.org/10.1145/2659796</x:v>
      </x:c>
      <x:c r="H133" s="25" t="str">
        <x:v>OpenAlex</x:v>
      </x:c>
      <x:c r="I133" s="25" t="str">
        <x:v>C1_3D_mental_models</x:v>
      </x:c>
      <x:c r="J133" s="25" t="str">
        <x:v>Exclude</x:v>
      </x:c>
      <x:c r="K133" s="25" t="str">
        <x:v>Exclude: topic mismatch</x:v>
      </x:c>
    </x:row>
    <x:row r="134">
      <x:c r="A134" s="20" t="str">
        <x:v>R0130</x:v>
      </x:c>
      <x:c r="B134" s="25" t="str">
        <x:v>Challenges and Applications of Large Language Models</x:v>
      </x:c>
      <x:c r="C134" s="25" t="n">
        <x:v>2023</x:v>
      </x:c>
      <x:c r="D134" s="25" t="str">
        <x:v>Jean Kaddour; Joshua Harris; Maximilian Mozes; Herbie Bradley; Roberta Răileanu; Robert McHardy</x:v>
      </x:c>
      <x:c r="E134" s="25" t="str">
        <x:v>arXiv (Cornell University)</x:v>
      </x:c>
      <x:c r="F134" s="25" t="str">
        <x:v>10.48550/arxiv.2307.10169</x:v>
      </x:c>
      <x:c r="G134" s="25" t="str">
        <x:v>http://arxiv.org/abs/2307.10169</x:v>
      </x:c>
      <x:c r="H134" s="25" t="str">
        <x:v>OpenAlex</x:v>
      </x:c>
      <x:c r="I134" s="25" t="str">
        <x:v>C8_AI_3D_authoring</x:v>
      </x:c>
      <x:c r="J134" s="25" t="str">
        <x:v>Exclude</x:v>
      </x:c>
      <x:c r="K134" s="25" t="str">
        <x:v>Exclude: topic mismatch</x:v>
      </x:c>
    </x:row>
    <x:row r="135">
      <x:c r="A135" s="20" t="str">
        <x:v>R0131</x:v>
      </x:c>
      <x:c r="B135" s="25" t="str">
        <x:v>How Do Agents Make Decisions? A Survey</x:v>
      </x:c>
      <x:c r="C135" s="25" t="n">
        <x:v>2014</x:v>
      </x:c>
      <x:c r="D135" s="25" t="str">
        <x:v>Tina Balke; Nigel Gilbert</x:v>
      </x:c>
      <x:c r="E135" s="25" t="str">
        <x:v>Journal of Artificial Societies and Social Simulation</x:v>
      </x:c>
      <x:c r="F135" s="25" t="str">
        <x:v>10.18564/jasss.2687</x:v>
      </x:c>
      <x:c r="G135" s="25" t="str">
        <x:v>https://doi.org/10.18564/jasss.2687</x:v>
      </x:c>
      <x:c r="H135" s="25" t="str">
        <x:v>OpenAlex</x:v>
      </x:c>
      <x:c r="I135" s="25" t="str">
        <x:v>C6_frontend_GUI_intent</x:v>
      </x:c>
      <x:c r="J135" s="25" t="str">
        <x:v>Exclude</x:v>
      </x:c>
      <x:c r="K135" s="25" t="str">
        <x:v>Exclude: topic mismatch</x:v>
      </x:c>
    </x:row>
    <x:row r="136">
      <x:c r="A136" s="20" t="str">
        <x:v>R0132</x:v>
      </x:c>
      <x:c r="B136" s="25" t="str">
        <x:v>INTERNATIONAL HUMAN RIGHTS LAW AS A FRAMEWORK FOR ALGORITHMIC ACCOUNTABILITY</x:v>
      </x:c>
      <x:c r="C136" s="25" t="n">
        <x:v>2019</x:v>
      </x:c>
      <x:c r="D136" s="25" t="str">
        <x:v>Lorna McGregor; Daragh Murray; Vivian Ng</x:v>
      </x:c>
      <x:c r="E136" s="25" t="str">
        <x:v>International and Comparative Law Quarterly</x:v>
      </x:c>
      <x:c r="F136" s="25" t="str">
        <x:v>10.1017/s0020589319000046</x:v>
      </x:c>
      <x:c r="G136" s="25" t="str">
        <x:v>https://doi.org/10.1017/s0020589319000046</x:v>
      </x:c>
      <x:c r="H136" s="25" t="str">
        <x:v>OpenAlex</x:v>
      </x:c>
      <x:c r="I136" s="25" t="str">
        <x:v>C4_uncertainty_shared_autonomy</x:v>
      </x:c>
      <x:c r="J136" s="25" t="str">
        <x:v>Exclude</x:v>
      </x:c>
      <x:c r="K136" s="25" t="str">
        <x:v>Exclude: topic mismatch</x:v>
      </x:c>
    </x:row>
    <x:row r="137">
      <x:c r="A137" s="20" t="str">
        <x:v>R0133</x:v>
      </x:c>
      <x:c r="B137" s="25" t="str">
        <x:v>Intelligent In‐Vehicle Interaction Technologies</x:v>
      </x:c>
      <x:c r="C137" s="25" t="n">
        <x:v>2021</x:v>
      </x:c>
      <x:c r="D137" s="25" t="str">
        <x:v>Prajval Kumar Murali; Mohsen Kaboli; Ravinder Dahiya</x:v>
      </x:c>
      <x:c r="E137" s="25" t="str">
        <x:v>Advanced Intelligent Systems</x:v>
      </x:c>
      <x:c r="F137" s="25" t="str">
        <x:v>10.1002/aisy.202100122</x:v>
      </x:c>
      <x:c r="G137" s="25" t="str">
        <x:v>https://doi.org/10.1002/aisy.202100122</x:v>
      </x:c>
      <x:c r="H137" s="25" t="str">
        <x:v>OpenAlex</x:v>
      </x:c>
      <x:c r="I137" s="25" t="str">
        <x:v>C2_interaction_signals</x:v>
      </x:c>
      <x:c r="J137" s="25" t="str">
        <x:v>Exclude</x:v>
      </x:c>
      <x:c r="K137" s="25" t="str">
        <x:v>Exclude: adjacent/redundant or insufficiently theory-generative for DC1</x:v>
      </x:c>
    </x:row>
    <x:row r="138">
      <x:c r="A138" s="20" t="str">
        <x:v>R0134</x:v>
      </x:c>
      <x:c r="B138" s="25" t="str">
        <x:v>Combinatorial Optimization of Graphical User Interface Designs</x:v>
      </x:c>
      <x:c r="C138" s="25" t="n">
        <x:v>2020</x:v>
      </x:c>
      <x:c r="D138" s="25" t="str">
        <x:v>Antti Oulasvirta; Niraj Ramesh Dayama; Morteza Shiripour; Maximilian John; Andreas Karrenbauer</x:v>
      </x:c>
      <x:c r="E138" s="25" t="str">
        <x:v>Proceedings of the IEEE</x:v>
      </x:c>
      <x:c r="F138" s="25" t="str">
        <x:v>10.1109/jproc.2020.2969687</x:v>
      </x:c>
      <x:c r="G138" s="25" t="str">
        <x:v>https://doi.org/10.1109/jproc.2020.2969687</x:v>
      </x:c>
      <x:c r="H138" s="25" t="str">
        <x:v>OpenAlex</x:v>
      </x:c>
      <x:c r="I138" s="25" t="str">
        <x:v>C6_frontend_GUI_intent</x:v>
      </x:c>
      <x:c r="J138" s="25" t="str">
        <x:v>Exclude</x:v>
      </x:c>
      <x:c r="K138" s="25" t="str">
        <x:v>Exclude: topic mismatch</x:v>
      </x:c>
    </x:row>
    <x:row r="139">
      <x:c r="A139" s="20" t="str">
        <x:v>R0135</x:v>
      </x:c>
      <x:c r="B139" s="25" t="str">
        <x:v>ChatGLM: A Family of Large Language Models from GLM-130B to GLM-4 All Tools</x:v>
      </x:c>
      <x:c r="C139" s="25" t="n">
        <x:v>2024</x:v>
      </x:c>
      <x:c r="D139" s="25" t="str">
        <x:v>Team GLM; :; Aohan Zeng; Bin Xu; Bowen Wang; Chenhui Zhang; Da Gang Yin; Zhang, Dan; Diego Rojas; Guanyu Feng; Hanlin Zhao; Hanyu Lai; Hao Yu; Hongning Wang; Jiadai Sun; Jiajie Zhang; Jiale Cheng; Jiayi Gui; Jie Tang; Jing Zhang; Sun, Jingyu; Juanzi Li; Lei Zhao; Lindong Wu; Lucen Zhong; M. Liu; Minlie Huang; Peng Zhang; Qinkai Zheng; Rui Lu; Shuaiqi Duan; Shudan Zhang; Shulin Cao; Shuxun Yang; Weng Lam Tam; Wenyi Zhao; Xiao Liu; Xia Xiao; Xiaohan Zhang; Xiaotao Gu; LV Xin; Xinghan Liu; Xinyi Liu; Xinyue Yang; Xixuan Song; Zhang, Xunkai; Yifan An; Yifan Xu; Yilin Niu; Yuantao Yang; Yueyan Li; Yushi Bai; Yuxiao Dong; Zehan Qi; Zhaoyu Wang; Zhen Yang; Zhengxiao Du; Zhenyu Hou; Zihan Wang</x:v>
      </x:c>
      <x:c r="E139" s="25" t="str">
        <x:v>arXiv (Cornell University)</x:v>
      </x:c>
      <x:c r="F139" s="25" t="str">
        <x:v>10.48550/arxiv.2406.12793</x:v>
      </x:c>
      <x:c r="G139" s="25" t="str">
        <x:v>http://arxiv.org/abs/2406.12793</x:v>
      </x:c>
      <x:c r="H139" s="25" t="str">
        <x:v>OpenAlex</x:v>
      </x:c>
      <x:c r="I139" s="25" t="str">
        <x:v>C6_frontend_GUI_intent</x:v>
      </x:c>
      <x:c r="J139" s="25" t="str">
        <x:v>Exclude</x:v>
      </x:c>
      <x:c r="K139" s="25" t="str">
        <x:v>Exclude: adjacent/redundant or insufficiently theory-generative for DC1</x:v>
      </x:c>
    </x:row>
    <x:row r="140">
      <x:c r="A140" s="20" t="str">
        <x:v>R0136</x:v>
      </x:c>
      <x:c r="B140" s="25" t="str">
        <x:v>Designing Transparency for Effective Human-AI Collaboration</x:v>
      </x:c>
      <x:c r="C140" s="25" t="n">
        <x:v>2022</x:v>
      </x:c>
      <x:c r="D140" s="25" t="str">
        <x:v>Michael Vössing; Niklas Kühl; Matteo Lind; Gerhard Satzger</x:v>
      </x:c>
      <x:c r="E140" s="25" t="str">
        <x:v>Information Systems Frontiers</x:v>
      </x:c>
      <x:c r="F140" s="25" t="str">
        <x:v>10.1007/s10796-022-10284-3</x:v>
      </x:c>
      <x:c r="G140" s="25" t="str">
        <x:v>https://doi.org/10.1007/s10796-022-10284-3</x:v>
      </x:c>
      <x:c r="H140" s="25" t="str">
        <x:v>OpenAlex</x:v>
      </x:c>
      <x:c r="I140" s="25" t="str">
        <x:v>C4_uncertainty_shared_autonomy</x:v>
      </x:c>
      <x:c r="J140" s="25" t="str">
        <x:v>Exclude</x:v>
      </x:c>
      <x:c r="K140" s="25" t="str">
        <x:v>Exclude: topic mismatch</x:v>
      </x:c>
    </x:row>
    <x:row r="141">
      <x:c r="A141" s="20" t="str">
        <x:v>R0137</x:v>
      </x:c>
      <x:c r="B141" s="25" t="str">
        <x:v>Humans as Creativity Gatekeepers: Are We Biased Against AI Creativity?</x:v>
      </x:c>
      <x:c r="C141" s="25" t="n">
        <x:v>2023</x:v>
      </x:c>
      <x:c r="D141" s="25" t="str">
        <x:v>Federico Magni; Jiyoung Park; Melody Manchi Chao</x:v>
      </x:c>
      <x:c r="E141" s="25" t="str">
        <x:v>Journal of Business and Psychology</x:v>
      </x:c>
      <x:c r="F141" s="25" t="str">
        <x:v>10.1007/s10869-023-09910-x</x:v>
      </x:c>
      <x:c r="G141" s="25" t="str">
        <x:v>https://doi.org/10.1007/s10869-023-09910-x</x:v>
      </x:c>
      <x:c r="H141" s="25" t="str">
        <x:v>OpenAlex</x:v>
      </x:c>
      <x:c r="I141" s="25" t="str">
        <x:v>C7_creative_agency</x:v>
      </x:c>
      <x:c r="J141" s="25" t="str">
        <x:v>Exclude</x:v>
      </x:c>
      <x:c r="K141" s="25" t="str">
        <x:v>Exclude: adjacent/redundant or insufficiently theory-generative for DC1</x:v>
      </x:c>
    </x:row>
    <x:row r="142">
      <x:c r="A142" s="20" t="str">
        <x:v>R0138</x:v>
      </x:c>
      <x:c r="B142" s="25" t="str">
        <x:v>Human-centred learning analytics and AI in education: A systematic literature review</x:v>
      </x:c>
      <x:c r="C142" s="25" t="n">
        <x:v>2024</x:v>
      </x:c>
      <x:c r="D142" s="25" t="str">
        <x:v>Riordan Alfredo; Vanessa Echeverría; Yueqiao Jin; Lixiang Yan; Zachari Swiecki; Dragan Gašević; Roberto Martínez‐Maldonado</x:v>
      </x:c>
      <x:c r="E142" s="25" t="str">
        <x:v>Computers and Education Artificial Intelligence</x:v>
      </x:c>
      <x:c r="F142" s="25" t="str">
        <x:v>10.1016/j.caeai.2024.100215</x:v>
      </x:c>
      <x:c r="G142" s="25" t="str">
        <x:v>https://doi.org/10.1016/j.caeai.2024.100215</x:v>
      </x:c>
      <x:c r="H142" s="25" t="str">
        <x:v>OpenAlex</x:v>
      </x:c>
      <x:c r="I142" s="25" t="str">
        <x:v>C7_creative_agency</x:v>
      </x:c>
      <x:c r="J142" s="25" t="str">
        <x:v>Exclude</x:v>
      </x:c>
      <x:c r="K142" s="25" t="str">
        <x:v>Exclude: topic mismatch</x:v>
      </x:c>
    </x:row>
    <x:row r="143">
      <x:c r="A143" s="20" t="str">
        <x:v>R0139</x:v>
      </x:c>
      <x:c r="B143" s="25" t="str">
        <x:v>Neural correlates of semantic and episodic memory retrieval</x:v>
      </x:c>
      <x:c r="C143" s="25" t="n">
        <x:v>1998</x:v>
      </x:c>
      <x:c r="D143" s="25" t="str">
        <x:v>Cheri L Wiggs; Jill Weisberg; Alex Martin</x:v>
      </x:c>
      <x:c r="E143" s="25" t="str">
        <x:v>Neuropsychologia</x:v>
      </x:c>
      <x:c r="F143" s="25" t="str">
        <x:v>10.1016/s0028-3932(98)00044-x</x:v>
      </x:c>
      <x:c r="G143" s="25" t="str">
        <x:v>https://doi.org/10.1016/s0028-3932(98)00044-x</x:v>
      </x:c>
      <x:c r="H143" s="25" t="str">
        <x:v>Crossref</x:v>
      </x:c>
      <x:c r="I143" s="25" t="str">
        <x:v>C5_agent_memory</x:v>
      </x:c>
      <x:c r="J143" s="25" t="str">
        <x:v>Exclude</x:v>
      </x:c>
      <x:c r="K143" s="25" t="str">
        <x:v>Exclude: adjacent/redundant or insufficiently theory-generative for DC1</x:v>
      </x:c>
    </x:row>
    <x:row r="144">
      <x:c r="A144" s="20" t="str">
        <x:v>R0140</x:v>
      </x:c>
      <x:c r="B144" s="25" t="str">
        <x:v>Spatial Reasoning With External Visualizations: What Matters Is What You See, Not Whether You Interact</x:v>
      </x:c>
      <x:c r="C144" s="25" t="n">
        <x:v>2008</x:v>
      </x:c>
      <x:c r="D144" s="25" t="str">
        <x:v>Madeleine Keehner; Mary Hegarty; Cheryl A. Cohen; Peter Khooshabeh; Daniel R. Montello</x:v>
      </x:c>
      <x:c r="E144" s="25" t="str">
        <x:v>Cognitive Science</x:v>
      </x:c>
      <x:c r="F144" s="25" t="str">
        <x:v>10.1080/03640210801898177</x:v>
      </x:c>
      <x:c r="G144" s="25" t="str">
        <x:v>https://doi.org/10.1080/03640210801898177</x:v>
      </x:c>
      <x:c r="H144" s="25" t="str">
        <x:v>OpenAlex</x:v>
      </x:c>
      <x:c r="I144" s="25" t="str">
        <x:v>C1_3D_mental_models</x:v>
      </x:c>
      <x:c r="J144" s="25" t="str">
        <x:v>Exclude</x:v>
      </x:c>
      <x:c r="K144" s="25" t="str">
        <x:v>Exclude: adjacent/redundant or insufficiently theory-generative for DC1</x:v>
      </x:c>
    </x:row>
    <x:row r="145">
      <x:c r="A145" s="20" t="str">
        <x:v>R0141</x:v>
      </x:c>
      <x:c r="B145" s="25" t="str">
        <x:v>Foundation models in robotics: Applications, challenges, and the future</x:v>
      </x:c>
      <x:c r="C145" s="25" t="n">
        <x:v>2024</x:v>
      </x:c>
      <x:c r="D145" s="25" t="str">
        <x:v>Roya Firoozi; Johnathan Tucker; Stephen Tian; Anirudha Majumdar; Jiankai Sun; Weiyu Liu; Yuke Zhu; Shuran Song; Ashish Kapoor; Karol Hausman; Brian Ichter; Danny Driess; Jia-Jun Wu; Cewu Lu; Mac Schwager</x:v>
      </x:c>
      <x:c r="E145" s="25" t="str">
        <x:v>The International Journal of Robotics Research</x:v>
      </x:c>
      <x:c r="F145" s="25" t="str">
        <x:v>10.1177/02783649241281508</x:v>
      </x:c>
      <x:c r="G145" s="25" t="str">
        <x:v>https://doi.org/10.1177/02783649241281508</x:v>
      </x:c>
      <x:c r="H145" s="25" t="str">
        <x:v>OpenAlex</x:v>
      </x:c>
      <x:c r="I145" s="25" t="str">
        <x:v>C5_agent_memory; C8_AI_3D_authoring</x:v>
      </x:c>
      <x:c r="J145" s="25" t="str">
        <x:v>Exclude</x:v>
      </x:c>
      <x:c r="K145" s="25" t="str">
        <x:v>Exclude: adjacent/redundant or insufficiently theory-generative for DC1</x:v>
      </x:c>
    </x:row>
    <x:row r="146">
      <x:c r="A146" s="20" t="str">
        <x:v>R0142</x:v>
      </x:c>
      <x:c r="B146" s="25" t="str">
        <x:v>Dark patterns in proxemic interactions</x:v>
      </x:c>
      <x:c r="C146" s="25" t="n">
        <x:v>2014</x:v>
      </x:c>
      <x:c r="D146" s="25" t="str">
        <x:v>Saul Greenberg; Sebastian Boring; Jo Vermeulen; Jakub Dostál</x:v>
      </x:c>
      <x:c r="E146" s="25" t="str"/>
      <x:c r="F146" s="25" t="str">
        <x:v>10.1145/2598510.2598541</x:v>
      </x:c>
      <x:c r="G146" s="25" t="str">
        <x:v>https://doi.org/10.1145/2598510.2598541</x:v>
      </x:c>
      <x:c r="H146" s="25" t="str">
        <x:v>OpenAlex</x:v>
      </x:c>
      <x:c r="I146" s="25" t="str">
        <x:v>C2_interaction_signals</x:v>
      </x:c>
      <x:c r="J146" s="25" t="str">
        <x:v>Exclude</x:v>
      </x:c>
      <x:c r="K146" s="25" t="str">
        <x:v>Exclude: topic mismatch</x:v>
      </x:c>
    </x:row>
    <x:row r="147">
      <x:c r="A147" s="20" t="str">
        <x:v>R0143</x:v>
      </x:c>
      <x:c r="B147" s="25" t="str">
        <x:v>Recent advancements in multimodal human–robot interaction</x:v>
      </x:c>
      <x:c r="C147" s="25" t="n">
        <x:v>2023</x:v>
      </x:c>
      <x:c r="D147" s="25" t="str">
        <x:v>Hang Su; Wen Qi; Jiahao Chen; Chenguang Yang; Juan Sandoval; Med Amine Laribi</x:v>
      </x:c>
      <x:c r="E147" s="25" t="str">
        <x:v>Frontiers in Neurorobotics</x:v>
      </x:c>
      <x:c r="F147" s="25" t="str">
        <x:v>10.3389/fnbot.2023.1084000</x:v>
      </x:c>
      <x:c r="G147" s="25" t="str">
        <x:v>https://doi.org/10.3389/fnbot.2023.1084000</x:v>
      </x:c>
      <x:c r="H147" s="25" t="str">
        <x:v>OpenAlex</x:v>
      </x:c>
      <x:c r="I147" s="25" t="str">
        <x:v>C2_interaction_signals; C6_frontend_GUI_intent</x:v>
      </x:c>
      <x:c r="J147" s="25" t="str">
        <x:v>Exclude</x:v>
      </x:c>
      <x:c r="K147" s="25" t="str">
        <x:v>Exclude: topic mismatch</x:v>
      </x:c>
    </x:row>
    <x:row r="148">
      <x:c r="A148" s="20" t="str">
        <x:v>R0144</x:v>
      </x:c>
      <x:c r="B148" s="25" t="str">
        <x:v>When Does Semantic Similarity Help Episodic Retrieval?</x:v>
      </x:c>
      <x:c r="C148" s="25" t="n">
        <x:v>2002</x:v>
      </x:c>
      <x:c r="D148" s="25" t="str">
        <x:v>Marc W Howard; Michael J Kahana</x:v>
      </x:c>
      <x:c r="E148" s="25" t="str">
        <x:v>Journal of Memory and Language</x:v>
      </x:c>
      <x:c r="F148" s="25" t="str">
        <x:v>10.1006/jmla.2001.2798</x:v>
      </x:c>
      <x:c r="G148" s="25" t="str">
        <x:v>https://doi.org/10.1006/jmla.2001.2798</x:v>
      </x:c>
      <x:c r="H148" s="25" t="str">
        <x:v>Crossref</x:v>
      </x:c>
      <x:c r="I148" s="25" t="str">
        <x:v>C5_agent_memory</x:v>
      </x:c>
      <x:c r="J148" s="25" t="str">
        <x:v>Exclude</x:v>
      </x:c>
      <x:c r="K148" s="25" t="str">
        <x:v>Exclude: topic mismatch</x:v>
      </x:c>
    </x:row>
    <x:row r="149">
      <x:c r="A149" s="20" t="str">
        <x:v>R0145</x:v>
      </x:c>
      <x:c r="B149" s="25" t="str">
        <x:v>Human Factors Considerations and Metrics in Shared Space Human-Robot Collaboration: A Systematic Review</x:v>
      </x:c>
      <x:c r="C149" s="25" t="n">
        <x:v>2022</x:v>
      </x:c>
      <x:c r="D149" s="25" t="str">
        <x:v>Sarah K. Hopko; Jingkun Wang; Ranjana K. Mehta</x:v>
      </x:c>
      <x:c r="E149" s="25" t="str">
        <x:v>Frontiers in Robotics and AI</x:v>
      </x:c>
      <x:c r="F149" s="25" t="str">
        <x:v>10.3389/frobt.2022.799522</x:v>
      </x:c>
      <x:c r="G149" s="25" t="str">
        <x:v>https://doi.org/10.3389/frobt.2022.799522</x:v>
      </x:c>
      <x:c r="H149" s="25" t="str">
        <x:v>OpenAlex</x:v>
      </x:c>
      <x:c r="I149" s="25" t="str">
        <x:v>C4_uncertainty_shared_autonomy</x:v>
      </x:c>
      <x:c r="J149" s="25" t="str">
        <x:v>Exclude</x:v>
      </x:c>
      <x:c r="K149" s="25" t="str">
        <x:v>Exclude: adjacent/redundant or insufficiently theory-generative for DC1</x:v>
      </x:c>
    </x:row>
    <x:row r="150">
      <x:c r="A150" s="20" t="str">
        <x:v>R0146</x:v>
      </x:c>
      <x:c r="B150" s="25" t="str">
        <x:v>Brain-Computer Interfacing and Games</x:v>
      </x:c>
      <x:c r="C150" s="25" t="n">
        <x:v>2010</x:v>
      </x:c>
      <x:c r="D150" s="25" t="str">
        <x:v>Danny Plass-Oude Bos; Boris Reuderink; Bram van de Laar; Hayrettin Gürkök; Christian Mühl; Mannes Poel; Anton Nijholt; Dirk Heylen</x:v>
      </x:c>
      <x:c r="E150" s="25" t="str">
        <x:v>Human-computer interaction series</x:v>
      </x:c>
      <x:c r="F150" s="25" t="str">
        <x:v>10.1007/978-1-84996-272-8_10</x:v>
      </x:c>
      <x:c r="G150" s="25" t="str">
        <x:v>https://doi.org/10.1007/978-1-84996-272-8_10</x:v>
      </x:c>
      <x:c r="H150" s="25" t="str">
        <x:v>OpenAlex</x:v>
      </x:c>
      <x:c r="I150" s="25" t="str">
        <x:v>C1_3D_mental_models</x:v>
      </x:c>
      <x:c r="J150" s="25" t="str">
        <x:v>Exclude</x:v>
      </x:c>
      <x:c r="K150" s="25" t="str">
        <x:v>Exclude: topic mismatch</x:v>
      </x:c>
    </x:row>
    <x:row r="151">
      <x:c r="A151" s="20" t="str">
        <x:v>R0147</x:v>
      </x:c>
      <x:c r="B151" s="25" t="str">
        <x:v>A Comprehensive Survey on Pretrained Foundation Models: A History from BERT to ChatGPT</x:v>
      </x:c>
      <x:c r="C151" s="25" t="n">
        <x:v>2023</x:v>
      </x:c>
      <x:c r="D151" s="25" t="str">
        <x:v>Ce Zhou; Qian Li; Chen Li; Jun Yu; Yixin Liu; Guangjing Wang; Kai Zhang; Cheng Ji; Qiben Yan; Lifang He; Hao Peng; Jianxin Li; Jia Wu; Ziwei Liu; Pengtao Xie; Caiming Xiong; Jian Pei; Philip S. Yu; Lichao Sun</x:v>
      </x:c>
      <x:c r="E151" s="25" t="str">
        <x:v>arXiv (Cornell University)</x:v>
      </x:c>
      <x:c r="F151" s="25" t="str">
        <x:v>10.48550/arxiv.2302.09419</x:v>
      </x:c>
      <x:c r="G151" s="25" t="str">
        <x:v>http://arxiv.org/abs/2302.09419</x:v>
      </x:c>
      <x:c r="H151" s="25" t="str">
        <x:v>OpenAlex</x:v>
      </x:c>
      <x:c r="I151" s="25" t="str">
        <x:v>C8_AI_3D_authoring</x:v>
      </x:c>
      <x:c r="J151" s="25" t="str">
        <x:v>Exclude</x:v>
      </x:c>
      <x:c r="K151" s="25" t="str">
        <x:v>Exclude: adjacent/redundant or insufficiently theory-generative for DC1</x:v>
      </x:c>
    </x:row>
    <x:row r="152">
      <x:c r="A152" s="20" t="str">
        <x:v>R0148</x:v>
      </x:c>
      <x:c r="B152" s="25" t="str">
        <x:v>Artificial Intelligence–HRM Interactions and Outcomes: A Systematic Review and Causal Configurational Explanation</x:v>
      </x:c>
      <x:c r="C152" s="25" t="n">
        <x:v>2022</x:v>
      </x:c>
      <x:c r="D152" s="25" t="str">
        <x:v>Shubhabrata Basu; Bishakha Majumdar; Kajari Mukherjee; Surender Munjal; Chandan Palaksha</x:v>
      </x:c>
      <x:c r="E152" s="25" t="str">
        <x:v>Human Resource Management Review</x:v>
      </x:c>
      <x:c r="F152" s="25" t="str">
        <x:v>10.1016/j.hrmr.2022.100893</x:v>
      </x:c>
      <x:c r="G152" s="25" t="str">
        <x:v>https://doi.org/10.1016/j.hrmr.2022.100893</x:v>
      </x:c>
      <x:c r="H152" s="25" t="str">
        <x:v>OpenAlex</x:v>
      </x:c>
      <x:c r="I152" s="25" t="str">
        <x:v>C2_interaction_signals; C4_uncertainty_shared_autonomy</x:v>
      </x:c>
      <x:c r="J152" s="25" t="str">
        <x:v>Exclude</x:v>
      </x:c>
      <x:c r="K152" s="25" t="str">
        <x:v>Exclude: topic mismatch</x:v>
      </x:c>
    </x:row>
    <x:row r="153">
      <x:c r="A153" s="20" t="str">
        <x:v>R0149</x:v>
      </x:c>
      <x:c r="B153" s="25" t="str">
        <x:v>Mobile Augmented Reality: User Interfaces, Frameworks, and Intelligence</x:v>
      </x:c>
      <x:c r="C153" s="25" t="n">
        <x:v>2022</x:v>
      </x:c>
      <x:c r="D153" s="25" t="str">
        <x:v>Jacky Cao; Kit Yung Lam; Lik‐Hang Lee; Xiaoli Liu; Pan Hui; Xiang Su</x:v>
      </x:c>
      <x:c r="E153" s="25" t="str">
        <x:v>ACM Computing Surveys</x:v>
      </x:c>
      <x:c r="F153" s="25" t="str">
        <x:v>10.1145/3557999</x:v>
      </x:c>
      <x:c r="G153" s="25" t="str">
        <x:v>https://doi.org/10.1145/3557999</x:v>
      </x:c>
      <x:c r="H153" s="25" t="str">
        <x:v>OpenAlex</x:v>
      </x:c>
      <x:c r="I153" s="25" t="str">
        <x:v>C2_interaction_signals</x:v>
      </x:c>
      <x:c r="J153" s="25" t="str">
        <x:v>Exclude</x:v>
      </x:c>
      <x:c r="K153" s="25" t="str">
        <x:v>Exclude: adjacent/redundant or insufficiently theory-generative for DC1</x:v>
      </x:c>
    </x:row>
    <x:row r="154">
      <x:c r="A154" s="20" t="str">
        <x:v>R0150</x:v>
      </x:c>
      <x:c r="B154" s="25" t="str">
        <x:v>“The Word Real Is No Longer Real”: Deepfakes, Gender, and the Challenges of AI-Altered Video</x:v>
      </x:c>
      <x:c r="C154" s="25" t="n">
        <x:v>2019</x:v>
      </x:c>
      <x:c r="D154" s="25" t="str">
        <x:v>Travis L. Wagner; Ashley Blewer</x:v>
      </x:c>
      <x:c r="E154" s="25" t="str">
        <x:v>Open Information Science</x:v>
      </x:c>
      <x:c r="F154" s="25" t="str">
        <x:v>10.1515/opis-2019-0003</x:v>
      </x:c>
      <x:c r="G154" s="25" t="str">
        <x:v>https://doi.org/10.1515/opis-2019-0003</x:v>
      </x:c>
      <x:c r="H154" s="25" t="str">
        <x:v>OpenAlex</x:v>
      </x:c>
      <x:c r="I154" s="25" t="str">
        <x:v>C8_AI_3D_authoring</x:v>
      </x:c>
      <x:c r="J154" s="25" t="str">
        <x:v>Exclude</x:v>
      </x:c>
      <x:c r="K154" s="25" t="str">
        <x:v>Exclude: topic mismatch</x:v>
      </x:c>
    </x:row>
    <x:row r="155">
      <x:c r="A155" s="20" t="str">
        <x:v>R0151</x:v>
      </x:c>
      <x:c r="B155" s="25" t="str">
        <x:v>Engagement in Human-Agent Interaction: An Overview</x:v>
      </x:c>
      <x:c r="C155" s="25" t="n">
        <x:v>2020</x:v>
      </x:c>
      <x:c r="D155" s="25" t="str">
        <x:v>Catharine Oertel; Ginevra Castellano; Mohamed Chétouani; Jauwairia Nasir; Mohammad Obaid; Catherine Pélachaud; Christopher L. Peters</x:v>
      </x:c>
      <x:c r="E155" s="25" t="str">
        <x:v>Frontiers in Robotics and AI</x:v>
      </x:c>
      <x:c r="F155" s="25" t="str">
        <x:v>10.3389/frobt.2020.00092</x:v>
      </x:c>
      <x:c r="G155" s="25" t="str">
        <x:v>https://doi.org/10.3389/frobt.2020.00092</x:v>
      </x:c>
      <x:c r="H155" s="25" t="str">
        <x:v>OpenAlex</x:v>
      </x:c>
      <x:c r="I155" s="25" t="str">
        <x:v>C2_interaction_signals</x:v>
      </x:c>
      <x:c r="J155" s="25" t="str">
        <x:v>Exclude</x:v>
      </x:c>
      <x:c r="K155" s="25" t="str">
        <x:v>Exclude: topic mismatch</x:v>
      </x:c>
    </x:row>
    <x:row r="156">
      <x:c r="A156" s="20" t="str">
        <x:v>R0152</x:v>
      </x:c>
      <x:c r="B156" s="25" t="str">
        <x:v>Is Question Answering fit for the Semantic Web?: A survey</x:v>
      </x:c>
      <x:c r="C156" s="25" t="n">
        <x:v>2011</x:v>
      </x:c>
      <x:c r="D156" s="25" t="str">
        <x:v>Vanessa López; Victoria Uren; Marta Sabou; Enrico Motta</x:v>
      </x:c>
      <x:c r="E156" s="25" t="str">
        <x:v>Semantic Web</x:v>
      </x:c>
      <x:c r="F156" s="25" t="str">
        <x:v>10.3233/sw-2011-0041</x:v>
      </x:c>
      <x:c r="G156" s="25" t="str">
        <x:v>https://doi.org/10.3233/sw-2011-0041</x:v>
      </x:c>
      <x:c r="H156" s="25" t="str">
        <x:v>OpenAlex</x:v>
      </x:c>
      <x:c r="I156" s="25" t="str">
        <x:v>C6_frontend_GUI_intent</x:v>
      </x:c>
      <x:c r="J156" s="25" t="str">
        <x:v>Exclude</x:v>
      </x:c>
      <x:c r="K156" s="25" t="str">
        <x:v>Exclude: topic mismatch</x:v>
      </x:c>
    </x:row>
    <x:row r="157">
      <x:c r="A157" s="20" t="str">
        <x:v>R0153</x:v>
      </x:c>
      <x:c r="B157" s="25" t="str">
        <x:v>Single-trial classification of NIRS signals during emotional induction tasks: towards a corporeal machine interface</x:v>
      </x:c>
      <x:c r="C157" s="25" t="n">
        <x:v>2009</x:v>
      </x:c>
      <x:c r="D157" s="25" t="str">
        <x:v>Kelly Tai; Tom Chau</x:v>
      </x:c>
      <x:c r="E157" s="25" t="str">
        <x:v>Journal of NeuroEngineering and Rehabilitation</x:v>
      </x:c>
      <x:c r="F157" s="25" t="str">
        <x:v>10.1186/1743-0003-6-39</x:v>
      </x:c>
      <x:c r="G157" s="25" t="str">
        <x:v>https://doi.org/10.1186/1743-0003-6-39</x:v>
      </x:c>
      <x:c r="H157" s="25" t="str">
        <x:v>OpenAlex</x:v>
      </x:c>
      <x:c r="I157" s="25" t="str">
        <x:v>C2_interaction_signals</x:v>
      </x:c>
      <x:c r="J157" s="25" t="str">
        <x:v>Exclude</x:v>
      </x:c>
      <x:c r="K157" s="25" t="str">
        <x:v>Exclude: topic mismatch</x:v>
      </x:c>
    </x:row>
    <x:row r="158">
      <x:c r="A158" s="20" t="str">
        <x:v>R0154</x:v>
      </x:c>
      <x:c r="B158" s="25" t="str">
        <x:v>AI Creativity and the Human-AI Co-creation Model</x:v>
      </x:c>
      <x:c r="C158" s="25" t="n">
        <x:v>2021</x:v>
      </x:c>
      <x:c r="D158" s="25" t="str">
        <x:v>Zhuohao Wu; Danwen Ji; Kaiwen Yu; Xianxu Zeng; Dingming Wu; Mohammad Shidujaman</x:v>
      </x:c>
      <x:c r="E158" s="25" t="str">
        <x:v>Lecture Notes in Computer Science</x:v>
      </x:c>
      <x:c r="F158" s="25" t="str">
        <x:v>10.1007/978-3-030-78462-1_13</x:v>
      </x:c>
      <x:c r="G158" s="25" t="str">
        <x:v>https://doi.org/10.1007/978-3-030-78462-1_13</x:v>
      </x:c>
      <x:c r="H158" s="25" t="str">
        <x:v>Crossref</x:v>
      </x:c>
      <x:c r="I158" s="25" t="str">
        <x:v>C3_mixed_initiative_cocreation</x:v>
      </x:c>
      <x:c r="J158" s="25" t="str">
        <x:v>Exclude</x:v>
      </x:c>
      <x:c r="K158" s="25" t="str">
        <x:v>Exclude: adjacent/redundant or insufficiently theory-generative for DC1</x:v>
      </x:c>
    </x:row>
    <x:row r="159">
      <x:c r="A159" s="20" t="str">
        <x:v>R0155</x:v>
      </x:c>
      <x:c r="B159" s="25" t="str">
        <x:v>The AI Ghostwriter Effect: When Users do not Perceive Ownership of AI-Generated Text but Self-Declare as Authors</x:v>
      </x:c>
      <x:c r="C159" s="25" t="n">
        <x:v>2023</x:v>
      </x:c>
      <x:c r="D159" s="25" t="str">
        <x:v>Fiona Draxler; Anna Werner; Florian Lehmann; Matthias Hoppe; Albrecht Schmidt; Daniel Buschek; Robin Welsch</x:v>
      </x:c>
      <x:c r="E159" s="25" t="str">
        <x:v>ACM Transactions on Computer-Human Interaction</x:v>
      </x:c>
      <x:c r="F159" s="25" t="str">
        <x:v>10.1145/3637875</x:v>
      </x:c>
      <x:c r="G159" s="25" t="str">
        <x:v>https://doi.org/10.1145/3637875</x:v>
      </x:c>
      <x:c r="H159" s="25" t="str">
        <x:v>OpenAlex</x:v>
      </x:c>
      <x:c r="I159" s="25" t="str">
        <x:v>C3_mixed_initiative_cocreation</x:v>
      </x:c>
      <x:c r="J159" s="25" t="str">
        <x:v>Exclude</x:v>
      </x:c>
      <x:c r="K159" s="25" t="str">
        <x:v>Exclude: topic mismatch</x:v>
      </x:c>
    </x:row>
    <x:row r="160">
      <x:c r="A160" s="20" t="str">
        <x:v>R0156</x:v>
      </x:c>
      <x:c r="B160" s="25" t="str">
        <x:v>A Current Review of Machine Learning and Deep Learning Models in Oral Cancer Diagnosis: Recent Technologies, Open Challenges, and Future Research Directions</x:v>
      </x:c>
      <x:c r="C160" s="25" t="n">
        <x:v>2023</x:v>
      </x:c>
      <x:c r="D160" s="25" t="str">
        <x:v>Shriniket Dixit; Anant Kumar; Kathiravan Srinivasan</x:v>
      </x:c>
      <x:c r="E160" s="25" t="str">
        <x:v>Diagnostics</x:v>
      </x:c>
      <x:c r="F160" s="25" t="str">
        <x:v>10.3390/diagnostics13071353</x:v>
      </x:c>
      <x:c r="G160" s="25" t="str">
        <x:v>https://doi.org/10.3390/diagnostics13071353</x:v>
      </x:c>
      <x:c r="H160" s="25" t="str">
        <x:v>OpenAlex</x:v>
      </x:c>
      <x:c r="I160" s="25" t="str">
        <x:v>C8_AI_3D_authoring</x:v>
      </x:c>
      <x:c r="J160" s="25" t="str">
        <x:v>Exclude</x:v>
      </x:c>
      <x:c r="K160" s="25" t="str">
        <x:v>Exclude: adjacent/redundant or insufficiently theory-generative for DC1</x:v>
      </x:c>
    </x:row>
    <x:row r="161">
      <x:c r="A161" s="20" t="str">
        <x:v>R0157</x:v>
      </x:c>
      <x:c r="B161" s="25" t="str">
        <x:v>AI Agents vs. Agentic AI: A Conceptual Taxonomy, Applications and Challenges</x:v>
      </x:c>
      <x:c r="C161" s="25" t="n">
        <x:v>2025</x:v>
      </x:c>
      <x:c r="D161" s="25" t="str">
        <x:v>Ranjan Sapkota; Konstantinos I. Roumeliotis; Manoj Karkee</x:v>
      </x:c>
      <x:c r="E161" s="25" t="str">
        <x:v>SuperIntelligence - Robotics - Safety &amp; Alignment</x:v>
      </x:c>
      <x:c r="F161" s="25" t="str">
        <x:v>10.70777/si.v2i3.15161</x:v>
      </x:c>
      <x:c r="G161" s="25" t="str">
        <x:v>https://doi.org/10.70777/si.v2i3.15161</x:v>
      </x:c>
      <x:c r="H161" s="25" t="str">
        <x:v>OpenAlex</x:v>
      </x:c>
      <x:c r="I161" s="25" t="str">
        <x:v>C5_agent_memory</x:v>
      </x:c>
      <x:c r="J161" s="25" t="str">
        <x:v>Exclude</x:v>
      </x:c>
      <x:c r="K161" s="25" t="str">
        <x:v>Exclude: adjacent/redundant or insufficiently theory-generative for DC1</x:v>
      </x:c>
    </x:row>
    <x:row r="162">
      <x:c r="A162" s="20" t="str">
        <x:v>R0158</x:v>
      </x:c>
      <x:c r="B162" s="25" t="str">
        <x:v>Augmented Language Models: a Survey</x:v>
      </x:c>
      <x:c r="C162" s="25" t="n">
        <x:v>2023</x:v>
      </x:c>
      <x:c r="D162" s="25" t="str">
        <x:v>Grégoire Mialon; Roberto Dessì; María Lomelí; Christoforos Nalmpantis; Ram Pasunuru; Roberta Răileanu; Baptiste Rozière; Timo Schick; Jane Dwivedi-Yu; Aslı Çelikyılmaz; Édouard Grave; Yann LeCun; Thomas Scialom</x:v>
      </x:c>
      <x:c r="E162" s="25" t="str">
        <x:v>arXiv (Cornell University)</x:v>
      </x:c>
      <x:c r="F162" s="25" t="str">
        <x:v>10.48550/arxiv.2302.07842</x:v>
      </x:c>
      <x:c r="G162" s="25" t="str">
        <x:v>http://arxiv.org/abs/2302.07842</x:v>
      </x:c>
      <x:c r="H162" s="25" t="str">
        <x:v>OpenAlex</x:v>
      </x:c>
      <x:c r="I162" s="25" t="str">
        <x:v>C8_AI_3D_authoring</x:v>
      </x:c>
      <x:c r="J162" s="25" t="str">
        <x:v>Exclude</x:v>
      </x:c>
      <x:c r="K162" s="25" t="str">
        <x:v>Exclude: adjacent/redundant or insufficiently theory-generative for DC1</x:v>
      </x:c>
    </x:row>
    <x:row r="163">
      <x:c r="A163" s="20" t="str">
        <x:v>R0159</x:v>
      </x:c>
      <x:c r="B163" s="25" t="str">
        <x:v>Homogenization Effects of Large Language Models on Human Creative Ideation</x:v>
      </x:c>
      <x:c r="C163" s="25" t="n">
        <x:v>2024</x:v>
      </x:c>
      <x:c r="D163" s="25" t="str">
        <x:v>Barrett R. Anderson; Jash Hemant Shah; Max Kreminski</x:v>
      </x:c>
      <x:c r="E163" s="25" t="str">
        <x:v>Creativity and Cognition</x:v>
      </x:c>
      <x:c r="F163" s="25" t="str">
        <x:v>10.1145/3635636.3656204</x:v>
      </x:c>
      <x:c r="G163" s="25" t="str">
        <x:v>https://doi.org/10.1145/3635636.3656204</x:v>
      </x:c>
      <x:c r="H163" s="25" t="str">
        <x:v>OpenAlex</x:v>
      </x:c>
      <x:c r="I163" s="25" t="str">
        <x:v>C3_mixed_initiative_cocreation</x:v>
      </x:c>
      <x:c r="J163" s="25" t="str">
        <x:v>Exclude</x:v>
      </x:c>
      <x:c r="K163" s="25" t="str">
        <x:v>Exclude: adjacent/redundant or insufficiently theory-generative for DC1</x:v>
      </x:c>
    </x:row>
    <x:row r="164">
      <x:c r="A164" s="20" t="str">
        <x:v>R0160</x:v>
      </x:c>
      <x:c r="B164" s="25" t="str">
        <x:v>Non-Invasive Brain-Computer Interfaces: State of the Art and Trends</x:v>
      </x:c>
      <x:c r="C164" s="25" t="n">
        <x:v>2024</x:v>
      </x:c>
      <x:c r="D164" s="25" t="str">
        <x:v>Bradley J. Edelman; Shuailei Zhang; Gerwin Schalk; Peter Brunner; Gernot Müller-Putz; Cuntai Guan; Bin He</x:v>
      </x:c>
      <x:c r="E164" s="25" t="str">
        <x:v>IEEE Reviews in Biomedical Engineering</x:v>
      </x:c>
      <x:c r="F164" s="25" t="str">
        <x:v>10.1109/rbme.2024.3449790</x:v>
      </x:c>
      <x:c r="G164" s="25" t="str">
        <x:v>https://doi.org/10.1109/rbme.2024.3449790</x:v>
      </x:c>
      <x:c r="H164" s="25" t="str">
        <x:v>OpenAlex</x:v>
      </x:c>
      <x:c r="I164" s="25" t="str">
        <x:v>C2_interaction_signals</x:v>
      </x:c>
      <x:c r="J164" s="25" t="str">
        <x:v>Exclude</x:v>
      </x:c>
      <x:c r="K164" s="25" t="str">
        <x:v>Exclude: topic mismatch</x:v>
      </x:c>
    </x:row>
    <x:row r="165">
      <x:c r="A165" s="20" t="str">
        <x:v>R0161</x:v>
      </x:c>
      <x:c r="B165" s="25" t="str">
        <x:v>A Survey of Query Auto Completion in Information Retrieval</x:v>
      </x:c>
      <x:c r="C165" s="25" t="n">
        <x:v>2016</x:v>
      </x:c>
      <x:c r="D165" s="25" t="str">
        <x:v>Fei Cai; Maarten de Rijke</x:v>
      </x:c>
      <x:c r="E165" s="25" t="str">
        <x:v>Foundations and Trends® in Information Retrieval</x:v>
      </x:c>
      <x:c r="F165" s="25" t="str">
        <x:v>10.1561/1500000055</x:v>
      </x:c>
      <x:c r="G165" s="25" t="str">
        <x:v>https://doi.org/10.1561/1500000055</x:v>
      </x:c>
      <x:c r="H165" s="25" t="str">
        <x:v>OpenAlex</x:v>
      </x:c>
      <x:c r="I165" s="25" t="str">
        <x:v>C2_interaction_signals</x:v>
      </x:c>
      <x:c r="J165" s="25" t="str">
        <x:v>Exclude</x:v>
      </x:c>
      <x:c r="K165" s="25" t="str">
        <x:v>Exclude: adjacent/redundant or insufficiently theory-generative for DC1</x:v>
      </x:c>
    </x:row>
    <x:row r="166">
      <x:c r="A166" s="20" t="str">
        <x:v>R0162</x:v>
      </x:c>
      <x:c r="B166" s="25" t="str">
        <x:v>Communication in Human–AI Co-Creation: Perceptual Analysis of Paintings Generated by Text-to-Image System</x:v>
      </x:c>
      <x:c r="C166" s="25" t="n">
        <x:v>2022</x:v>
      </x:c>
      <x:c r="D166" s="25" t="str">
        <x:v>Yanru Lyu; Xinxin Wang; Rungtai Lin; Jun Wu</x:v>
      </x:c>
      <x:c r="E166" s="25" t="str">
        <x:v>Applied Sciences</x:v>
      </x:c>
      <x:c r="F166" s="25" t="str">
        <x:v>10.3390/app122211312</x:v>
      </x:c>
      <x:c r="G166" s="25" t="str">
        <x:v>https://doi.org/10.3390/app122211312</x:v>
      </x:c>
      <x:c r="H166" s="25" t="str">
        <x:v>OpenAlex</x:v>
      </x:c>
      <x:c r="I166" s="25" t="str">
        <x:v>C7_creative_agency</x:v>
      </x:c>
      <x:c r="J166" s="25" t="str">
        <x:v>Exclude</x:v>
      </x:c>
      <x:c r="K166" s="25" t="str">
        <x:v>Exclude: topic mismatch</x:v>
      </x:c>
    </x:row>
    <x:row r="167">
      <x:c r="A167" s="20" t="str">
        <x:v>R0163</x:v>
      </x:c>
      <x:c r="B167" s="25" t="str">
        <x:v>State-of-the-Art on Brain-Computer Interface Technology</x:v>
      </x:c>
      <x:c r="C167" s="25" t="n">
        <x:v>2023</x:v>
      </x:c>
      <x:c r="D167" s="25" t="str">
        <x:v>Jānis Pekša; Dmytro Mamchur</x:v>
      </x:c>
      <x:c r="E167" s="25" t="str">
        <x:v>Sensors</x:v>
      </x:c>
      <x:c r="F167" s="25" t="str">
        <x:v>10.3390/s23136001</x:v>
      </x:c>
      <x:c r="G167" s="25" t="str">
        <x:v>https://doi.org/10.3390/s23136001</x:v>
      </x:c>
      <x:c r="H167" s="25" t="str">
        <x:v>OpenAlex</x:v>
      </x:c>
      <x:c r="I167" s="25" t="str">
        <x:v>C1_3D_mental_models</x:v>
      </x:c>
      <x:c r="J167" s="25" t="str">
        <x:v>Exclude</x:v>
      </x:c>
      <x:c r="K167" s="25" t="str">
        <x:v>Exclude: topic mismatch</x:v>
      </x:c>
    </x:row>
    <x:row r="168">
      <x:c r="A168" s="20" t="str">
        <x:v>R0164</x:v>
      </x:c>
      <x:c r="B168" s="25" t="str">
        <x:v>The Perception And Measurement Of Human-robot Trust</x:v>
      </x:c>
      <x:c r="C168" s="25" t="n">
        <x:v>2013</x:v>
      </x:c>
      <x:c r="D168" s="25" t="str">
        <x:v>Kristin E. Schaefer</x:v>
      </x:c>
      <x:c r="E168" s="25" t="str">
        <x:v>Journal of International Crisis and Risk Communication Research</x:v>
      </x:c>
      <x:c r="F168" s="25" t="str"/>
      <x:c r="G168" s="25" t="str">
        <x:v>https://stars.library.ucf.edu/etd/2688</x:v>
      </x:c>
      <x:c r="H168" s="25" t="str">
        <x:v>OpenAlex</x:v>
      </x:c>
      <x:c r="I168" s="25" t="str">
        <x:v>C4_uncertainty_shared_autonomy</x:v>
      </x:c>
      <x:c r="J168" s="25" t="str">
        <x:v>Exclude</x:v>
      </x:c>
      <x:c r="K168" s="25" t="str">
        <x:v>Exclude: topic mismatch</x:v>
      </x:c>
    </x:row>
    <x:row r="169">
      <x:c r="A169" s="20" t="str">
        <x:v>R0165</x:v>
      </x:c>
      <x:c r="B169" s="25" t="str">
        <x:v>APPLYING UNCERTAINTY MANAGEMENT THEORY TO EMPLOYEE VOICE BEHAVIOR: AN INTEGRATIVE INVESTIGATION</x:v>
      </x:c>
      <x:c r="C169" s="25" t="n">
        <x:v>2012</x:v>
      </x:c>
      <x:c r="D169" s="25" t="str">
        <x:v>Riki Takeuchi; Zhijun Chen; Siu Yin Cheung</x:v>
      </x:c>
      <x:c r="E169" s="25" t="str">
        <x:v>Personnel Psychology</x:v>
      </x:c>
      <x:c r="F169" s="25" t="str">
        <x:v>10.1111/j.1744-6570.2012.01247.x</x:v>
      </x:c>
      <x:c r="G169" s="25" t="str">
        <x:v>https://doi.org/10.1111/j.1744-6570.2012.01247.x</x:v>
      </x:c>
      <x:c r="H169" s="25" t="str">
        <x:v>OpenAlex</x:v>
      </x:c>
      <x:c r="I169" s="25" t="str">
        <x:v>C4_uncertainty_shared_autonomy</x:v>
      </x:c>
      <x:c r="J169" s="25" t="str">
        <x:v>Exclude</x:v>
      </x:c>
      <x:c r="K169" s="25" t="str">
        <x:v>Exclude: topic mismatch</x:v>
      </x:c>
    </x:row>
    <x:row r="170">
      <x:c r="A170" s="20" t="str">
        <x:v>R0166</x:v>
      </x:c>
      <x:c r="B170" s="25" t="str">
        <x:v>Affective Touch in Human–Robot Interaction: Conveying Emotion to the Nao Robot</x:v>
      </x:c>
      <x:c r="C170" s="25" t="n">
        <x:v>2017</x:v>
      </x:c>
      <x:c r="D170" s="25" t="str">
        <x:v>Rebecca Andreasson; Beatrice Alenljung; Erik Billing; Robert Lowe</x:v>
      </x:c>
      <x:c r="E170" s="25" t="str">
        <x:v>International Journal of Social Robotics</x:v>
      </x:c>
      <x:c r="F170" s="25" t="str">
        <x:v>10.1007/s12369-017-0446-3</x:v>
      </x:c>
      <x:c r="G170" s="25" t="str">
        <x:v>https://doi.org/10.1007/s12369-017-0446-3</x:v>
      </x:c>
      <x:c r="H170" s="25" t="str">
        <x:v>OpenAlex</x:v>
      </x:c>
      <x:c r="I170" s="25" t="str">
        <x:v>C4_uncertainty_shared_autonomy</x:v>
      </x:c>
      <x:c r="J170" s="25" t="str">
        <x:v>Exclude</x:v>
      </x:c>
      <x:c r="K170" s="25" t="str">
        <x:v>Exclude: topic mismatch</x:v>
      </x:c>
    </x:row>
    <x:row r="171">
      <x:c r="A171" s="20" t="str">
        <x:v>R0167</x:v>
      </x:c>
      <x:c r="B171" s="25" t="str">
        <x:v>Artificial intelligence moving serious gaming: Presenting reusable game AI components</x:v>
      </x:c>
      <x:c r="C171" s="25" t="n">
        <x:v>2019</x:v>
      </x:c>
      <x:c r="D171" s="25" t="str">
        <x:v>Wim Westera; Rui Prada; Samuel Mascarenhas; Pedro A. Santos; João Dias; Manuel Guimarães; Konstantinos Georgiadis; Enkhbold Nyamsuren; Kiavash Bahreini; Zerrin Yumak; Chris Christyowidiasmoro; Mihai Dascălu; Gabriel Guțu-Robu; Ştefan Ruşeţi</x:v>
      </x:c>
      <x:c r="E171" s="25" t="str">
        <x:v>Education and Information Technologies</x:v>
      </x:c>
      <x:c r="F171" s="25" t="str">
        <x:v>10.1007/s10639-019-09968-2</x:v>
      </x:c>
      <x:c r="G171" s="25" t="str">
        <x:v>https://doi.org/10.1007/s10639-019-09968-2</x:v>
      </x:c>
      <x:c r="H171" s="25" t="str">
        <x:v>OpenAlex</x:v>
      </x:c>
      <x:c r="I171" s="25" t="str">
        <x:v>C8_AI_3D_authoring</x:v>
      </x:c>
      <x:c r="J171" s="25" t="str">
        <x:v>Exclude</x:v>
      </x:c>
      <x:c r="K171" s="25" t="str">
        <x:v>Exclude: topic mismatch</x:v>
      </x:c>
    </x:row>
    <x:row r="172">
      <x:c r="A172" s="20" t="str">
        <x:v>R0168</x:v>
      </x:c>
      <x:c r="B172" s="25" t="str">
        <x:v>Weighing outcome vs. intent across societies: How cultural models of mind shape moral reasoning</x:v>
      </x:c>
      <x:c r="C172" s="25" t="n">
        <x:v>2018</x:v>
      </x:c>
      <x:c r="D172" s="25" t="str">
        <x:v>Rita Anne McNamara; Aiyana K. Willard; Ara Norenzayan; Joseph Henrich</x:v>
      </x:c>
      <x:c r="E172" s="25" t="str">
        <x:v>Cognition</x:v>
      </x:c>
      <x:c r="F172" s="25" t="str">
        <x:v>10.1016/j.cognition.2018.09.008</x:v>
      </x:c>
      <x:c r="G172" s="25" t="str">
        <x:v>https://doi.org/10.1016/j.cognition.2018.09.008</x:v>
      </x:c>
      <x:c r="H172" s="25" t="str">
        <x:v>OpenAlex</x:v>
      </x:c>
      <x:c r="I172" s="25" t="str">
        <x:v>C4_uncertainty_shared_autonomy</x:v>
      </x:c>
      <x:c r="J172" s="25" t="str">
        <x:v>Exclude</x:v>
      </x:c>
      <x:c r="K172" s="25" t="str">
        <x:v>Exclude: adjacent/redundant or insufficiently theory-generative for DC1</x:v>
      </x:c>
    </x:row>
    <x:row r="173">
      <x:c r="A173" s="20" t="str">
        <x:v>R0169</x:v>
      </x:c>
      <x:c r="B173" s="25" t="str">
        <x:v>Exploring collaborative decision-making: A quasi-experimental study of human and Generative AI interaction</x:v>
      </x:c>
      <x:c r="C173" s="25" t="n">
        <x:v>2024</x:v>
      </x:c>
      <x:c r="D173" s="25" t="str">
        <x:v>Xinyue Hao; Emrah Demir; Daniel Eyers</x:v>
      </x:c>
      <x:c r="E173" s="25" t="str">
        <x:v>Technology in Society</x:v>
      </x:c>
      <x:c r="F173" s="25" t="str">
        <x:v>10.1016/j.techsoc.2024.102662</x:v>
      </x:c>
      <x:c r="G173" s="25" t="str">
        <x:v>https://doi.org/10.1016/j.techsoc.2024.102662</x:v>
      </x:c>
      <x:c r="H173" s="25" t="str">
        <x:v>OpenAlex</x:v>
      </x:c>
      <x:c r="I173" s="25" t="str">
        <x:v>C3_mixed_initiative_cocreation</x:v>
      </x:c>
      <x:c r="J173" s="25" t="str">
        <x:v>Exclude</x:v>
      </x:c>
      <x:c r="K173" s="25" t="str">
        <x:v>Exclude: adjacent/redundant or insufficiently theory-generative for DC1</x:v>
      </x:c>
    </x:row>
    <x:row r="174">
      <x:c r="A174" s="20" t="str">
        <x:v>R0170</x:v>
      </x:c>
      <x:c r="B174" s="25" t="str">
        <x:v>Reinforcement Learning Approaches in Social Robotics</x:v>
      </x:c>
      <x:c r="C174" s="25" t="n">
        <x:v>2021</x:v>
      </x:c>
      <x:c r="D174" s="25" t="str">
        <x:v>Neziha Akalın</x:v>
      </x:c>
      <x:c r="E174" s="25" t="str">
        <x:v>MDPI (MDPI AG)</x:v>
      </x:c>
      <x:c r="F174" s="25" t="str">
        <x:v>10.3390/s21041292</x:v>
      </x:c>
      <x:c r="G174" s="25" t="str">
        <x:v>https://dx.doi.org/10.3390/s21041292</x:v>
      </x:c>
      <x:c r="H174" s="25" t="str">
        <x:v>OpenAlex</x:v>
      </x:c>
      <x:c r="I174" s="25" t="str">
        <x:v>C6_frontend_GUI_intent</x:v>
      </x:c>
      <x:c r="J174" s="25" t="str">
        <x:v>Exclude</x:v>
      </x:c>
      <x:c r="K174" s="25" t="str">
        <x:v>Exclude: topic mismatch</x:v>
      </x:c>
    </x:row>
    <x:row r="175">
      <x:c r="A175" s="20" t="str">
        <x:v>R0171</x:v>
      </x:c>
      <x:c r="B175" s="25" t="str">
        <x:v>shapeShift</x:v>
      </x:c>
      <x:c r="C175" s="25" t="n">
        <x:v>2018</x:v>
      </x:c>
      <x:c r="D175" s="25" t="str">
        <x:v>Alexa Siu; Eric J. Gonzalez; Shenli Yuan; Jason Ginsberg; Sean Follmer</x:v>
      </x:c>
      <x:c r="E175" s="25" t="str"/>
      <x:c r="F175" s="25" t="str">
        <x:v>10.1145/3173574.3173865</x:v>
      </x:c>
      <x:c r="G175" s="25" t="str">
        <x:v>https://doi.org/10.1145/3173574.3173865</x:v>
      </x:c>
      <x:c r="H175" s="25" t="str">
        <x:v>OpenAlex</x:v>
      </x:c>
      <x:c r="I175" s="25" t="str">
        <x:v>C1_3D_mental_models</x:v>
      </x:c>
      <x:c r="J175" s="25" t="str">
        <x:v>Exclude</x:v>
      </x:c>
      <x:c r="K175" s="25" t="str">
        <x:v>Exclude: adjacent/redundant or insufficiently theory-generative for DC1</x:v>
      </x:c>
    </x:row>
    <x:row r="176">
      <x:c r="A176" s="20" t="str">
        <x:v>R0172</x:v>
      </x:c>
      <x:c r="B176" s="25" t="str">
        <x:v>Copyright and Artificial Creation: Does EU Copyright Law Protect AI-Assisted Output?</x:v>
      </x:c>
      <x:c r="C176" s="25" t="n">
        <x:v>2021</x:v>
      </x:c>
      <x:c r="D176" s="25" t="str">
        <x:v>P.B. Hugenholtz; João Pedro Quintais</x:v>
      </x:c>
      <x:c r="E176" s="25" t="str">
        <x:v>GRURRR. Gewerblicher Rechtsschutz und Urheberrecht, Rechtsprechungs-Report/GRUR-DVD/GRUR-CD/IIC/Gewerblicher Rechtsschutz und Urheberrecht/Gewerblicher Rechtsschutz und Urheberrecht. Internationaler Teil</x:v>
      </x:c>
      <x:c r="F176" s="25" t="str">
        <x:v>10.1007/s40319-021-01115-0</x:v>
      </x:c>
      <x:c r="G176" s="25" t="str">
        <x:v>https://doi.org/10.1007/s40319-021-01115-0</x:v>
      </x:c>
      <x:c r="H176" s="25" t="str">
        <x:v>OpenAlex</x:v>
      </x:c>
      <x:c r="I176" s="25" t="str">
        <x:v>C7_creative_agency</x:v>
      </x:c>
      <x:c r="J176" s="25" t="str">
        <x:v>Exclude</x:v>
      </x:c>
      <x:c r="K176" s="25" t="str">
        <x:v>Exclude: adjacent/redundant or insufficiently theory-generative for DC1</x:v>
      </x:c>
    </x:row>
    <x:row r="177">
      <x:c r="A177" s="20" t="str">
        <x:v>R0173</x:v>
      </x:c>
      <x:c r="B177" s="25" t="str">
        <x:v>Exploring a Cognitive Basis for Learning Spatial Relationships with Augmented Reality</x:v>
      </x:c>
      <x:c r="C177" s="25" t="n">
        <x:v>2003</x:v>
      </x:c>
      <x:c r="D177" s="25" t="str">
        <x:v>Brett E. Shelton; Nick Hedley</x:v>
      </x:c>
      <x:c r="E177" s="25" t="str">
        <x:v>Digital Commons - USU (Utah State University)</x:v>
      </x:c>
      <x:c r="F177" s="25" t="str"/>
      <x:c r="G177" s="25" t="str">
        <x:v>https://digitalcommons.usu.edu/itls_facpub/92</x:v>
      </x:c>
      <x:c r="H177" s="25" t="str">
        <x:v>OpenAlex</x:v>
      </x:c>
      <x:c r="I177" s="25" t="str">
        <x:v>C1_3D_mental_models</x:v>
      </x:c>
      <x:c r="J177" s="25" t="str">
        <x:v>Exclude</x:v>
      </x:c>
      <x:c r="K177" s="25" t="str">
        <x:v>Exclude: adjacent/redundant or insufficiently theory-generative for DC1</x:v>
      </x:c>
    </x:row>
    <x:row r="178">
      <x:c r="A178" s="20" t="str">
        <x:v>R0174</x:v>
      </x:c>
      <x:c r="B178" s="25" t="str">
        <x:v>A screen-space formulation for 2D and 3D direct manipulation</x:v>
      </x:c>
      <x:c r="C178" s="25" t="n">
        <x:v>2009</x:v>
      </x:c>
      <x:c r="D178" s="25" t="str">
        <x:v>Jason L. Reisman; Philip L. Davidson; Jefferson Y. Han</x:v>
      </x:c>
      <x:c r="E178" s="25" t="str">
        <x:v>Proceedings of the 22nd annual ACM symposium on User interface software and technology</x:v>
      </x:c>
      <x:c r="F178" s="25" t="str">
        <x:v>10.1145/1622176.1622190</x:v>
      </x:c>
      <x:c r="G178" s="25" t="str">
        <x:v>https://doi.org/10.1145/1622176.1622190</x:v>
      </x:c>
      <x:c r="H178" s="25" t="str">
        <x:v>Crossref</x:v>
      </x:c>
      <x:c r="I178" s="25" t="str">
        <x:v>C1_3D_mental_models</x:v>
      </x:c>
      <x:c r="J178" s="25" t="str">
        <x:v>Include</x:v>
      </x:c>
      <x:c r="K178" s="25" t="str">
        <x:v>Included in focused synthesis</x:v>
      </x:c>
    </x:row>
    <x:row r="179">
      <x:c r="A179" s="20" t="str">
        <x:v>R0175</x:v>
      </x:c>
      <x:c r="B179" s="25" t="str">
        <x:v>AI Agents vs. Agentic AI: A Conceptual taxonomy, applications and challenges</x:v>
      </x:c>
      <x:c r="C179" s="25" t="n">
        <x:v>2025</x:v>
      </x:c>
      <x:c r="D179" s="25" t="str">
        <x:v>Ranjan Sapkota; Konstantinos I. Roumeliotis; Manoj Karkee</x:v>
      </x:c>
      <x:c r="E179" s="25" t="str">
        <x:v>Information Fusion</x:v>
      </x:c>
      <x:c r="F179" s="25" t="str">
        <x:v>10.1016/j.inffus.2025.103599</x:v>
      </x:c>
      <x:c r="G179" s="25" t="str">
        <x:v>https://doi.org/10.1016/j.inffus.2025.103599</x:v>
      </x:c>
      <x:c r="H179" s="25" t="str">
        <x:v>OpenAlex</x:v>
      </x:c>
      <x:c r="I179" s="25" t="str">
        <x:v>C5_agent_memory</x:v>
      </x:c>
      <x:c r="J179" s="25" t="str">
        <x:v>Exclude</x:v>
      </x:c>
      <x:c r="K179" s="25" t="str">
        <x:v>Exclude: adjacent/redundant or insufficiently theory-generative for DC1</x:v>
      </x:c>
    </x:row>
    <x:row r="180">
      <x:c r="A180" s="20" t="str">
        <x:v>R0176</x:v>
      </x:c>
      <x:c r="B180" s="25" t="str">
        <x:v>AI applications in functional genomics</x:v>
      </x:c>
      <x:c r="C180" s="25" t="n">
        <x:v>2021</x:v>
      </x:c>
      <x:c r="D180" s="25" t="str">
        <x:v>Claudia Caudai; Antonella Galizia; Filippo Geraci; Loredana Le Pera; Veronica Morea; Emanuele Salerno; Allegra Via; Teresa Colombo</x:v>
      </x:c>
      <x:c r="E180" s="25" t="str">
        <x:v>Computational and Structural Biotechnology Journal</x:v>
      </x:c>
      <x:c r="F180" s="25" t="str">
        <x:v>10.1016/j.csbj.2021.10.009</x:v>
      </x:c>
      <x:c r="G180" s="25" t="str">
        <x:v>https://doi.org/10.1016/j.csbj.2021.10.009</x:v>
      </x:c>
      <x:c r="H180" s="25" t="str">
        <x:v>OpenAlex</x:v>
      </x:c>
      <x:c r="I180" s="25" t="str">
        <x:v>C8_AI_3D_authoring</x:v>
      </x:c>
      <x:c r="J180" s="25" t="str">
        <x:v>Exclude</x:v>
      </x:c>
      <x:c r="K180" s="25" t="str">
        <x:v>Exclude: topic mismatch</x:v>
      </x:c>
    </x:row>
    <x:row r="181">
      <x:c r="A181" s="20" t="str">
        <x:v>R0177</x:v>
      </x:c>
      <x:c r="B181" s="25" t="str">
        <x:v>AI as Social Glue: Uncovering the Roles of Deep Generative AI during Social Music Composition</x:v>
      </x:c>
      <x:c r="C181" s="25" t="n">
        <x:v>2021</x:v>
      </x:c>
      <x:c r="D181" s="25" t="str">
        <x:v>Minhyang Suh; Emily Youngblom; Michael Terry; Carrie J. Cai</x:v>
      </x:c>
      <x:c r="E181" s="25" t="str"/>
      <x:c r="F181" s="25" t="str">
        <x:v>10.1145/3411764.3445219</x:v>
      </x:c>
      <x:c r="G181" s="25" t="str">
        <x:v>https://doi.org/10.1145/3411764.3445219</x:v>
      </x:c>
      <x:c r="H181" s="25" t="str">
        <x:v>OpenAlex</x:v>
      </x:c>
      <x:c r="I181" s="25" t="str">
        <x:v>C3_mixed_initiative_cocreation; C7_creative_agency</x:v>
      </x:c>
      <x:c r="J181" s="25" t="str">
        <x:v>Include</x:v>
      </x:c>
      <x:c r="K181" s="25" t="str">
        <x:v>Included in focused synthesis</x:v>
      </x:c>
    </x:row>
    <x:row r="182">
      <x:c r="A182" s="20" t="str">
        <x:v>R0178</x:v>
      </x:c>
      <x:c r="B182" s="25" t="str">
        <x:v>Graphologue: Exploring Large Language Model Responses with Interactive Diagrams</x:v>
      </x:c>
      <x:c r="C182" s="25" t="n">
        <x:v>2023</x:v>
      </x:c>
      <x:c r="D182" s="25" t="str">
        <x:v>Peiling Jiang; Jude Rayan; Steven P. Dow; Haijun Xia</x:v>
      </x:c>
      <x:c r="E182" s="25" t="str"/>
      <x:c r="F182" s="25" t="str">
        <x:v>10.1145/3586183.3606737</x:v>
      </x:c>
      <x:c r="G182" s="25" t="str">
        <x:v>https://doi.org/10.1145/3586183.3606737</x:v>
      </x:c>
      <x:c r="H182" s="25" t="str">
        <x:v>OpenAlex</x:v>
      </x:c>
      <x:c r="I182" s="25" t="str">
        <x:v>C8_AI_3D_authoring</x:v>
      </x:c>
      <x:c r="J182" s="25" t="str">
        <x:v>Exclude</x:v>
      </x:c>
      <x:c r="K182" s="25" t="str">
        <x:v>Exclude: topic mismatch</x:v>
      </x:c>
    </x:row>
    <x:row r="183">
      <x:c r="A183" s="20" t="str">
        <x:v>R0179</x:v>
      </x:c>
      <x:c r="B183" s="25" t="str">
        <x:v>Competency in Navigating Arbitrary Spaces as an Invariant for Analyzing Cognition in Diverse Embodiments</x:v>
      </x:c>
      <x:c r="C183" s="25" t="n">
        <x:v>2022</x:v>
      </x:c>
      <x:c r="D183" s="25" t="str">
        <x:v>Chris Fields; Michael Levin</x:v>
      </x:c>
      <x:c r="E183" s="25" t="str">
        <x:v>Entropy</x:v>
      </x:c>
      <x:c r="F183" s="25" t="str">
        <x:v>10.3390/e24060819</x:v>
      </x:c>
      <x:c r="G183" s="25" t="str">
        <x:v>https://doi.org/10.3390/e24060819</x:v>
      </x:c>
      <x:c r="H183" s="25" t="str">
        <x:v>OpenAlex</x:v>
      </x:c>
      <x:c r="I183" s="25" t="str">
        <x:v>C1_3D_mental_models</x:v>
      </x:c>
      <x:c r="J183" s="25" t="str">
        <x:v>Exclude</x:v>
      </x:c>
      <x:c r="K183" s="25" t="str">
        <x:v>Exclude: adjacent/redundant or insufficiently theory-generative for DC1</x:v>
      </x:c>
    </x:row>
    <x:row r="184">
      <x:c r="A184" s="20" t="str">
        <x:v>R0180</x:v>
      </x:c>
      <x:c r="B184" s="25" t="str">
        <x:v>Digital Language Learning (DLL): Insights from Behavior, Cognition, and the Brain</x:v>
      </x:c>
      <x:c r="C184" s="25" t="n">
        <x:v>2021</x:v>
      </x:c>
      <x:c r="D184" s="25" t="str">
        <x:v>Ping Li; Yu‐Ju Lan</x:v>
      </x:c>
      <x:c r="E184" s="25" t="str">
        <x:v>Bilingualism Language and Cognition</x:v>
      </x:c>
      <x:c r="F184" s="25" t="str">
        <x:v>10.1017/s1366728921000353</x:v>
      </x:c>
      <x:c r="G184" s="25" t="str">
        <x:v>https://doi.org/10.1017/s1366728921000353</x:v>
      </x:c>
      <x:c r="H184" s="25" t="str">
        <x:v>OpenAlex</x:v>
      </x:c>
      <x:c r="I184" s="25" t="str">
        <x:v>C1_3D_mental_models</x:v>
      </x:c>
      <x:c r="J184" s="25" t="str">
        <x:v>Exclude</x:v>
      </x:c>
      <x:c r="K184" s="25" t="str">
        <x:v>Exclude: topic mismatch</x:v>
      </x:c>
    </x:row>
    <x:row r="185">
      <x:c r="A185" s="20" t="str">
        <x:v>R0181</x:v>
      </x:c>
      <x:c r="B185" s="25" t="str">
        <x:v>The challenges of 3D interaction</x:v>
      </x:c>
      <x:c r="C185" s="25" t="n">
        <x:v>1994</x:v>
      </x:c>
      <x:c r="D185" s="25" t="str">
        <x:v>Kenneth P. Herndon; Andries van Dam; Michael Gleicher</x:v>
      </x:c>
      <x:c r="E185" s="25" t="str">
        <x:v>ACM SIGCHI Bulletin</x:v>
      </x:c>
      <x:c r="F185" s="25" t="str">
        <x:v>10.1145/191642.191652</x:v>
      </x:c>
      <x:c r="G185" s="25" t="str">
        <x:v>https://doi.org/10.1145/191642.191652</x:v>
      </x:c>
      <x:c r="H185" s="25" t="str">
        <x:v>OpenAlex</x:v>
      </x:c>
      <x:c r="I185" s="25" t="str">
        <x:v>C1_3D_mental_models</x:v>
      </x:c>
      <x:c r="J185" s="25" t="str">
        <x:v>Exclude</x:v>
      </x:c>
      <x:c r="K185" s="25" t="str">
        <x:v>Exclude: adjacent/redundant or insufficiently theory-generative for DC1</x:v>
      </x:c>
    </x:row>
    <x:row r="186">
      <x:c r="A186" s="20" t="str">
        <x:v>R0182</x:v>
      </x:c>
      <x:c r="B186" s="25" t="str">
        <x:v>Scaling up analogical innovation with crowds and AI</x:v>
      </x:c>
      <x:c r="C186" s="25" t="n">
        <x:v>2019</x:v>
      </x:c>
      <x:c r="D186" s="25" t="str">
        <x:v>Aniket Kittur; Lixiu Yu; Tom Hope; Joel Chan; Hila Lifshitz‐Assaf; Karni Gilon; Felicia Ng; Robert E. Kraut; Dafna Shahaf</x:v>
      </x:c>
      <x:c r="E186" s="25" t="str">
        <x:v>Proceedings of the National Academy of Sciences</x:v>
      </x:c>
      <x:c r="F186" s="25" t="str">
        <x:v>10.1073/pnas.1807185116</x:v>
      </x:c>
      <x:c r="G186" s="25" t="str">
        <x:v>https://doi.org/10.1073/pnas.1807185116</x:v>
      </x:c>
      <x:c r="H186" s="25" t="str">
        <x:v>OpenAlex</x:v>
      </x:c>
      <x:c r="I186" s="25" t="str">
        <x:v>C3_mixed_initiative_cocreation</x:v>
      </x:c>
      <x:c r="J186" s="25" t="str">
        <x:v>Exclude</x:v>
      </x:c>
      <x:c r="K186" s="25" t="str">
        <x:v>Exclude: adjacent/redundant or insufficiently theory-generative for DC1</x:v>
      </x:c>
    </x:row>
    <x:row r="187">
      <x:c r="A187" s="20" t="str">
        <x:v>R0183</x:v>
      </x:c>
      <x:c r="B187" s="25" t="str">
        <x:v>The Bodies of TEI – Investigating Norms and Assumptions in the Design of Embodied Interaction</x:v>
      </x:c>
      <x:c r="C187" s="25" t="n">
        <x:v>2021</x:v>
      </x:c>
      <x:c r="D187" s="25" t="str">
        <x:v>Katta Spiel</x:v>
      </x:c>
      <x:c r="E187" s="25" t="str"/>
      <x:c r="F187" s="25" t="str">
        <x:v>10.1145/3430524.3440651</x:v>
      </x:c>
      <x:c r="G187" s="25" t="str">
        <x:v>https://doi.org/10.1145/3430524.3440651</x:v>
      </x:c>
      <x:c r="H187" s="25" t="str">
        <x:v>OpenAlex</x:v>
      </x:c>
      <x:c r="I187" s="25" t="str">
        <x:v>C2_interaction_signals</x:v>
      </x:c>
      <x:c r="J187" s="25" t="str">
        <x:v>Exclude</x:v>
      </x:c>
      <x:c r="K187" s="25" t="str">
        <x:v>Exclude: topic mismatch</x:v>
      </x:c>
    </x:row>
    <x:row r="188">
      <x:c r="A188" s="20" t="str">
        <x:v>R0184</x:v>
      </x:c>
      <x:c r="B188" s="25" t="str">
        <x:v>A Comprehensive Review of Vision-Based 3D Reconstruction Methods</x:v>
      </x:c>
      <x:c r="C188" s="25" t="n">
        <x:v>2024</x:v>
      </x:c>
      <x:c r="D188" s="25" t="str">
        <x:v>Linglong Zhou; Guoxin Wu; Yunbo Zuo; Xuanyu Chen; Hongle Hu</x:v>
      </x:c>
      <x:c r="E188" s="25" t="str">
        <x:v>Sensors</x:v>
      </x:c>
      <x:c r="F188" s="25" t="str">
        <x:v>10.3390/s24072314</x:v>
      </x:c>
      <x:c r="G188" s="25" t="str">
        <x:v>https://doi.org/10.3390/s24072314</x:v>
      </x:c>
      <x:c r="H188" s="25" t="str">
        <x:v>OpenAlex</x:v>
      </x:c>
      <x:c r="I188" s="25" t="str">
        <x:v>C8_AI_3D_authoring</x:v>
      </x:c>
      <x:c r="J188" s="25" t="str">
        <x:v>Exclude</x:v>
      </x:c>
      <x:c r="K188" s="25" t="str">
        <x:v>Exclude: adjacent/redundant or insufficiently theory-generative for DC1</x:v>
      </x:c>
    </x:row>
    <x:row r="189">
      <x:c r="A189" s="20" t="str">
        <x:v>R0185</x:v>
      </x:c>
      <x:c r="B189" s="25" t="str">
        <x:v>Exploring Challenges and Opportunities to Support Designers in Learning to Co-create with AI-based Manufacturing Design Tools</x:v>
      </x:c>
      <x:c r="C189" s="25" t="n">
        <x:v>2023</x:v>
      </x:c>
      <x:c r="D189" s="25" t="str">
        <x:v>Frederic Gmeiner; Humphrey Yang; Lining Yao; Kenneth Holstein; Nikolas Martelaro</x:v>
      </x:c>
      <x:c r="E189" s="25" t="str"/>
      <x:c r="F189" s="25" t="str">
        <x:v>10.1145/3544548.3580999</x:v>
      </x:c>
      <x:c r="G189" s="25" t="str">
        <x:v>https://doi.org/10.1145/3544548.3580999</x:v>
      </x:c>
      <x:c r="H189" s="25" t="str">
        <x:v>OpenAlex</x:v>
      </x:c>
      <x:c r="I189" s="25" t="str">
        <x:v>C7_creative_agency</x:v>
      </x:c>
      <x:c r="J189" s="25" t="str">
        <x:v>Exclude</x:v>
      </x:c>
      <x:c r="K189" s="25" t="str">
        <x:v>Exclude: topic mismatch</x:v>
      </x:c>
    </x:row>
    <x:row r="190">
      <x:c r="A190" s="20" t="str">
        <x:v>R0186</x:v>
      </x:c>
      <x:c r="B190" s="25" t="str">
        <x:v>Robotic Vision for Human-Robot Interaction and Collaboration: A Survey and Systematic Review</x:v>
      </x:c>
      <x:c r="C190" s="25" t="n">
        <x:v>2022</x:v>
      </x:c>
      <x:c r="D190" s="25" t="str">
        <x:v>Nicole Robinson; Brendan Tidd; Dylan Campbell; Dana Kulić; Peter Corke</x:v>
      </x:c>
      <x:c r="E190" s="25" t="str">
        <x:v>ACM Transactions on Human-Robot Interaction</x:v>
      </x:c>
      <x:c r="F190" s="25" t="str">
        <x:v>10.1145/3570731</x:v>
      </x:c>
      <x:c r="G190" s="25" t="str">
        <x:v>https://doi.org/10.1145/3570731</x:v>
      </x:c>
      <x:c r="H190" s="25" t="str">
        <x:v>OpenAlex</x:v>
      </x:c>
      <x:c r="I190" s="25" t="str">
        <x:v>C2_interaction_signals; C6_frontend_GUI_intent</x:v>
      </x:c>
      <x:c r="J190" s="25" t="str">
        <x:v>Exclude</x:v>
      </x:c>
      <x:c r="K190" s="25" t="str">
        <x:v>Exclude: adjacent/redundant or insufficiently theory-generative for DC1</x:v>
      </x:c>
    </x:row>
    <x:row r="191">
      <x:c r="A191" s="20" t="str">
        <x:v>R0187</x:v>
      </x:c>
      <x:c r="B191" s="25" t="str">
        <x:v>On human-in-the-loop optimization of human–robot interaction</x:v>
      </x:c>
      <x:c r="C191" s="25" t="n">
        <x:v>2024</x:v>
      </x:c>
      <x:c r="D191" s="25" t="str">
        <x:v>Patrick Slade; Christopher G. Atkeson; J. Maxwell Donelan; Han Houdijk; Kimberly A. Ingraham; Myunghee Kim; Kyoungchul Kong; Katherine L. Poggensee; Robert Riener; Martin Steinert; Juanjuan Zhang; Steven H. Collins</x:v>
      </x:c>
      <x:c r="E191" s="25" t="str">
        <x:v>Nature</x:v>
      </x:c>
      <x:c r="F191" s="25" t="str">
        <x:v>10.1038/s41586-024-07697-2</x:v>
      </x:c>
      <x:c r="G191" s="25" t="str">
        <x:v>https://doi.org/10.1038/s41586-024-07697-2</x:v>
      </x:c>
      <x:c r="H191" s="25" t="str">
        <x:v>OpenAlex</x:v>
      </x:c>
      <x:c r="I191" s="25" t="str">
        <x:v>C2_interaction_signals</x:v>
      </x:c>
      <x:c r="J191" s="25" t="str">
        <x:v>Exclude</x:v>
      </x:c>
      <x:c r="K191" s="25" t="str">
        <x:v>Exclude: topic mismatch</x:v>
      </x:c>
    </x:row>
    <x:row r="192">
      <x:c r="A192" s="20" t="str">
        <x:v>R0188</x:v>
      </x:c>
      <x:c r="B192" s="25" t="str">
        <x:v>General ecological information supports engagement with affordances for ‘higher’ cognition</x:v>
      </x:c>
      <x:c r="C192" s="25" t="n">
        <x:v>2018</x:v>
      </x:c>
      <x:c r="D192" s="25" t="str">
        <x:v>Jelle Bruineberg; Anthony Chemero; Erik Rietveld</x:v>
      </x:c>
      <x:c r="E192" s="25" t="str">
        <x:v>Synthese</x:v>
      </x:c>
      <x:c r="F192" s="25" t="str">
        <x:v>10.1007/s11229-018-1716-9</x:v>
      </x:c>
      <x:c r="G192" s="25" t="str">
        <x:v>https://doi.org/10.1007/s11229-018-1716-9</x:v>
      </x:c>
      <x:c r="H192" s="25" t="str">
        <x:v>OpenAlex</x:v>
      </x:c>
      <x:c r="I192" s="25" t="str">
        <x:v>C1_3D_mental_models</x:v>
      </x:c>
      <x:c r="J192" s="25" t="str">
        <x:v>Exclude</x:v>
      </x:c>
      <x:c r="K192" s="25" t="str">
        <x:v>Exclude: adjacent/redundant or insufficiently theory-generative for DC1</x:v>
      </x:c>
    </x:row>
    <x:row r="193">
      <x:c r="A193" s="20" t="str">
        <x:v>R0189</x:v>
      </x:c>
      <x:c r="B193" s="25" t="str">
        <x:v>Probabilistic Human Intent Recognition for Shared Autonomy in Assistive Robotics</x:v>
      </x:c>
      <x:c r="C193" s="25" t="n">
        <x:v>2019</x:v>
      </x:c>
      <x:c r="D193" s="25" t="str">
        <x:v>Siddarth Jain; Brenna Argall</x:v>
      </x:c>
      <x:c r="E193" s="25" t="str">
        <x:v>ACM Transactions on Human-Robot Interaction</x:v>
      </x:c>
      <x:c r="F193" s="25" t="str">
        <x:v>10.1145/3359614</x:v>
      </x:c>
      <x:c r="G193" s="25" t="str">
        <x:v>https://doi.org/10.1145/3359614</x:v>
      </x:c>
      <x:c r="H193" s="25" t="str">
        <x:v>Crossref; OpenAlex</x:v>
      </x:c>
      <x:c r="I193" s="25" t="str">
        <x:v>C2_interaction_signals; C4_uncertainty_shared_autonomy; C6_frontend_GUI_intent</x:v>
      </x:c>
      <x:c r="J193" s="25" t="str">
        <x:v>Include</x:v>
      </x:c>
      <x:c r="K193" s="25" t="str">
        <x:v>Included in focused synthesis</x:v>
      </x:c>
    </x:row>
    <x:row r="194">
      <x:c r="A194" s="20" t="str">
        <x:v>R0190</x:v>
      </x:c>
      <x:c r="B194" s="25" t="str">
        <x:v>Designing Participatory AI: Creative Professionals’ Worries and Expectations about Generative AI</x:v>
      </x:c>
      <x:c r="C194" s="25" t="n">
        <x:v>2023</x:v>
      </x:c>
      <x:c r="D194" s="25" t="str">
        <x:v>Nanna Inie; Jeanette Falk; Steve Tanimoto</x:v>
      </x:c>
      <x:c r="E194" s="25" t="str"/>
      <x:c r="F194" s="25" t="str">
        <x:v>10.1145/3544549.3585657</x:v>
      </x:c>
      <x:c r="G194" s="25" t="str">
        <x:v>https://doi.org/10.1145/3544549.3585657</x:v>
      </x:c>
      <x:c r="H194" s="25" t="str">
        <x:v>OpenAlex</x:v>
      </x:c>
      <x:c r="I194" s="25" t="str">
        <x:v>C3_mixed_initiative_cocreation; C7_creative_agency</x:v>
      </x:c>
      <x:c r="J194" s="25" t="str">
        <x:v>Exclude</x:v>
      </x:c>
      <x:c r="K194" s="25" t="str">
        <x:v>Exclude: adjacent/redundant or insufficiently theory-generative for DC1</x:v>
      </x:c>
    </x:row>
    <x:row r="195">
      <x:c r="A195" s="20" t="str">
        <x:v>R0191</x:v>
      </x:c>
      <x:c r="B195" s="25" t="str">
        <x:v>How Algorithms Interact: Goffman's ‘Interaction Order’ in Automated Trading</x:v>
      </x:c>
      <x:c r="C195" s="25" t="n">
        <x:v>2019</x:v>
      </x:c>
      <x:c r="D195" s="25" t="str">
        <x:v>Donald MacKenzie</x:v>
      </x:c>
      <x:c r="E195" s="25" t="str">
        <x:v>Theory Culture &amp; Society</x:v>
      </x:c>
      <x:c r="F195" s="25" t="str">
        <x:v>10.1177/0263276419829541</x:v>
      </x:c>
      <x:c r="G195" s="25" t="str">
        <x:v>https://doi.org/10.1177/0263276419829541</x:v>
      </x:c>
      <x:c r="H195" s="25" t="str">
        <x:v>OpenAlex</x:v>
      </x:c>
      <x:c r="I195" s="25" t="str">
        <x:v>C2_interaction_signals</x:v>
      </x:c>
      <x:c r="J195" s="25" t="str">
        <x:v>Exclude</x:v>
      </x:c>
      <x:c r="K195" s="25" t="str">
        <x:v>Exclude: topic mismatch</x:v>
      </x:c>
    </x:row>
    <x:row r="196">
      <x:c r="A196" s="20" t="str">
        <x:v>R0192</x:v>
      </x:c>
      <x:c r="B196" s="25" t="str">
        <x:v>Mixed-Initiative Creative Interfaces</x:v>
      </x:c>
      <x:c r="C196" s="25" t="n">
        <x:v>2017</x:v>
      </x:c>
      <x:c r="D196" s="25" t="str">
        <x:v>Sebastian Deterding; Jonathan Hook; Rebecca Fiebrink; Marco Gillies; Jeremy Gow; Memo Akten; Gillian Smith; Antonios Liapis; Kate Compton</x:v>
      </x:c>
      <x:c r="E196" s="25" t="str"/>
      <x:c r="F196" s="25" t="str">
        <x:v>10.1145/3027063.3027072</x:v>
      </x:c>
      <x:c r="G196" s="25" t="str">
        <x:v>https://doi.org/10.1145/3027063.3027072</x:v>
      </x:c>
      <x:c r="H196" s="25" t="str">
        <x:v>OpenAlex</x:v>
      </x:c>
      <x:c r="I196" s="25" t="str">
        <x:v>C3_mixed_initiative_cocreation</x:v>
      </x:c>
      <x:c r="J196" s="25" t="str">
        <x:v>Include</x:v>
      </x:c>
      <x:c r="K196" s="25" t="str">
        <x:v>Included in focused synthesis</x:v>
      </x:c>
    </x:row>
    <x:row r="197">
      <x:c r="A197" s="20" t="str">
        <x:v>R0193</x:v>
      </x:c>
      <x:c r="B197" s="25" t="str">
        <x:v>Noninvasive Electroencephalography Equipment for Assistive, Adaptive, and Rehabilitative Brain–Computer Interfaces: A Systematic Literature Review</x:v>
      </x:c>
      <x:c r="C197" s="25" t="n">
        <x:v>2021</x:v>
      </x:c>
      <x:c r="D197" s="25" t="str">
        <x:v>Nuraini Jamil; Abdelkader Nasreddine Belkacem; Sofía Ouhbi; Abderrahmane Lakas</x:v>
      </x:c>
      <x:c r="E197" s="25" t="str">
        <x:v>Sensors</x:v>
      </x:c>
      <x:c r="F197" s="25" t="str">
        <x:v>10.3390/s21144754</x:v>
      </x:c>
      <x:c r="G197" s="25" t="str">
        <x:v>https://doi.org/10.3390/s21144754</x:v>
      </x:c>
      <x:c r="H197" s="25" t="str">
        <x:v>OpenAlex</x:v>
      </x:c>
      <x:c r="I197" s="25" t="str">
        <x:v>C8_AI_3D_authoring</x:v>
      </x:c>
      <x:c r="J197" s="25" t="str">
        <x:v>Exclude</x:v>
      </x:c>
      <x:c r="K197" s="25" t="str">
        <x:v>Exclude: domain-specific signal model without transferable HCI theory</x:v>
      </x:c>
    </x:row>
    <x:row r="198">
      <x:c r="A198" s="20" t="str">
        <x:v>R0194</x:v>
      </x:c>
      <x:c r="B198" s="25" t="str">
        <x:v>Ontology-Based User Modeling in an Augmented Audio Reality System for Museums</x:v>
      </x:c>
      <x:c r="C198" s="25" t="n">
        <x:v>2005</x:v>
      </x:c>
      <x:c r="D198" s="25" t="str">
        <x:v>Marek Hatala; Ron Wakkary</x:v>
      </x:c>
      <x:c r="E198" s="25" t="str">
        <x:v>User Modeling and User-Adapted Interaction</x:v>
      </x:c>
      <x:c r="F198" s="25" t="str">
        <x:v>10.1007/s11257-005-2304-5</x:v>
      </x:c>
      <x:c r="G198" s="25" t="str">
        <x:v>https://doi.org/10.1007/s11257-005-2304-5</x:v>
      </x:c>
      <x:c r="H198" s="25" t="str">
        <x:v>OpenAlex</x:v>
      </x:c>
      <x:c r="I198" s="25" t="str">
        <x:v>C6_frontend_GUI_intent</x:v>
      </x:c>
      <x:c r="J198" s="25" t="str">
        <x:v>Exclude</x:v>
      </x:c>
      <x:c r="K198" s="25" t="str">
        <x:v>Exclude: topic mismatch</x:v>
      </x:c>
    </x:row>
    <x:row r="199">
      <x:c r="A199" s="20" t="str">
        <x:v>R0195</x:v>
      </x:c>
      <x:c r="B199" s="25" t="str">
        <x:v>May AI?</x:v>
      </x:c>
      <x:c r="C199" s="25" t="n">
        <x:v>2019</x:v>
      </x:c>
      <x:c r="D199" s="25" t="str">
        <x:v>Janin Koch; Andrés Lucero; Lena Hegemann; Antti Oulasvirta</x:v>
      </x:c>
      <x:c r="E199" s="25" t="str"/>
      <x:c r="F199" s="25" t="str">
        <x:v>10.1145/3290605.3300863</x:v>
      </x:c>
      <x:c r="G199" s="25" t="str">
        <x:v>https://doi.org/10.1145/3290605.3300863</x:v>
      </x:c>
      <x:c r="H199" s="25" t="str">
        <x:v>OpenAlex</x:v>
      </x:c>
      <x:c r="I199" s="25" t="str">
        <x:v>C3_mixed_initiative_cocreation</x:v>
      </x:c>
      <x:c r="J199" s="25" t="str">
        <x:v>Exclude</x:v>
      </x:c>
      <x:c r="K199" s="25" t="str">
        <x:v>Exclude: adjacent/redundant or insufficiently theory-generative for DC1</x:v>
      </x:c>
    </x:row>
    <x:row r="200">
      <x:c r="A200" s="20" t="str">
        <x:v>R0196</x:v>
      </x:c>
      <x:c r="B200" s="25" t="str">
        <x:v>Spoken language interaction with robots: Recommendations for future research</x:v>
      </x:c>
      <x:c r="C200" s="25" t="n">
        <x:v>2021</x:v>
      </x:c>
      <x:c r="D200" s="25" t="str">
        <x:v>Matthew Marge; Carol Espy-Wilson; Nigel Ward; Abeer Alwan; Yoav Artzi; Mohit Bansal; Gil Blankenship; Joyce Chai; Hal Daumé; Debadeepta Dey; Mary P. Harper; Thomas M. Howard; Casey Kennington; Ivana Kruijff‐Korbayová; Dinesh Manocha; Cynthia Matuszek; Ross Mead; Raymond J. Mooney; Roger K. Moore; Mari Ostendorf; Heather Pon-Barry; Alexander I. Rudnicky; Matthias Scheutz; Robert St. Amant; Tong Sun; Stefanie Tellex; David Traum; Zhou Yu</x:v>
      </x:c>
      <x:c r="E200" s="25" t="str">
        <x:v>Computer Speech &amp; Language</x:v>
      </x:c>
      <x:c r="F200" s="25" t="str">
        <x:v>10.1016/j.csl.2021.101255</x:v>
      </x:c>
      <x:c r="G200" s="25" t="str">
        <x:v>https://doi.org/10.1016/j.csl.2021.101255</x:v>
      </x:c>
      <x:c r="H200" s="25" t="str">
        <x:v>OpenAlex</x:v>
      </x:c>
      <x:c r="I200" s="25" t="str">
        <x:v>C4_uncertainty_shared_autonomy</x:v>
      </x:c>
      <x:c r="J200" s="25" t="str">
        <x:v>Exclude</x:v>
      </x:c>
      <x:c r="K200" s="25" t="str">
        <x:v>Exclude: topic mismatch</x:v>
      </x:c>
    </x:row>
    <x:row r="201">
      <x:c r="A201" s="20" t="str">
        <x:v>R0197</x:v>
      </x:c>
      <x:c r="B201" s="25" t="str">
        <x:v>User Representations in Human-Computer Interaction</x:v>
      </x:c>
      <x:c r="C201" s="25" t="n">
        <x:v>2020</x:v>
      </x:c>
      <x:c r="D201" s="25" t="str">
        <x:v>Sofía Seinfeld; Tiare Feuchtner; Antonella Maselli; Jörg Müller</x:v>
      </x:c>
      <x:c r="E201" s="25" t="str">
        <x:v>Human-Computer Interaction</x:v>
      </x:c>
      <x:c r="F201" s="25" t="str">
        <x:v>10.1080/07370024.2020.1724790</x:v>
      </x:c>
      <x:c r="G201" s="25" t="str">
        <x:v>https://doi.org/10.1080/07370024.2020.1724790</x:v>
      </x:c>
      <x:c r="H201" s="25" t="str">
        <x:v>OpenAlex</x:v>
      </x:c>
      <x:c r="I201" s="25" t="str">
        <x:v>C1_3D_mental_models</x:v>
      </x:c>
      <x:c r="J201" s="25" t="str">
        <x:v>Exclude</x:v>
      </x:c>
      <x:c r="K201" s="25" t="str">
        <x:v>Exclude: adjacent/redundant or insufficiently theory-generative for DC1</x:v>
      </x:c>
    </x:row>
    <x:row r="202">
      <x:c r="A202" s="20" t="str">
        <x:v>R0198</x:v>
      </x:c>
      <x:c r="B202" s="25" t="str">
        <x:v>Hemodynamic Correlates of Cognition in Human Infants</x:v>
      </x:c>
      <x:c r="C202" s="25" t="n">
        <x:v>2014</x:v>
      </x:c>
      <x:c r="D202" s="25" t="str">
        <x:v>Richard Ν. Aslin; Mohinish Shukla; Lauren L. Emberson</x:v>
      </x:c>
      <x:c r="E202" s="25" t="str">
        <x:v>Annual Review of Psychology</x:v>
      </x:c>
      <x:c r="F202" s="25" t="str">
        <x:v>10.1146/annurev-psych-010213-115108</x:v>
      </x:c>
      <x:c r="G202" s="25" t="str">
        <x:v>https://doi.org/10.1146/annurev-psych-010213-115108</x:v>
      </x:c>
      <x:c r="H202" s="25" t="str">
        <x:v>OpenAlex</x:v>
      </x:c>
      <x:c r="I202" s="25" t="str">
        <x:v>C1_3D_mental_models</x:v>
      </x:c>
      <x:c r="J202" s="25" t="str">
        <x:v>Exclude</x:v>
      </x:c>
      <x:c r="K202" s="25" t="str">
        <x:v>Exclude: topic mismatch</x:v>
      </x:c>
    </x:row>
    <x:row r="203">
      <x:c r="A203" s="20" t="str">
        <x:v>R0199</x:v>
      </x:c>
      <x:c r="B203" s="25" t="str">
        <x:v>Large Language Models: A Comprehensive Survey of its Applications, Challenges, Limitations, and Future Prospects</x:v>
      </x:c>
      <x:c r="C203" s="25" t="n">
        <x:v>2023</x:v>
      </x:c>
      <x:c r="D203" s="25" t="str">
        <x:v>Muhammad Usman Hadi; qasem al tashi; Rizwan Qureshi; Abbas Shah; Amgad Muneer; Muhammad Irfan; Anas Zafar; Muhammad Bilal Shaikh; Naveed Akhtar; Syed Zohaib Hassan; Maged Shoman; Jia Wu; Seyedali Mirjalili; Mubarak Shah</x:v>
      </x:c>
      <x:c r="E203" s="25" t="str"/>
      <x:c r="F203" s="25" t="str">
        <x:v>10.36227/techrxiv.23589741.v4</x:v>
      </x:c>
      <x:c r="G203" s="25" t="str">
        <x:v>https://doi.org/10.36227/techrxiv.23589741.v4</x:v>
      </x:c>
      <x:c r="H203" s="25" t="str">
        <x:v>OpenAlex</x:v>
      </x:c>
      <x:c r="I203" s="25" t="str">
        <x:v>C8_AI_3D_authoring</x:v>
      </x:c>
      <x:c r="J203" s="25" t="str">
        <x:v>Exclude</x:v>
      </x:c>
      <x:c r="K203" s="25" t="str">
        <x:v>Exclude: topic mismatch</x:v>
      </x:c>
    </x:row>
    <x:row r="204">
      <x:c r="A204" s="20" t="str">
        <x:v>R0200</x:v>
      </x:c>
      <x:c r="B204" s="25" t="str">
        <x:v>At the Dawn of Generative AI Era: A Tutorial-cum-Survey on New Frontiers in 6G Wireless Intelligence</x:v>
      </x:c>
      <x:c r="C204" s="25" t="n">
        <x:v>2024</x:v>
      </x:c>
      <x:c r="D204" s="25" t="str">
        <x:v>Abdulkadir Çelik; Ahmed M. Eltawil</x:v>
      </x:c>
      <x:c r="E204" s="25" t="str">
        <x:v>IEEE Open Journal of the Communications Society</x:v>
      </x:c>
      <x:c r="F204" s="25" t="str">
        <x:v>10.1109/ojcoms.2024.3362271</x:v>
      </x:c>
      <x:c r="G204" s="25" t="str">
        <x:v>https://doi.org/10.1109/ojcoms.2024.3362271</x:v>
      </x:c>
      <x:c r="H204" s="25" t="str">
        <x:v>OpenAlex</x:v>
      </x:c>
      <x:c r="I204" s="25" t="str">
        <x:v>C8_AI_3D_authoring</x:v>
      </x:c>
      <x:c r="J204" s="25" t="str">
        <x:v>Exclude</x:v>
      </x:c>
      <x:c r="K204" s="25" t="str">
        <x:v>Exclude: topic mismatch</x:v>
      </x:c>
    </x:row>
    <x:row r="205">
      <x:c r="A205" s="20" t="str">
        <x:v>R0201</x:v>
      </x:c>
      <x:c r="B205" s="25" t="str">
        <x:v>Study of the attentive behavior of novice and expert map users using eye tracking</x:v>
      </x:c>
      <x:c r="C205" s="25" t="n">
        <x:v>2013</x:v>
      </x:c>
      <x:c r="D205" s="25" t="str">
        <x:v>Kristien Ooms; Philippe De Maeyer; Veerle Fack</x:v>
      </x:c>
      <x:c r="E205" s="25" t="str">
        <x:v>Cartography and Geographic Information Science</x:v>
      </x:c>
      <x:c r="F205" s="25" t="str">
        <x:v>10.1080/15230406.2013.860255</x:v>
      </x:c>
      <x:c r="G205" s="25" t="str">
        <x:v>https://doi.org/10.1080/15230406.2013.860255</x:v>
      </x:c>
      <x:c r="H205" s="25" t="str">
        <x:v>OpenAlex</x:v>
      </x:c>
      <x:c r="I205" s="25" t="str">
        <x:v>C1_3D_mental_models</x:v>
      </x:c>
      <x:c r="J205" s="25" t="str">
        <x:v>Exclude</x:v>
      </x:c>
      <x:c r="K205" s="25" t="str">
        <x:v>Exclude: adjacent/redundant or insufficiently theory-generative for DC1</x:v>
      </x:c>
    </x:row>
    <x:row r="206">
      <x:c r="A206" s="20" t="str">
        <x:v>R0202</x:v>
      </x:c>
      <x:c r="B206" s="25" t="str">
        <x:v>System Transparency in Shared Autonomy: A Mini Review</x:v>
      </x:c>
      <x:c r="C206" s="25" t="n">
        <x:v>2018</x:v>
      </x:c>
      <x:c r="D206" s="25" t="str">
        <x:v>Victoria Lucía Alonso; Paloma de la Puente</x:v>
      </x:c>
      <x:c r="E206" s="25" t="str">
        <x:v>Frontiers in Neurorobotics</x:v>
      </x:c>
      <x:c r="F206" s="25" t="str">
        <x:v>10.3389/fnbot.2018.00083</x:v>
      </x:c>
      <x:c r="G206" s="25" t="str">
        <x:v>https://doi.org/10.3389/fnbot.2018.00083</x:v>
      </x:c>
      <x:c r="H206" s="25" t="str">
        <x:v>OpenAlex</x:v>
      </x:c>
      <x:c r="I206" s="25" t="str">
        <x:v>C4_uncertainty_shared_autonomy; C6_frontend_GUI_intent</x:v>
      </x:c>
      <x:c r="J206" s="25" t="str">
        <x:v>Exclude</x:v>
      </x:c>
      <x:c r="K206" s="25" t="str">
        <x:v>Exclude: adjacent/redundant or insufficiently theory-generative for DC1</x:v>
      </x:c>
    </x:row>
    <x:row r="207">
      <x:c r="A207" s="20" t="str">
        <x:v>R0203</x:v>
      </x:c>
      <x:c r="B207" s="25" t="str">
        <x:v>Default network activation during episodic and semantic memory retrieval: A selective meta-analytic comparison</x:v>
      </x:c>
      <x:c r="C207" s="25" t="n">
        <x:v>2016</x:v>
      </x:c>
      <x:c r="D207" s="25" t="str">
        <x:v>Hongkeun Kim</x:v>
      </x:c>
      <x:c r="E207" s="25" t="str">
        <x:v>Neuropsychologia</x:v>
      </x:c>
      <x:c r="F207" s="25" t="str">
        <x:v>10.1016/j.neuropsychologia.2015.11.006</x:v>
      </x:c>
      <x:c r="G207" s="25" t="str">
        <x:v>https://doi.org/10.1016/j.neuropsychologia.2015.11.006</x:v>
      </x:c>
      <x:c r="H207" s="25" t="str">
        <x:v>Crossref</x:v>
      </x:c>
      <x:c r="I207" s="25" t="str">
        <x:v>C5_agent_memory</x:v>
      </x:c>
      <x:c r="J207" s="25" t="str">
        <x:v>Exclude</x:v>
      </x:c>
      <x:c r="K207" s="25" t="str">
        <x:v>Exclude: adjacent/redundant or insufficiently theory-generative for DC1</x:v>
      </x:c>
    </x:row>
    <x:row r="208">
      <x:c r="A208" s="20" t="str">
        <x:v>R0204</x:v>
      </x:c>
      <x:c r="B208" s="25" t="str">
        <x:v>Explainable AI for 6G Use Cases: Technical Aspects and Research Challenges</x:v>
      </x:c>
      <x:c r="C208" s="25" t="n">
        <x:v>2024</x:v>
      </x:c>
      <x:c r="D208" s="25" t="str">
        <x:v>Shen Wang; M. Atif Qureshi; Luis Miralles‐Pechuán; Thien Huynh‐The; Thippa Reddy Gadekallu; Madhusanka Liyanage</x:v>
      </x:c>
      <x:c r="E208" s="25" t="str">
        <x:v>IEEE Open Journal of the Communications Society</x:v>
      </x:c>
      <x:c r="F208" s="25" t="str">
        <x:v>10.1109/ojcoms.2024.3386872</x:v>
      </x:c>
      <x:c r="G208" s="25" t="str">
        <x:v>https://doi.org/10.1109/ojcoms.2024.3386872</x:v>
      </x:c>
      <x:c r="H208" s="25" t="str">
        <x:v>OpenAlex</x:v>
      </x:c>
      <x:c r="I208" s="25" t="str">
        <x:v>C8_AI_3D_authoring</x:v>
      </x:c>
      <x:c r="J208" s="25" t="str">
        <x:v>Exclude</x:v>
      </x:c>
      <x:c r="K208" s="25" t="str">
        <x:v>Exclude: topic mismatch</x:v>
      </x:c>
    </x:row>
    <x:row r="209">
      <x:c r="A209" s="20" t="str">
        <x:v>R0205</x:v>
      </x:c>
      <x:c r="B209" s="25" t="str">
        <x:v>Semantics for Robotic Mapping, Perception and Interaction: A Survey</x:v>
      </x:c>
      <x:c r="C209" s="25" t="n">
        <x:v>2020</x:v>
      </x:c>
      <x:c r="D209" s="25" t="str">
        <x:v>Sourav Garg; Niko Sünderhauf; Feras Dayoub; Douglas Morrison; Akansel Cosgun; Gustavo Carneiro; Qi Wu; Tat-Jun Chin; Ian Reid; Stephen Jay Gould; Peter Corke; Michael Milford</x:v>
      </x:c>
      <x:c r="E209" s="25" t="str">
        <x:v>Foundations and Trends in Robotics</x:v>
      </x:c>
      <x:c r="F209" s="25" t="str">
        <x:v>10.1561/2300000059</x:v>
      </x:c>
      <x:c r="G209" s="25" t="str">
        <x:v>https://doi.org/10.1561/2300000059</x:v>
      </x:c>
      <x:c r="H209" s="25" t="str">
        <x:v>OpenAlex</x:v>
      </x:c>
      <x:c r="I209" s="25" t="str">
        <x:v>C4_uncertainty_shared_autonomy</x:v>
      </x:c>
      <x:c r="J209" s="25" t="str">
        <x:v>Exclude</x:v>
      </x:c>
      <x:c r="K209" s="25" t="str">
        <x:v>Exclude: adjacent/redundant or insufficiently theory-generative for DC1</x:v>
      </x:c>
    </x:row>
    <x:row r="210">
      <x:c r="A210" s="20" t="str">
        <x:v>R0206</x:v>
      </x:c>
      <x:c r="B210" s="25" t="str">
        <x:v>The effect of AI-based inspiration on human design ideation</x:v>
      </x:c>
      <x:c r="C210" s="25" t="n">
        <x:v>2023</x:v>
      </x:c>
      <x:c r="D210" s="25" t="str">
        <x:v>Jingoog Kim; Mary Lou Maher</x:v>
      </x:c>
      <x:c r="E210" s="25" t="str">
        <x:v>International Journal of Design Creativity and Innovation</x:v>
      </x:c>
      <x:c r="F210" s="25" t="str">
        <x:v>10.1080/21650349.2023.2167124</x:v>
      </x:c>
      <x:c r="G210" s="25" t="str">
        <x:v>https://doi.org/10.1080/21650349.2023.2167124</x:v>
      </x:c>
      <x:c r="H210" s="25" t="str">
        <x:v>OpenAlex</x:v>
      </x:c>
      <x:c r="I210" s="25" t="str">
        <x:v>C3_mixed_initiative_cocreation</x:v>
      </x:c>
      <x:c r="J210" s="25" t="str">
        <x:v>Exclude</x:v>
      </x:c>
      <x:c r="K210" s="25" t="str">
        <x:v>Exclude: adjacent/redundant or insufficiently theory-generative for DC1</x:v>
      </x:c>
    </x:row>
    <x:row r="211">
      <x:c r="A211" s="20" t="str">
        <x:v>R0207</x:v>
      </x:c>
      <x:c r="B211" s="25" t="str">
        <x:v>A Review of Immersive Technologies, Knowledge Representation, and AI for Human-Centered Digital Experiences</x:v>
      </x:c>
      <x:c r="C211" s="25" t="n">
        <x:v>2024</x:v>
      </x:c>
      <x:c r="D211" s="25" t="str">
        <x:v>Nikolaos Partarakis; Xenophon Zabulis</x:v>
      </x:c>
      <x:c r="E211" s="25" t="str">
        <x:v>Electronics</x:v>
      </x:c>
      <x:c r="F211" s="25" t="str">
        <x:v>10.3390/electronics13020269</x:v>
      </x:c>
      <x:c r="G211" s="25" t="str">
        <x:v>https://doi.org/10.3390/electronics13020269</x:v>
      </x:c>
      <x:c r="H211" s="25" t="str">
        <x:v>OpenAlex</x:v>
      </x:c>
      <x:c r="I211" s="25" t="str">
        <x:v>C6_frontend_GUI_intent; C8_AI_3D_authoring</x:v>
      </x:c>
      <x:c r="J211" s="25" t="str">
        <x:v>Exclude</x:v>
      </x:c>
      <x:c r="K211" s="25" t="str">
        <x:v>Exclude: adjacent/redundant or insufficiently theory-generative for DC1</x:v>
      </x:c>
    </x:row>
    <x:row r="212">
      <x:c r="A212" s="20" t="str">
        <x:v>R0208</x:v>
      </x:c>
      <x:c r="B212" s="25" t="str">
        <x:v>Building Human Values into Recommender Systems: An Interdisciplinary Synthesis</x:v>
      </x:c>
      <x:c r="C212" s="25" t="n">
        <x:v>2023</x:v>
      </x:c>
      <x:c r="D212" s="25" t="str">
        <x:v>Jonathan Stray; Alon Halevy; Parisa Assar; Dylan Hadfield-Menell; Craig Boutilier; Amar Ashar; Chloé Bakalar; Lex Beattie; Michael D. Ekstrand; Claire Leibowicz; Connie Moon Sehat; Sara L. Johansen; Lianne Kerlin; David Vickrey; Spandana Singh; Sanne Vrijenhoek; Amy X. Zhang; McKane Andrus; Natali Helberger; Polina Proutskova; Tanushree Mitra; Nina Vasan</x:v>
      </x:c>
      <x:c r="E212" s="25" t="str">
        <x:v>ACM Transactions on Recommender Systems</x:v>
      </x:c>
      <x:c r="F212" s="25" t="str">
        <x:v>10.1145/3632297</x:v>
      </x:c>
      <x:c r="G212" s="25" t="str">
        <x:v>https://doi.org/10.1145/3632297</x:v>
      </x:c>
      <x:c r="H212" s="25" t="str">
        <x:v>OpenAlex</x:v>
      </x:c>
      <x:c r="I212" s="25" t="str">
        <x:v>C4_uncertainty_shared_autonomy</x:v>
      </x:c>
      <x:c r="J212" s="25" t="str">
        <x:v>Exclude</x:v>
      </x:c>
      <x:c r="K212" s="25" t="str">
        <x:v>Exclude: topic mismatch</x:v>
      </x:c>
    </x:row>
    <x:row r="213">
      <x:c r="A213" s="20" t="str">
        <x:v>R0209</x:v>
      </x:c>
      <x:c r="B213" s="25" t="str">
        <x:v>Misunderstandings and explicit/implicit communication</x:v>
      </x:c>
      <x:c r="C213" s="25" t="n">
        <x:v>2015</x:v>
      </x:c>
      <x:c r="D213" s="25" t="str">
        <x:v>Francisco Yus</x:v>
      </x:c>
      <x:c r="E213" s="25" t="str">
        <x:v>Pragmatics Quarterly Publication of the International Pragmatics Association (IPrA)</x:v>
      </x:c>
      <x:c r="F213" s="25" t="str">
        <x:v>10.1075/prag.9.4.01yus</x:v>
      </x:c>
      <x:c r="G213" s="25" t="str">
        <x:v>https://doi.org/10.1075/prag.9.4.01yus</x:v>
      </x:c>
      <x:c r="H213" s="25" t="str">
        <x:v>OpenAlex</x:v>
      </x:c>
      <x:c r="I213" s="25" t="str">
        <x:v>C2_interaction_signals</x:v>
      </x:c>
      <x:c r="J213" s="25" t="str">
        <x:v>Exclude</x:v>
      </x:c>
      <x:c r="K213" s="25" t="str">
        <x:v>Exclude: topic mismatch</x:v>
      </x:c>
    </x:row>
    <x:row r="214">
      <x:c r="A214" s="20" t="str">
        <x:v>R0210</x:v>
      </x:c>
      <x:c r="B214" s="25" t="str">
        <x:v>Artificial Intelligence and User Experience in reciprocity: Contributions and state of the art</x:v>
      </x:c>
      <x:c r="C214" s="25" t="n">
        <x:v>2023</x:v>
      </x:c>
      <x:c r="D214" s="25" t="str">
        <x:v>Maria Virvou</x:v>
      </x:c>
      <x:c r="E214" s="25" t="str">
        <x:v>Intelligent Decision Technologies</x:v>
      </x:c>
      <x:c r="F214" s="25" t="str">
        <x:v>10.3233/idt-230092</x:v>
      </x:c>
      <x:c r="G214" s="25" t="str">
        <x:v>https://doi.org/10.3233/idt-230092</x:v>
      </x:c>
      <x:c r="H214" s="25" t="str">
        <x:v>OpenAlex</x:v>
      </x:c>
      <x:c r="I214" s="25" t="str">
        <x:v>C6_frontend_GUI_intent</x:v>
      </x:c>
      <x:c r="J214" s="25" t="str">
        <x:v>Exclude</x:v>
      </x:c>
      <x:c r="K214" s="25" t="str">
        <x:v>Exclude: adjacent/redundant or insufficiently theory-generative for DC1</x:v>
      </x:c>
    </x:row>
    <x:row r="215">
      <x:c r="A215" s="20" t="str">
        <x:v>R0211</x:v>
      </x:c>
      <x:c r="B215" s="25" t="str">
        <x:v>DirectGPT: A Direct Manipulation Interface to Interact with Large Language Models</x:v>
      </x:c>
      <x:c r="C215" s="25" t="n">
        <x:v>2024</x:v>
      </x:c>
      <x:c r="D215" s="25" t="str">
        <x:v>Damien Masson; Sylvain Malacria; Géry Casiez; Daniel Vogel</x:v>
      </x:c>
      <x:c r="E215" s="25" t="str"/>
      <x:c r="F215" s="25" t="str">
        <x:v>10.1145/3613904.3642462</x:v>
      </x:c>
      <x:c r="G215" s="25" t="str">
        <x:v>https://doi.org/10.1145/3613904.3642462</x:v>
      </x:c>
      <x:c r="H215" s="25" t="str">
        <x:v>OpenAlex</x:v>
      </x:c>
      <x:c r="I215" s="25" t="str">
        <x:v>C6_frontend_GUI_intent; C8_AI_3D_authoring</x:v>
      </x:c>
      <x:c r="J215" s="25" t="str">
        <x:v>Include</x:v>
      </x:c>
      <x:c r="K215" s="25" t="str">
        <x:v>Included in focused synthesis</x:v>
      </x:c>
    </x:row>
    <x:row r="216">
      <x:c r="A216" s="20" t="str">
        <x:v>R0212</x:v>
      </x:c>
      <x:c r="B216" s="25" t="str">
        <x:v>Metacognition, Distributed Cognition and Visual Design</x:v>
      </x:c>
      <x:c r="C216" s="25" t="n">
        <x:v>2004</x:v>
      </x:c>
      <x:c r="D216" s="25" t="str">
        <x:v>David Kirsh</x:v>
      </x:c>
      <x:c r="E216" s="25" t="str">
        <x:v>PhilPapers (PhilPapers Foundation)</x:v>
      </x:c>
      <x:c r="F216" s="25" t="str"/>
      <x:c r="G216" s="25" t="str">
        <x:v>https://philarchive.org/rec/DAVMDC</x:v>
      </x:c>
      <x:c r="H216" s="25" t="str">
        <x:v>OpenAlex</x:v>
      </x:c>
      <x:c r="I216" s="25" t="str">
        <x:v>C1_3D_mental_models</x:v>
      </x:c>
      <x:c r="J216" s="25" t="str">
        <x:v>Exclude</x:v>
      </x:c>
      <x:c r="K216" s="25" t="str">
        <x:v>Exclude: topic mismatch</x:v>
      </x:c>
    </x:row>
    <x:row r="217">
      <x:c r="A217" s="20" t="str">
        <x:v>R0213</x:v>
      </x:c>
      <x:c r="B217" s="25" t="str">
        <x:v>Virtual Body Ownership Illusions for Mental Health: A Narrative Review</x:v>
      </x:c>
      <x:c r="C217" s="25" t="n">
        <x:v>2021</x:v>
      </x:c>
      <x:c r="D217" s="25" t="str">
        <x:v>Marta Matamala-Gomez; Antonella Maselli; Clelia Malighetti; Olivia Realdon; Fabrizia Mantovani; Giuseppe Riva</x:v>
      </x:c>
      <x:c r="E217" s="25" t="str">
        <x:v>Journal of Clinical Medicine</x:v>
      </x:c>
      <x:c r="F217" s="25" t="str">
        <x:v>10.3390/jcm10010139</x:v>
      </x:c>
      <x:c r="G217" s="25" t="str">
        <x:v>https://doi.org/10.3390/jcm10010139</x:v>
      </x:c>
      <x:c r="H217" s="25" t="str">
        <x:v>OpenAlex</x:v>
      </x:c>
      <x:c r="I217" s="25" t="str">
        <x:v>C1_3D_mental_models</x:v>
      </x:c>
      <x:c r="J217" s="25" t="str">
        <x:v>Exclude</x:v>
      </x:c>
      <x:c r="K217" s="25" t="str">
        <x:v>Exclude: adjacent/redundant or insufficiently theory-generative for DC1</x:v>
      </x:c>
    </x:row>
    <x:row r="218">
      <x:c r="A218" s="20" t="str">
        <x:v>R0214</x:v>
      </x:c>
      <x:c r="B218" s="25" t="str">
        <x:v>How to make sense of 3D representations for plant phenotyping: a compendium of processing and analysis techniques</x:v>
      </x:c>
      <x:c r="C218" s="25" t="n">
        <x:v>2023</x:v>
      </x:c>
      <x:c r="D218" s="25" t="str">
        <x:v>Negin Harandi; Breght Vandenberghe; Joris Vankerschaver; Stephen Depuydt; Arnout Van Messem</x:v>
      </x:c>
      <x:c r="E218" s="25" t="str">
        <x:v>Plant Methods</x:v>
      </x:c>
      <x:c r="F218" s="25" t="str">
        <x:v>10.1186/s13007-023-01031-z</x:v>
      </x:c>
      <x:c r="G218" s="25" t="str">
        <x:v>https://doi.org/10.1186/s13007-023-01031-z</x:v>
      </x:c>
      <x:c r="H218" s="25" t="str">
        <x:v>OpenAlex</x:v>
      </x:c>
      <x:c r="I218" s="25" t="str">
        <x:v>C8_AI_3D_authoring</x:v>
      </x:c>
      <x:c r="J218" s="25" t="str">
        <x:v>Exclude</x:v>
      </x:c>
      <x:c r="K218" s="25" t="str">
        <x:v>Exclude: adjacent/redundant or insufficiently theory-generative for DC1</x:v>
      </x:c>
    </x:row>
    <x:row r="219">
      <x:c r="A219" s="20" t="str">
        <x:v>R0215</x:v>
      </x:c>
      <x:c r="B219" s="25" t="str">
        <x:v>Intention awareness: improving upon situation awareness in human-centric environments</x:v>
      </x:c>
      <x:c r="C219" s="25" t="n">
        <x:v>2013</x:v>
      </x:c>
      <x:c r="D219" s="25" t="str">
        <x:v>Newton Howard; Erik Cambria</x:v>
      </x:c>
      <x:c r="E219" s="25" t="str">
        <x:v>Human-centric Computing and Information Sciences</x:v>
      </x:c>
      <x:c r="F219" s="25" t="str">
        <x:v>10.1186/2192-1962-3-9</x:v>
      </x:c>
      <x:c r="G219" s="25" t="str">
        <x:v>https://doi.org/10.1186/2192-1962-3-9</x:v>
      </x:c>
      <x:c r="H219" s="25" t="str">
        <x:v>OpenAlex</x:v>
      </x:c>
      <x:c r="I219" s="25" t="str">
        <x:v>C4_uncertainty_shared_autonomy</x:v>
      </x:c>
      <x:c r="J219" s="25" t="str">
        <x:v>Exclude</x:v>
      </x:c>
      <x:c r="K219" s="25" t="str">
        <x:v>Exclude: adjacent/redundant or insufficiently theory-generative for DC1</x:v>
      </x:c>
    </x:row>
    <x:row r="220">
      <x:c r="A220" s="20" t="str">
        <x:v>R0216</x:v>
      </x:c>
      <x:c r="B220" s="25" t="str">
        <x:v>Understanding Human-Centred AI: a review of its defining elements and a research agenda</x:v>
      </x:c>
      <x:c r="C220" s="25" t="n">
        <x:v>2025</x:v>
      </x:c>
      <x:c r="D220" s="25" t="str">
        <x:v>Stefan Schmager; Ilias O. Pappas; Polyxeni Vassilakopoulou</x:v>
      </x:c>
      <x:c r="E220" s="25" t="str">
        <x:v>Behaviour and Information Technology</x:v>
      </x:c>
      <x:c r="F220" s="25" t="str">
        <x:v>10.1080/0144929x.2024.2448719</x:v>
      </x:c>
      <x:c r="G220" s="25" t="str">
        <x:v>https://doi.org/10.1080/0144929x.2024.2448719</x:v>
      </x:c>
      <x:c r="H220" s="25" t="str">
        <x:v>OpenAlex</x:v>
      </x:c>
      <x:c r="I220" s="25" t="str">
        <x:v>C3_mixed_initiative_cocreation</x:v>
      </x:c>
      <x:c r="J220" s="25" t="str">
        <x:v>Exclude</x:v>
      </x:c>
      <x:c r="K220" s="25" t="str">
        <x:v>Exclude: adjacent/redundant or insufficiently theory-generative for DC1</x:v>
      </x:c>
    </x:row>
    <x:row r="221">
      <x:c r="A221" s="20" t="str">
        <x:v>R0217</x:v>
      </x:c>
      <x:c r="B221" s="25" t="str">
        <x:v>Generative AI for synthetic data across multiple medical modalities: A systematic review of recent developments and challenges</x:v>
      </x:c>
      <x:c r="C221" s="25" t="n">
        <x:v>2025</x:v>
      </x:c>
      <x:c r="D221" s="25" t="str">
        <x:v>Mahmoud Ibrahim; Yasmina Al Khalil; Sina Amirrajab; Chang Sun; Marcel Breeuwer; Josien P. W. Pluim; Bart Elen; Gökhan Ertaylan; Michel Dumontier</x:v>
      </x:c>
      <x:c r="E221" s="25" t="str">
        <x:v>Computers in Biology and Medicine</x:v>
      </x:c>
      <x:c r="F221" s="25" t="str">
        <x:v>10.1016/j.compbiomed.2025.109834</x:v>
      </x:c>
      <x:c r="G221" s="25" t="str">
        <x:v>https://doi.org/10.1016/j.compbiomed.2025.109834</x:v>
      </x:c>
      <x:c r="H221" s="25" t="str">
        <x:v>OpenAlex</x:v>
      </x:c>
      <x:c r="I221" s="25" t="str">
        <x:v>C8_AI_3D_authoring</x:v>
      </x:c>
      <x:c r="J221" s="25" t="str">
        <x:v>Exclude</x:v>
      </x:c>
      <x:c r="K221" s="25" t="str">
        <x:v>Exclude: adjacent/redundant or insufficiently theory-generative for DC1</x:v>
      </x:c>
    </x:row>
    <x:row r="222">
      <x:c r="A222" s="20" t="str">
        <x:v>R0218</x:v>
      </x:c>
      <x:c r="B222" s="25" t="str">
        <x:v>Crowdsourcing Human-Robot Interaction: New Methods and System Evaluation in a Public Environment</x:v>
      </x:c>
      <x:c r="C222" s="25" t="n">
        <x:v>2013</x:v>
      </x:c>
      <x:c r="D222" s="25" t="str">
        <x:v>Cynthia Breazeal; Nick DePalma; Jeff Orkin; Sonia Chernova; Malte Jung</x:v>
      </x:c>
      <x:c r="E222" s="25" t="str">
        <x:v>Journal of Human-Robot Interaction</x:v>
      </x:c>
      <x:c r="F222" s="25" t="str">
        <x:v>10.5898/jhri.2.1.breazeal</x:v>
      </x:c>
      <x:c r="G222" s="25" t="str">
        <x:v>https://doi.org/10.5898/jhri.2.1.breazeal</x:v>
      </x:c>
      <x:c r="H222" s="25" t="str">
        <x:v>OpenAlex</x:v>
      </x:c>
      <x:c r="I222" s="25" t="str">
        <x:v>C4_uncertainty_shared_autonomy</x:v>
      </x:c>
      <x:c r="J222" s="25" t="str">
        <x:v>Exclude</x:v>
      </x:c>
      <x:c r="K222" s="25" t="str">
        <x:v>Exclude: adjacent/redundant or insufficiently theory-generative for DC1</x:v>
      </x:c>
    </x:row>
    <x:row r="223">
      <x:c r="A223" s="20" t="str">
        <x:v>R0219</x:v>
      </x:c>
      <x:c r="B223" s="25" t="str">
        <x:v>Human-Robot Mutual Adaptation in Shared Autonomy</x:v>
      </x:c>
      <x:c r="C223" s="25" t="n">
        <x:v>2017</x:v>
      </x:c>
      <x:c r="D223" s="25" t="str">
        <x:v>Stefanos Nikolaidis; Yu Xiang Zhu; David Hsu; Siddhartha Srinivasa</x:v>
      </x:c>
      <x:c r="E223" s="25" t="str">
        <x:v>Proceedings of the 2017 ACM/IEEE International Conference on Human-Robot Interaction</x:v>
      </x:c>
      <x:c r="F223" s="25" t="str">
        <x:v>10.1145/2909824.3020252</x:v>
      </x:c>
      <x:c r="G223" s="25" t="str">
        <x:v>https://doi.org/10.1145/2909824.3020252</x:v>
      </x:c>
      <x:c r="H223" s="25" t="str">
        <x:v>Crossref</x:v>
      </x:c>
      <x:c r="I223" s="25" t="str">
        <x:v>C4_uncertainty_shared_autonomy</x:v>
      </x:c>
      <x:c r="J223" s="25" t="str">
        <x:v>Exclude</x:v>
      </x:c>
      <x:c r="K223" s="25" t="str">
        <x:v>Exclude: adjacent/redundant or insufficiently theory-generative for DC1</x:v>
      </x:c>
    </x:row>
    <x:row r="224">
      <x:c r="A224" s="20" t="str">
        <x:v>R0220</x:v>
      </x:c>
      <x:c r="B224" s="25" t="str">
        <x:v>A Survey on Approximate Edge AI for Energy Efficient Autonomous Driving Services</x:v>
      </x:c>
      <x:c r="C224" s="25" t="n">
        <x:v>2023</x:v>
      </x:c>
      <x:c r="D224" s="25" t="str">
        <x:v>Dewant Katare; Diego Perino; Jari Nurmi; Martijn Warnier; Marijn Janssen; Aaron Yi Ding</x:v>
      </x:c>
      <x:c r="E224" s="25" t="str">
        <x:v>IEEE Communications Surveys &amp; Tutorials</x:v>
      </x:c>
      <x:c r="F224" s="25" t="str">
        <x:v>10.1109/comst.2023.3302474</x:v>
      </x:c>
      <x:c r="G224" s="25" t="str">
        <x:v>https://doi.org/10.1109/comst.2023.3302474</x:v>
      </x:c>
      <x:c r="H224" s="25" t="str">
        <x:v>OpenAlex</x:v>
      </x:c>
      <x:c r="I224" s="25" t="str">
        <x:v>C8_AI_3D_authoring</x:v>
      </x:c>
      <x:c r="J224" s="25" t="str">
        <x:v>Exclude</x:v>
      </x:c>
      <x:c r="K224" s="25" t="str">
        <x:v>Exclude: adjacent/redundant or insufficiently theory-generative for DC1</x:v>
      </x:c>
    </x:row>
    <x:row r="225">
      <x:c r="A225" s="20" t="str">
        <x:v>R0221</x:v>
      </x:c>
      <x:c r="B225" s="25" t="str">
        <x:v>Semantic aspects of interoperable GIS</x:v>
      </x:c>
      <x:c r="C225" s="25" t="n">
        <x:v>1997</x:v>
      </x:c>
      <x:c r="D225" s="25" t="str">
        <x:v>Yaser Bishr</x:v>
      </x:c>
      <x:c r="E225" s="25" t="str"/>
      <x:c r="F225" s="25" t="str">
        <x:v>10.18174/211778</x:v>
      </x:c>
      <x:c r="G225" s="25" t="str">
        <x:v>https://doi.org/10.18174/211778</x:v>
      </x:c>
      <x:c r="H225" s="25" t="str">
        <x:v>OpenAlex</x:v>
      </x:c>
      <x:c r="I225" s="25" t="str">
        <x:v>C8_AI_3D_authoring</x:v>
      </x:c>
      <x:c r="J225" s="25" t="str">
        <x:v>Exclude</x:v>
      </x:c>
      <x:c r="K225" s="25" t="str">
        <x:v>Exclude: topic mismatch</x:v>
      </x:c>
    </x:row>
    <x:row r="226">
      <x:c r="A226" s="20" t="str">
        <x:v>R0222</x:v>
      </x:c>
      <x:c r="B226" s="25" t="str">
        <x:v>Shaping Human-AI Collaboration: Varied Scaffolding Levels in Co-writing with Language Models</x:v>
      </x:c>
      <x:c r="C226" s="25" t="n">
        <x:v>2024</x:v>
      </x:c>
      <x:c r="D226" s="25" t="str">
        <x:v>Paramveer S. Dhillon; Somayeh Molaei; Jiaqi Li; Maximilian Golub; Shaochun Zheng; Lionel Robert</x:v>
      </x:c>
      <x:c r="E226" s="25" t="str"/>
      <x:c r="F226" s="25" t="str">
        <x:v>10.1145/3613904.3642134</x:v>
      </x:c>
      <x:c r="G226" s="25" t="str">
        <x:v>https://doi.org/10.1145/3613904.3642134</x:v>
      </x:c>
      <x:c r="H226" s="25" t="str">
        <x:v>OpenAlex</x:v>
      </x:c>
      <x:c r="I226" s="25" t="str">
        <x:v>C3_mixed_initiative_cocreation; C7_creative_agency</x:v>
      </x:c>
      <x:c r="J226" s="25" t="str">
        <x:v>Exclude</x:v>
      </x:c>
      <x:c r="K226" s="25" t="str">
        <x:v>Exclude: topic mismatch</x:v>
      </x:c>
    </x:row>
    <x:row r="227">
      <x:c r="A227" s="20" t="str">
        <x:v>R0223</x:v>
      </x:c>
      <x:c r="B227" s="25" t="str">
        <x:v>Solving mechanics problems using meta-level inference</x:v>
      </x:c>
      <x:c r="C227" s="25" t="n">
        <x:v>1979</x:v>
      </x:c>
      <x:c r="D227" s="25" t="str">
        <x:v>Alan Bundy; Lawrence Byrd; George F. Luger</x:v>
      </x:c>
      <x:c r="E227" s="25" t="str">
        <x:v>ERA</x:v>
      </x:c>
      <x:c r="F227" s="25" t="str"/>
      <x:c r="G227" s="25" t="str">
        <x:v>http://hdl.handle.net/1842/4565</x:v>
      </x:c>
      <x:c r="H227" s="25" t="str">
        <x:v>OpenAlex</x:v>
      </x:c>
      <x:c r="I227" s="25" t="str">
        <x:v>C4_uncertainty_shared_autonomy</x:v>
      </x:c>
      <x:c r="J227" s="25" t="str">
        <x:v>Exclude</x:v>
      </x:c>
      <x:c r="K227" s="25" t="str">
        <x:v>Exclude: adjacent/redundant or insufficiently theory-generative for DC1</x:v>
      </x:c>
    </x:row>
    <x:row r="228">
      <x:c r="A228" s="20" t="str">
        <x:v>R0224</x:v>
      </x:c>
      <x:c r="B228" s="25" t="str">
        <x:v>Mathemyths: Leveraging Large Language Models to Teach Mathematical Language through Child-AI Co-Creative Storytelling</x:v>
      </x:c>
      <x:c r="C228" s="25" t="n">
        <x:v>2024</x:v>
      </x:c>
      <x:c r="D228" s="25" t="str">
        <x:v>Chao Zhang; X. Liu; Katherine Ziska; Soobin Jeon; Chi‐Lin Yu; Ying Xu</x:v>
      </x:c>
      <x:c r="E228" s="25" t="str"/>
      <x:c r="F228" s="25" t="str">
        <x:v>10.1145/3613904.3642647</x:v>
      </x:c>
      <x:c r="G228" s="25" t="str">
        <x:v>https://doi.org/10.1145/3613904.3642647</x:v>
      </x:c>
      <x:c r="H228" s="25" t="str">
        <x:v>OpenAlex</x:v>
      </x:c>
      <x:c r="I228" s="25" t="str">
        <x:v>C3_mixed_initiative_cocreation; C7_creative_agency</x:v>
      </x:c>
      <x:c r="J228" s="25" t="str">
        <x:v>Exclude</x:v>
      </x:c>
      <x:c r="K228" s="25" t="str">
        <x:v>Exclude: adjacent/redundant or insufficiently theory-generative for DC1</x:v>
      </x:c>
    </x:row>
    <x:row r="229">
      <x:c r="A229" s="20" t="str">
        <x:v>R0225</x:v>
      </x:c>
      <x:c r="B229" s="25" t="str">
        <x:v>Organizational science and cybersecurity: abundant opportunities for research at the interface</x:v>
      </x:c>
      <x:c r="C229" s="25" t="n">
        <x:v>2021</x:v>
      </x:c>
      <x:c r="D229" s="25" t="str">
        <x:v>Reeshad S. Dalal; David Howard; Rebecca J. Bennett; Clay Posey; Stephen J. Zaccaro; Bradley J. Brummel</x:v>
      </x:c>
      <x:c r="E229" s="25" t="str">
        <x:v>Journal of Business and Psychology</x:v>
      </x:c>
      <x:c r="F229" s="25" t="str">
        <x:v>10.1007/s10869-021-09732-9</x:v>
      </x:c>
      <x:c r="G229" s="25" t="str">
        <x:v>https://doi.org/10.1007/s10869-021-09732-9</x:v>
      </x:c>
      <x:c r="H229" s="25" t="str">
        <x:v>OpenAlex</x:v>
      </x:c>
      <x:c r="I229" s="25" t="str">
        <x:v>C2_interaction_signals</x:v>
      </x:c>
      <x:c r="J229" s="25" t="str">
        <x:v>Exclude</x:v>
      </x:c>
      <x:c r="K229" s="25" t="str">
        <x:v>Exclude: topic mismatch</x:v>
      </x:c>
    </x:row>
    <x:row r="230">
      <x:c r="A230" s="20" t="str">
        <x:v>R0226</x:v>
      </x:c>
      <x:c r="B230" s="25" t="str">
        <x:v>Heuristics are Tools for Uncertainty</x:v>
      </x:c>
      <x:c r="C230" s="25" t="n">
        <x:v>2017</x:v>
      </x:c>
      <x:c r="D230" s="25" t="str">
        <x:v>Shabnam Mousavi; Gerd Gigerenzer</x:v>
      </x:c>
      <x:c r="E230" s="25" t="str">
        <x:v>Homo Oeconomicus</x:v>
      </x:c>
      <x:c r="F230" s="25" t="str">
        <x:v>10.1007/s41412-017-0058-z</x:v>
      </x:c>
      <x:c r="G230" s="25" t="str">
        <x:v>https://doi.org/10.1007/s41412-017-0058-z</x:v>
      </x:c>
      <x:c r="H230" s="25" t="str">
        <x:v>OpenAlex</x:v>
      </x:c>
      <x:c r="I230" s="25" t="str">
        <x:v>C4_uncertainty_shared_autonomy</x:v>
      </x:c>
      <x:c r="J230" s="25" t="str">
        <x:v>Exclude</x:v>
      </x:c>
      <x:c r="K230" s="25" t="str">
        <x:v>Exclude: topic mismatch</x:v>
      </x:c>
    </x:row>
    <x:row r="231">
      <x:c r="A231" s="20" t="str">
        <x:v>R0227</x:v>
      </x:c>
      <x:c r="B231" s="25" t="str">
        <x:v>A Question of Design: Strategies for Embedding AI-Driven Tools into Journalistic Work Routines</x:v>
      </x:c>
      <x:c r="C231" s="25" t="n">
        <x:v>2022</x:v>
      </x:c>
      <x:c r="D231" s="25" t="str">
        <x:v>Marisela Gutierrez Lopez; Colin Porlezza; Glenda Cooper; Stephann Makri; Andrew MacFarlane; Sondess Missaoui</x:v>
      </x:c>
      <x:c r="E231" s="25" t="str">
        <x:v>Digital Journalism</x:v>
      </x:c>
      <x:c r="F231" s="25" t="str">
        <x:v>10.1080/21670811.2022.2043759</x:v>
      </x:c>
      <x:c r="G231" s="25" t="str">
        <x:v>https://doi.org/10.1080/21670811.2022.2043759</x:v>
      </x:c>
      <x:c r="H231" s="25" t="str">
        <x:v>OpenAlex</x:v>
      </x:c>
      <x:c r="I231" s="25" t="str">
        <x:v>C3_mixed_initiative_cocreation</x:v>
      </x:c>
      <x:c r="J231" s="25" t="str">
        <x:v>Exclude</x:v>
      </x:c>
      <x:c r="K231" s="25" t="str">
        <x:v>Exclude: topic mismatch</x:v>
      </x:c>
    </x:row>
    <x:row r="232">
      <x:c r="A232" s="20" t="str">
        <x:v>R0228</x:v>
      </x:c>
      <x:c r="B232" s="25" t="str">
        <x:v>Promoting a mixed-design model of scientific creativity through digital storytelling—the CCQ model for creativity</x:v>
      </x:c>
      <x:c r="C232" s="25" t="n">
        <x:v>2020</x:v>
      </x:c>
      <x:c r="D232" s="25" t="str">
        <x:v>Zacharoula Smyrnaiou; Eleni Georgakopoulou; Sοfoklis Sotiriou</x:v>
      </x:c>
      <x:c r="E232" s="25" t="str">
        <x:v>International Journal of STEM Education</x:v>
      </x:c>
      <x:c r="F232" s="25" t="str">
        <x:v>10.1186/s40594-020-00223-6</x:v>
      </x:c>
      <x:c r="G232" s="25" t="str">
        <x:v>https://doi.org/10.1186/s40594-020-00223-6</x:v>
      </x:c>
      <x:c r="H232" s="25" t="str">
        <x:v>OpenAlex</x:v>
      </x:c>
      <x:c r="I232" s="25" t="str">
        <x:v>C3_mixed_initiative_cocreation</x:v>
      </x:c>
      <x:c r="J232" s="25" t="str">
        <x:v>Exclude</x:v>
      </x:c>
      <x:c r="K232" s="25" t="str">
        <x:v>Exclude: adjacent/redundant or insufficiently theory-generative for DC1</x:v>
      </x:c>
    </x:row>
    <x:row r="233">
      <x:c r="A233" s="20" t="str">
        <x:v>R0229</x:v>
      </x:c>
      <x:c r="B233" s="25" t="str">
        <x:v>Implicit Communication of Actionable Information in Human-AI teams</x:v>
      </x:c>
      <x:c r="C233" s="25" t="n">
        <x:v>2019</x:v>
      </x:c>
      <x:c r="D233" s="25" t="str">
        <x:v>Claire Liang; Julia Proft; Erik Andersen; Ross A. Knepper</x:v>
      </x:c>
      <x:c r="E233" s="25" t="str"/>
      <x:c r="F233" s="25" t="str">
        <x:v>10.1145/3290605.3300325</x:v>
      </x:c>
      <x:c r="G233" s="25" t="str">
        <x:v>https://doi.org/10.1145/3290605.3300325</x:v>
      </x:c>
      <x:c r="H233" s="25" t="str">
        <x:v>OpenAlex</x:v>
      </x:c>
      <x:c r="I233" s="25" t="str">
        <x:v>C2_interaction_signals</x:v>
      </x:c>
      <x:c r="J233" s="25" t="str">
        <x:v>Exclude</x:v>
      </x:c>
      <x:c r="K233" s="25" t="str">
        <x:v>Exclude: topic mismatch</x:v>
      </x:c>
    </x:row>
    <x:row r="234">
      <x:c r="A234" s="20" t="str">
        <x:v>R0230</x:v>
      </x:c>
      <x:c r="B234" s="25" t="str">
        <x:v>shapeCAD: An Accessible 3D Modelling Workflow for the Blind and Visually-Impaired Via 2.5D Shape Displays</x:v>
      </x:c>
      <x:c r="C234" s="25" t="n">
        <x:v>2019</x:v>
      </x:c>
      <x:c r="D234" s="25" t="str">
        <x:v>Alexa Siu; Son Kim; Joshua A. Miele; Sean Follmer</x:v>
      </x:c>
      <x:c r="E234" s="25" t="str"/>
      <x:c r="F234" s="25" t="str">
        <x:v>10.1145/3308561.3353782</x:v>
      </x:c>
      <x:c r="G234" s="25" t="str">
        <x:v>https://doi.org/10.1145/3308561.3353782</x:v>
      </x:c>
      <x:c r="H234" s="25" t="str">
        <x:v>OpenAlex</x:v>
      </x:c>
      <x:c r="I234" s="25" t="str">
        <x:v>C1_3D_mental_models</x:v>
      </x:c>
      <x:c r="J234" s="25" t="str">
        <x:v>Exclude</x:v>
      </x:c>
      <x:c r="K234" s="25" t="str">
        <x:v>Exclude: adjacent/redundant or insufficiently theory-generative for DC1</x:v>
      </x:c>
    </x:row>
    <x:row r="235">
      <x:c r="A235" s="20" t="str">
        <x:v>R0231</x:v>
      </x:c>
      <x:c r="B235" s="25" t="str">
        <x:v>Beyond the Artifact: Power as a Lens for Creativity Support Tools</x:v>
      </x:c>
      <x:c r="C235" s="25" t="n">
        <x:v>2023</x:v>
      </x:c>
      <x:c r="D235" s="25" t="str">
        <x:v>Jingyi Li; Eric Rawn; Jacob Ritchie; Jasper Tran O'Leary; Sean Follmer</x:v>
      </x:c>
      <x:c r="E235" s="25" t="str"/>
      <x:c r="F235" s="25" t="str">
        <x:v>10.1145/3586183.3606831</x:v>
      </x:c>
      <x:c r="G235" s="25" t="str">
        <x:v>https://doi.org/10.1145/3586183.3606831</x:v>
      </x:c>
      <x:c r="H235" s="25" t="str">
        <x:v>OpenAlex</x:v>
      </x:c>
      <x:c r="I235" s="25" t="str">
        <x:v>C3_mixed_initiative_cocreation</x:v>
      </x:c>
      <x:c r="J235" s="25" t="str">
        <x:v>Exclude</x:v>
      </x:c>
      <x:c r="K235" s="25" t="str">
        <x:v>Exclude: adjacent/redundant or insufficiently theory-generative for DC1</x:v>
      </x:c>
    </x:row>
    <x:row r="236">
      <x:c r="A236" s="20" t="str">
        <x:v>R0232</x:v>
      </x:c>
      <x:c r="B236" s="25" t="str">
        <x:v>Extended 3D annotations as a new mechanism to explicitly communicate geometric design intent and increase CAD model reusability</x:v>
      </x:c>
      <x:c r="C236" s="25" t="n">
        <x:v>2014</x:v>
      </x:c>
      <x:c r="D236" s="25" t="str">
        <x:v>Jorge D. Camba; Manuel Contero; Michael Johnson</x:v>
      </x:c>
      <x:c r="E236" s="25" t="str">
        <x:v>Computer-Aided Design</x:v>
      </x:c>
      <x:c r="F236" s="25" t="str">
        <x:v>10.1016/j.cad.2014.07.001</x:v>
      </x:c>
      <x:c r="G236" s="25" t="str">
        <x:v>https://doi.org/10.1016/j.cad.2014.07.001</x:v>
      </x:c>
      <x:c r="H236" s="25" t="str">
        <x:v>OpenAlex</x:v>
      </x:c>
      <x:c r="I236" s="25" t="str">
        <x:v>C8_AI_3D_authoring</x:v>
      </x:c>
      <x:c r="J236" s="25" t="str">
        <x:v>Include</x:v>
      </x:c>
      <x:c r="K236" s="25" t="str">
        <x:v>Included in focused synthesis</x:v>
      </x:c>
    </x:row>
    <x:row r="237">
      <x:c r="A237" s="20" t="str">
        <x:v>R0233</x:v>
      </x:c>
      <x:c r="B237" s="25" t="str">
        <x:v>From Trust in Automation to Decision Neuroscience: Applying Cognitive Neuroscience Methods to Understand and Improve Interaction Decisions Involved in Human Automation Interaction</x:v>
      </x:c>
      <x:c r="C237" s="25" t="n">
        <x:v>2016</x:v>
      </x:c>
      <x:c r="D237" s="25" t="str">
        <x:v>Kim Drnec; Amar R. Marathe; Jamie R. Lukos; J. Stanley Metcalfe</x:v>
      </x:c>
      <x:c r="E237" s="25" t="str">
        <x:v>Frontiers in Human Neuroscience</x:v>
      </x:c>
      <x:c r="F237" s="25" t="str">
        <x:v>10.3389/fnhum.2016.00290</x:v>
      </x:c>
      <x:c r="G237" s="25" t="str">
        <x:v>https://doi.org/10.3389/fnhum.2016.00290</x:v>
      </x:c>
      <x:c r="H237" s="25" t="str">
        <x:v>OpenAlex</x:v>
      </x:c>
      <x:c r="I237" s="25" t="str">
        <x:v>C4_uncertainty_shared_autonomy</x:v>
      </x:c>
      <x:c r="J237" s="25" t="str">
        <x:v>Exclude</x:v>
      </x:c>
      <x:c r="K237" s="25" t="str">
        <x:v>Exclude: topic mismatch</x:v>
      </x:c>
    </x:row>
    <x:row r="238">
      <x:c r="A238" s="20" t="str">
        <x:v>R0234</x:v>
      </x:c>
      <x:c r="B238" s="25" t="str">
        <x:v>Dimensions of Adjustable Autonomy and Mixed-Initiative Interaction</x:v>
      </x:c>
      <x:c r="C238" s="25" t="n">
        <x:v>2004</x:v>
      </x:c>
      <x:c r="D238" s="25" t="str">
        <x:v>Jeffrey M. Bradshaw; Paul J. Feltovich; Hyuckchul Jung; Shriniwas Kulkarni; William Taysom; Andrzej Uszok</x:v>
      </x:c>
      <x:c r="E238" s="25" t="str">
        <x:v>Lecture Notes in Computer Science</x:v>
      </x:c>
      <x:c r="F238" s="25" t="str">
        <x:v>10.1007/978-3-540-25928-2_3</x:v>
      </x:c>
      <x:c r="G238" s="25" t="str">
        <x:v>https://doi.org/10.1007/978-3-540-25928-2_3</x:v>
      </x:c>
      <x:c r="H238" s="25" t="str">
        <x:v>Crossref</x:v>
      </x:c>
      <x:c r="I238" s="25" t="str">
        <x:v>C9_human_agent_handoff</x:v>
      </x:c>
      <x:c r="J238" s="25" t="str">
        <x:v>Include</x:v>
      </x:c>
      <x:c r="K238" s="25" t="str">
        <x:v>Included in focused synthesis</x:v>
      </x:c>
    </x:row>
    <x:row r="239">
      <x:c r="A239" s="20" t="str">
        <x:v>R0235</x:v>
      </x:c>
      <x:c r="B239" s="25" t="str">
        <x:v>Revolutionizing Visuals: The Role of Generative AI in Modern Image Generation</x:v>
      </x:c>
      <x:c r="C239" s="25" t="n">
        <x:v>2024</x:v>
      </x:c>
      <x:c r="D239" s="25" t="str">
        <x:v>Gaurang Bansal; Aditya Nawal; Vinay Chamola; Norbert Herencsár</x:v>
      </x:c>
      <x:c r="E239" s="25" t="str">
        <x:v>ACM Transactions on Multimedia Computing Communications and Applications</x:v>
      </x:c>
      <x:c r="F239" s="25" t="str">
        <x:v>10.1145/3689641</x:v>
      </x:c>
      <x:c r="G239" s="25" t="str">
        <x:v>https://doi.org/10.1145/3689641</x:v>
      </x:c>
      <x:c r="H239" s="25" t="str">
        <x:v>OpenAlex</x:v>
      </x:c>
      <x:c r="I239" s="25" t="str">
        <x:v>C8_AI_3D_authoring</x:v>
      </x:c>
      <x:c r="J239" s="25" t="str">
        <x:v>Exclude</x:v>
      </x:c>
      <x:c r="K239" s="25" t="str">
        <x:v>Exclude: adjacent/redundant or insufficiently theory-generative for DC1</x:v>
      </x:c>
    </x:row>
    <x:row r="240">
      <x:c r="A240" s="20" t="str">
        <x:v>R0236</x:v>
      </x:c>
      <x:c r="B240" s="25" t="str">
        <x:v>“Dave...I can assure you ...that it’s going to be all right ...” A Definition, Case for, and Survey of Algorithmic Assurances in Human-Autonomy Trust Relationships</x:v>
      </x:c>
      <x:c r="C240" s="25" t="n">
        <x:v>2019</x:v>
      </x:c>
      <x:c r="D240" s="25" t="str">
        <x:v>Brett W. Israelsen; Nisar R. Ahmed</x:v>
      </x:c>
      <x:c r="E240" s="25" t="str">
        <x:v>ACM Computing Surveys</x:v>
      </x:c>
      <x:c r="F240" s="25" t="str">
        <x:v>10.1145/3267338</x:v>
      </x:c>
      <x:c r="G240" s="25" t="str">
        <x:v>https://doi.org/10.1145/3267338</x:v>
      </x:c>
      <x:c r="H240" s="25" t="str">
        <x:v>OpenAlex</x:v>
      </x:c>
      <x:c r="I240" s="25" t="str">
        <x:v>C4_uncertainty_shared_autonomy</x:v>
      </x:c>
      <x:c r="J240" s="25" t="str">
        <x:v>Exclude</x:v>
      </x:c>
      <x:c r="K240" s="25" t="str">
        <x:v>Exclude: adjacent/redundant or insufficiently theory-generative for DC1</x:v>
      </x:c>
    </x:row>
    <x:row r="241">
      <x:c r="A241" s="20" t="str">
        <x:v>R0237</x:v>
      </x:c>
      <x:c r="B241" s="25" t="str">
        <x:v>IMoS: Intent‐Driven Full‐Body Motion Synthesis for Human‐Object Interactions</x:v>
      </x:c>
      <x:c r="C241" s="25" t="n">
        <x:v>2023</x:v>
      </x:c>
      <x:c r="D241" s="25" t="str">
        <x:v>Anindita Ghosh; Rishabh Dabral; Vladislav Golyanik; Christian Theobalt; Philipp Slusallek</x:v>
      </x:c>
      <x:c r="E241" s="25" t="str">
        <x:v>Computer Graphics Forum</x:v>
      </x:c>
      <x:c r="F241" s="25" t="str">
        <x:v>10.1111/cgf.14739</x:v>
      </x:c>
      <x:c r="G241" s="25" t="str">
        <x:v>https://doi.org/10.1111/cgf.14739</x:v>
      </x:c>
      <x:c r="H241" s="25" t="str">
        <x:v>OpenAlex</x:v>
      </x:c>
      <x:c r="I241" s="25" t="str">
        <x:v>C2_interaction_signals</x:v>
      </x:c>
      <x:c r="J241" s="25" t="str">
        <x:v>Exclude</x:v>
      </x:c>
      <x:c r="K241" s="25" t="str">
        <x:v>Exclude: adjacent/redundant or insufficiently theory-generative for DC1</x:v>
      </x:c>
    </x:row>
    <x:row r="242">
      <x:c r="A242" s="20" t="str">
        <x:v>R0238</x:v>
      </x:c>
      <x:c r="B242" s="25" t="str">
        <x:v>Machine Psychology</x:v>
      </x:c>
      <x:c r="C242" s="25" t="n">
        <x:v>2023</x:v>
      </x:c>
      <x:c r="D242" s="25" t="str">
        <x:v>Thilo Hagendorff; Dasgupta, Ishita; Binz, Marcel; Chan, Stephanie C. Y.; Lampinen, Andrew; Wang, Jane X.; Akata, Zeynep; Schulz, Eric</x:v>
      </x:c>
      <x:c r="E242" s="25" t="str">
        <x:v>arXiv (Cornell University)</x:v>
      </x:c>
      <x:c r="F242" s="25" t="str">
        <x:v>10.48550/arxiv.2303.13988</x:v>
      </x:c>
      <x:c r="G242" s="25" t="str">
        <x:v>http://arxiv.org/abs/2303.13988</x:v>
      </x:c>
      <x:c r="H242" s="25" t="str">
        <x:v>OpenAlex</x:v>
      </x:c>
      <x:c r="I242" s="25" t="str">
        <x:v>C5_agent_memory</x:v>
      </x:c>
      <x:c r="J242" s="25" t="str">
        <x:v>Exclude</x:v>
      </x:c>
      <x:c r="K242" s="25" t="str">
        <x:v>Exclude: adjacent/redundant or insufficiently theory-generative for DC1</x:v>
      </x:c>
    </x:row>
    <x:row r="243">
      <x:c r="A243" s="20" t="str">
        <x:v>R0239</x:v>
      </x:c>
      <x:c r="B243" s="25" t="str">
        <x:v>Cracking the code: Co-coding with AI in creative programming education</x:v>
      </x:c>
      <x:c r="C243" s="25" t="n">
        <x:v>2022</x:v>
      </x:c>
      <x:c r="D243" s="25" t="str">
        <x:v>Martin Jönsson; Jakob Tholander</x:v>
      </x:c>
      <x:c r="E243" s="25" t="str">
        <x:v>Creativity and Cognition</x:v>
      </x:c>
      <x:c r="F243" s="25" t="str">
        <x:v>10.1145/3527927.3532801</x:v>
      </x:c>
      <x:c r="G243" s="25" t="str">
        <x:v>https://doi.org/10.1145/3527927.3532801</x:v>
      </x:c>
      <x:c r="H243" s="25" t="str">
        <x:v>OpenAlex</x:v>
      </x:c>
      <x:c r="I243" s="25" t="str">
        <x:v>C7_creative_agency</x:v>
      </x:c>
      <x:c r="J243" s="25" t="str">
        <x:v>Exclude</x:v>
      </x:c>
      <x:c r="K243" s="25" t="str">
        <x:v>Exclude: adjacent/redundant or insufficiently theory-generative for DC1</x:v>
      </x:c>
    </x:row>
    <x:row r="244">
      <x:c r="A244" s="20" t="str">
        <x:v>R0240</x:v>
      </x:c>
      <x:c r="B244" s="25" t="str">
        <x:v>On the Efficiency of a VR Hand Gesture-Based Interface for 3D Object Manipulations in Conceptual Design</x:v>
      </x:c>
      <x:c r="C244" s="25" t="n">
        <x:v>2017</x:v>
      </x:c>
      <x:c r="D244" s="25" t="str">
        <x:v>Remi Alkemade; Fons J. Verbeek; Stephan Lukosch</x:v>
      </x:c>
      <x:c r="E244" s="25" t="str">
        <x:v>International Journal of Human-Computer Interaction</x:v>
      </x:c>
      <x:c r="F244" s="25" t="str">
        <x:v>10.1080/10447318.2017.1296074</x:v>
      </x:c>
      <x:c r="G244" s="25" t="str">
        <x:v>https://doi.org/10.1080/10447318.2017.1296074</x:v>
      </x:c>
      <x:c r="H244" s="25" t="str">
        <x:v>OpenAlex</x:v>
      </x:c>
      <x:c r="I244" s="25" t="str">
        <x:v>C1_3D_mental_models</x:v>
      </x:c>
      <x:c r="J244" s="25" t="str">
        <x:v>Exclude</x:v>
      </x:c>
      <x:c r="K244" s="25" t="str">
        <x:v>Exclude: adjacent/redundant or insufficiently theory-generative for DC1</x:v>
      </x:c>
    </x:row>
    <x:row r="245">
      <x:c r="A245" s="20" t="str">
        <x:v>R0241</x:v>
      </x:c>
      <x:c r="B245" s="25" t="str">
        <x:v>Interactive Intent Modeling for Exploratory Search</x:v>
      </x:c>
      <x:c r="C245" s="25" t="n">
        <x:v>2018</x:v>
      </x:c>
      <x:c r="D245" s="25" t="str">
        <x:v>Tuukka Ruotsalo; Jaakko Peltonen; Manuel J. A. Eugster; Dorota Głowacka; Patrik Floréen; Petri Myllymäki; Giulio Jacucci; Samuel Kaski</x:v>
      </x:c>
      <x:c r="E245" s="25" t="str">
        <x:v>ACM Transactions on Information Systems</x:v>
      </x:c>
      <x:c r="F245" s="25" t="str">
        <x:v>10.1145/3231593</x:v>
      </x:c>
      <x:c r="G245" s="25" t="str">
        <x:v>https://doi.org/10.1145/3231593</x:v>
      </x:c>
      <x:c r="H245" s="25" t="str">
        <x:v>OpenAlex</x:v>
      </x:c>
      <x:c r="I245" s="25" t="str">
        <x:v>C2_interaction_signals</x:v>
      </x:c>
      <x:c r="J245" s="25" t="str">
        <x:v>Exclude</x:v>
      </x:c>
      <x:c r="K245" s="25" t="str">
        <x:v>Exclude: adjacent/redundant or insufficiently theory-generative for DC1</x:v>
      </x:c>
    </x:row>
    <x:row r="246">
      <x:c r="A246" s="20" t="str">
        <x:v>R0242</x:v>
      </x:c>
      <x:c r="B246" s="25" t="str">
        <x:v>Action video game play and transfer of navigation and spatial cognition skills in adolescents who are blind</x:v>
      </x:c>
      <x:c r="C246" s="25" t="n">
        <x:v>2014</x:v>
      </x:c>
      <x:c r="D246" s="25" t="str">
        <x:v>Erin C. Connors; Elizabeth R. Chrastil; Jaime SÃ¡nchez; Lotfi B. Merabet</x:v>
      </x:c>
      <x:c r="E246" s="25" t="str">
        <x:v>Frontiers in Human Neuroscience</x:v>
      </x:c>
      <x:c r="F246" s="25" t="str">
        <x:v>10.3389/fnhum.2014.00133</x:v>
      </x:c>
      <x:c r="G246" s="25" t="str">
        <x:v>https://doi.org/10.3389/fnhum.2014.00133</x:v>
      </x:c>
      <x:c r="H246" s="25" t="str">
        <x:v>OpenAlex</x:v>
      </x:c>
      <x:c r="I246" s="25" t="str">
        <x:v>C1_3D_mental_models</x:v>
      </x:c>
      <x:c r="J246" s="25" t="str">
        <x:v>Exclude</x:v>
      </x:c>
      <x:c r="K246" s="25" t="str">
        <x:v>Exclude: adjacent/redundant or insufficiently theory-generative for DC1</x:v>
      </x:c>
    </x:row>
    <x:row r="247">
      <x:c r="A247" s="20" t="str">
        <x:v>R0243</x:v>
      </x:c>
      <x:c r="B247" s="25" t="str">
        <x:v>Generative AI for Self-Adaptive Systems: State of the Art and Research Roadmap</x:v>
      </x:c>
      <x:c r="C247" s="25" t="n">
        <x:v>2024</x:v>
      </x:c>
      <x:c r="D247" s="25" t="str">
        <x:v>Jialong Li; Mingyue Zhang; Nianyu Li; Danny Weyns; Zhi Jin; Kenji Tei</x:v>
      </x:c>
      <x:c r="E247" s="25" t="str">
        <x:v>ACM Transactions on Autonomous and Adaptive Systems</x:v>
      </x:c>
      <x:c r="F247" s="25" t="str">
        <x:v>10.1145/3686803</x:v>
      </x:c>
      <x:c r="G247" s="25" t="str">
        <x:v>https://doi.org/10.1145/3686803</x:v>
      </x:c>
      <x:c r="H247" s="25" t="str">
        <x:v>OpenAlex</x:v>
      </x:c>
      <x:c r="I247" s="25" t="str">
        <x:v>C8_AI_3D_authoring</x:v>
      </x:c>
      <x:c r="J247" s="25" t="str">
        <x:v>Exclude</x:v>
      </x:c>
      <x:c r="K247" s="25" t="str">
        <x:v>Exclude: adjacent/redundant or insufficiently theory-generative for DC1</x:v>
      </x:c>
    </x:row>
    <x:row r="248">
      <x:c r="A248" s="20" t="str">
        <x:v>R0244</x:v>
      </x:c>
      <x:c r="B248" s="25" t="str">
        <x:v>Research status of elderly-care robots and safe human-robot interaction methods</x:v>
      </x:c>
      <x:c r="C248" s="25" t="n">
        <x:v>2023</x:v>
      </x:c>
      <x:c r="D248" s="25" t="str">
        <x:v>Donghui Zhao; Sun Xingwang; Bo Shan; Zihao Yang; Junyou Yang; Houde Liu; Yinlai Jiang; Yokoi Hiroshi</x:v>
      </x:c>
      <x:c r="E248" s="25" t="str">
        <x:v>Frontiers in Neuroscience</x:v>
      </x:c>
      <x:c r="F248" s="25" t="str">
        <x:v>10.3389/fnins.2023.1291682</x:v>
      </x:c>
      <x:c r="G248" s="25" t="str">
        <x:v>https://doi.org/10.3389/fnins.2023.1291682</x:v>
      </x:c>
      <x:c r="H248" s="25" t="str">
        <x:v>OpenAlex</x:v>
      </x:c>
      <x:c r="I248" s="25" t="str">
        <x:v>C4_uncertainty_shared_autonomy</x:v>
      </x:c>
      <x:c r="J248" s="25" t="str">
        <x:v>Exclude</x:v>
      </x:c>
      <x:c r="K248" s="25" t="str">
        <x:v>Exclude: topic mismatch</x:v>
      </x:c>
    </x:row>
    <x:row r="249">
      <x:c r="A249" s="20" t="str">
        <x:v>R0245</x:v>
      </x:c>
      <x:c r="B249" s="25" t="str">
        <x:v>When is a Tool a Tool? User Perceptions of System Agency in Human–AI Co-Creative Drawing</x:v>
      </x:c>
      <x:c r="C249" s="25" t="n">
        <x:v>2023</x:v>
      </x:c>
      <x:c r="D249" s="25" t="str">
        <x:v>Tomas Lawton; Kazjon Grace; Francisco Ibarrola</x:v>
      </x:c>
      <x:c r="E249" s="25" t="str"/>
      <x:c r="F249" s="25" t="str">
        <x:v>10.1145/3563657.3595977</x:v>
      </x:c>
      <x:c r="G249" s="25" t="str">
        <x:v>https://doi.org/10.1145/3563657.3595977</x:v>
      </x:c>
      <x:c r="H249" s="25" t="str">
        <x:v>OpenAlex</x:v>
      </x:c>
      <x:c r="I249" s="25" t="str">
        <x:v>C3_mixed_initiative_cocreation; C7_creative_agency</x:v>
      </x:c>
      <x:c r="J249" s="25" t="str">
        <x:v>Exclude</x:v>
      </x:c>
      <x:c r="K249" s="25" t="str">
        <x:v>Exclude: adjacent/redundant or insufficiently theory-generative for DC1</x:v>
      </x:c>
    </x:row>
    <x:row r="250">
      <x:c r="A250" s="20" t="str">
        <x:v>R0246</x:v>
      </x:c>
      <x:c r="B250" s="25" t="str">
        <x:v>Intent Communication between Autonomous Vehicles and Pedestrians</x:v>
      </x:c>
      <x:c r="C250" s="25" t="n">
        <x:v>2017</x:v>
      </x:c>
      <x:c r="D250" s="25" t="str">
        <x:v>Milecia Matthews; Girish Chowdhary; Emily Kieson</x:v>
      </x:c>
      <x:c r="E250" s="25" t="str">
        <x:v>arXiv (Cornell University)</x:v>
      </x:c>
      <x:c r="F250" s="25" t="str">
        <x:v>10.48550/arxiv.1708.07123</x:v>
      </x:c>
      <x:c r="G250" s="25" t="str">
        <x:v>http://arxiv.org/abs/1708.07123</x:v>
      </x:c>
      <x:c r="H250" s="25" t="str">
        <x:v>OpenAlex</x:v>
      </x:c>
      <x:c r="I250" s="25" t="str">
        <x:v>C2_interaction_signals; C4_uncertainty_shared_autonomy</x:v>
      </x:c>
      <x:c r="J250" s="25" t="str">
        <x:v>Exclude</x:v>
      </x:c>
      <x:c r="K250" s="25" t="str">
        <x:v>Exclude: adjacent/redundant or insufficiently theory-generative for DC1</x:v>
      </x:c>
    </x:row>
    <x:row r="251">
      <x:c r="A251" s="20" t="str">
        <x:v>R0247</x:v>
      </x:c>
      <x:c r="B251" s="25" t="str">
        <x:v>Recent Trends, Technical Concepts and Components of Computer-Assisted Orthopedic Surgery Systems: A Comprehensive Review</x:v>
      </x:c>
      <x:c r="C251" s="25" t="n">
        <x:v>2019</x:v>
      </x:c>
      <x:c r="D251" s="25" t="str">
        <x:v>Jan Kubíček; Filip Tomanec; Martin Černý; Dominik Vilímek; Martina Kalová; David Oczka</x:v>
      </x:c>
      <x:c r="E251" s="25" t="str">
        <x:v>Sensors</x:v>
      </x:c>
      <x:c r="F251" s="25" t="str">
        <x:v>10.3390/s19235199</x:v>
      </x:c>
      <x:c r="G251" s="25" t="str">
        <x:v>https://doi.org/10.3390/s19235199</x:v>
      </x:c>
      <x:c r="H251" s="25" t="str">
        <x:v>OpenAlex</x:v>
      </x:c>
      <x:c r="I251" s="25" t="str">
        <x:v>C8_AI_3D_authoring</x:v>
      </x:c>
      <x:c r="J251" s="25" t="str">
        <x:v>Exclude</x:v>
      </x:c>
      <x:c r="K251" s="25" t="str">
        <x:v>Exclude: adjacent/redundant or insufficiently theory-generative for DC1</x:v>
      </x:c>
    </x:row>
    <x:row r="252">
      <x:c r="A252" s="20" t="str">
        <x:v>R0248</x:v>
      </x:c>
      <x:c r="B252" s="25" t="str">
        <x:v>Distinguishing the Neural Correlates of Episodic Memory Encoding and Semantic Memory Retrieval</x:v>
      </x:c>
      <x:c r="C252" s="25" t="n">
        <x:v>2007</x:v>
      </x:c>
      <x:c r="D252" s="25" t="str">
        <x:v>Steven E. Prince; Takashi Tsukiura; Roberto Cabeza</x:v>
      </x:c>
      <x:c r="E252" s="25" t="str">
        <x:v>Psychological Science</x:v>
      </x:c>
      <x:c r="F252" s="25" t="str">
        <x:v>10.1111/j.1467-9280.2007.01864.x</x:v>
      </x:c>
      <x:c r="G252" s="25" t="str">
        <x:v>https://doi.org/10.1111/j.1467-9280.2007.01864.x</x:v>
      </x:c>
      <x:c r="H252" s="25" t="str">
        <x:v>Crossref</x:v>
      </x:c>
      <x:c r="I252" s="25" t="str">
        <x:v>C5_agent_memory</x:v>
      </x:c>
      <x:c r="J252" s="25" t="str">
        <x:v>Exclude</x:v>
      </x:c>
      <x:c r="K252" s="25" t="str">
        <x:v>Exclude: adjacent/redundant or insufficiently theory-generative for DC1</x:v>
      </x:c>
    </x:row>
    <x:row r="253">
      <x:c r="A253" s="20" t="str">
        <x:v>R0249</x:v>
      </x:c>
      <x:c r="B253" s="25" t="str">
        <x:v>3D Face Reconstruction in Deep Learning Era: A Survey</x:v>
      </x:c>
      <x:c r="C253" s="25" t="n">
        <x:v>2022</x:v>
      </x:c>
      <x:c r="D253" s="25" t="str">
        <x:v>Sahil Sharma; Vijay Kumar</x:v>
      </x:c>
      <x:c r="E253" s="25" t="str">
        <x:v>Archives of Computational Methods in Engineering</x:v>
      </x:c>
      <x:c r="F253" s="25" t="str">
        <x:v>10.1007/s11831-021-09705-4</x:v>
      </x:c>
      <x:c r="G253" s="25" t="str">
        <x:v>https://doi.org/10.1007/s11831-021-09705-4</x:v>
      </x:c>
      <x:c r="H253" s="25" t="str">
        <x:v>OpenAlex</x:v>
      </x:c>
      <x:c r="I253" s="25" t="str">
        <x:v>C8_AI_3D_authoring</x:v>
      </x:c>
      <x:c r="J253" s="25" t="str">
        <x:v>Exclude</x:v>
      </x:c>
      <x:c r="K253" s="25" t="str">
        <x:v>Exclude: adjacent/redundant or insufficiently theory-generative for DC1</x:v>
      </x:c>
    </x:row>
    <x:row r="254">
      <x:c r="A254" s="20" t="str">
        <x:v>R0250</x:v>
      </x:c>
      <x:c r="B254" s="25" t="str">
        <x:v>The future of bone regeneration: integrating AI into tissue engineering</x:v>
      </x:c>
      <x:c r="C254" s="25" t="n">
        <x:v>2021</x:v>
      </x:c>
      <x:c r="D254" s="25" t="str">
        <x:v>Benita MacKay; Karen M. Marshall; James A. Grant‐Jacob; Janos M. Kanczler; R.W. Eason; Richard O. C. Oreffo; Ben Mills</x:v>
      </x:c>
      <x:c r="E254" s="25" t="str">
        <x:v>Biomedical Physics &amp; Engineering Express</x:v>
      </x:c>
      <x:c r="F254" s="25" t="str">
        <x:v>10.1088/2057-1976/ac154f</x:v>
      </x:c>
      <x:c r="G254" s="25" t="str">
        <x:v>https://doi.org/10.1088/2057-1976/ac154f</x:v>
      </x:c>
      <x:c r="H254" s="25" t="str">
        <x:v>OpenAlex</x:v>
      </x:c>
      <x:c r="I254" s="25" t="str">
        <x:v>C8_AI_3D_authoring</x:v>
      </x:c>
      <x:c r="J254" s="25" t="str">
        <x:v>Exclude</x:v>
      </x:c>
      <x:c r="K254" s="25" t="str">
        <x:v>Exclude: topic mismatch</x:v>
      </x:c>
    </x:row>
    <x:row r="255">
      <x:c r="A255" s="20" t="str">
        <x:v>R0251</x:v>
      </x:c>
      <x:c r="B255" s="25" t="str">
        <x:v>Therapeutic Alliance as Active Inference: The Role of Therapeutic Touch and Synchrony</x:v>
      </x:c>
      <x:c r="C255" s="25" t="n">
        <x:v>2022</x:v>
      </x:c>
      <x:c r="D255" s="25" t="str">
        <x:v>Zoe McParlin; Francesco Cerritelli; Karl Friston; Jorge E. Esteves</x:v>
      </x:c>
      <x:c r="E255" s="25" t="str">
        <x:v>Frontiers in Psychology</x:v>
      </x:c>
      <x:c r="F255" s="25" t="str">
        <x:v>10.3389/fpsyg.2022.783694</x:v>
      </x:c>
      <x:c r="G255" s="25" t="str">
        <x:v>https://doi.org/10.3389/fpsyg.2022.783694</x:v>
      </x:c>
      <x:c r="H255" s="25" t="str">
        <x:v>OpenAlex</x:v>
      </x:c>
      <x:c r="I255" s="25" t="str">
        <x:v>C4_uncertainty_shared_autonomy</x:v>
      </x:c>
      <x:c r="J255" s="25" t="str">
        <x:v>Exclude</x:v>
      </x:c>
      <x:c r="K255" s="25" t="str">
        <x:v>Exclude: adjacent/redundant or insufficiently theory-generative for DC1</x:v>
      </x:c>
    </x:row>
    <x:row r="256">
      <x:c r="A256" s="20" t="str">
        <x:v>R0252</x:v>
      </x:c>
      <x:c r="B256" s="25" t="str">
        <x:v>Cognitive Architectures for Language Agents</x:v>
      </x:c>
      <x:c r="C256" s="25" t="n">
        <x:v>2023</x:v>
      </x:c>
      <x:c r="D256" s="25" t="str">
        <x:v>Theodore R. Sumers; Shunyu Yao; Karthik Narasimhan; Thomas L. Griffiths</x:v>
      </x:c>
      <x:c r="E256" s="25" t="str">
        <x:v>arXiv (Cornell University)</x:v>
      </x:c>
      <x:c r="F256" s="25" t="str">
        <x:v>10.48550/arxiv.2309.02427</x:v>
      </x:c>
      <x:c r="G256" s="25" t="str">
        <x:v>http://arxiv.org/abs/2309.02427</x:v>
      </x:c>
      <x:c r="H256" s="25" t="str">
        <x:v>OpenAlex</x:v>
      </x:c>
      <x:c r="I256" s="25" t="str">
        <x:v>C5_agent_memory; C6_frontend_GUI_intent</x:v>
      </x:c>
      <x:c r="J256" s="25" t="str">
        <x:v>Include</x:v>
      </x:c>
      <x:c r="K256" s="25" t="str">
        <x:v>Included in focused synthesis</x:v>
      </x:c>
    </x:row>
    <x:row r="257">
      <x:c r="A257" s="20" t="str">
        <x:v>R0253</x:v>
      </x:c>
      <x:c r="B257" s="25" t="str">
        <x:v>Teachers' perceptions, attitudes, and acceptance of artificial intelligence (AI) educational learning tools: An exploratory study on AI literacy for young students</x:v>
      </x:c>
      <x:c r="C257" s="25" t="n">
        <x:v>2024</x:v>
      </x:c>
      <x:c r="D257" s="25" t="str">
        <x:v>Iris Heung Yue Yim; Rupert Wegerif</x:v>
      </x:c>
      <x:c r="E257" s="25" t="str">
        <x:v>Future in Educational Research</x:v>
      </x:c>
      <x:c r="F257" s="25" t="str">
        <x:v>10.1002/fer3.65</x:v>
      </x:c>
      <x:c r="G257" s="25" t="str">
        <x:v>https://doi.org/10.1002/fer3.65</x:v>
      </x:c>
      <x:c r="H257" s="25" t="str">
        <x:v>OpenAlex</x:v>
      </x:c>
      <x:c r="I257" s="25" t="str">
        <x:v>C3_mixed_initiative_cocreation</x:v>
      </x:c>
      <x:c r="J257" s="25" t="str">
        <x:v>Exclude</x:v>
      </x:c>
      <x:c r="K257" s="25" t="str">
        <x:v>Exclude: adjacent/redundant or insufficiently theory-generative for DC1</x:v>
      </x:c>
    </x:row>
    <x:row r="258">
      <x:c r="A258" s="20" t="str">
        <x:v>R0254</x:v>
      </x:c>
      <x:c r="B258" s="25" t="str">
        <x:v>Autonomy in Rehabilitation Robotics: An Intersection</x:v>
      </x:c>
      <x:c r="C258" s="25" t="n">
        <x:v>2018</x:v>
      </x:c>
      <x:c r="D258" s="25" t="str">
        <x:v>Brenna Argall</x:v>
      </x:c>
      <x:c r="E258" s="25" t="str">
        <x:v>Annual Review of Control Robotics and Autonomous Systems</x:v>
      </x:c>
      <x:c r="F258" s="25" t="str">
        <x:v>10.1146/annurev-control-061417-041727</x:v>
      </x:c>
      <x:c r="G258" s="25" t="str">
        <x:v>https://doi.org/10.1146/annurev-control-061417-041727</x:v>
      </x:c>
      <x:c r="H258" s="25" t="str">
        <x:v>OpenAlex</x:v>
      </x:c>
      <x:c r="I258" s="25" t="str">
        <x:v>C4_uncertainty_shared_autonomy</x:v>
      </x:c>
      <x:c r="J258" s="25" t="str">
        <x:v>Exclude</x:v>
      </x:c>
      <x:c r="K258" s="25" t="str">
        <x:v>Exclude: adjacent/redundant or insufficiently theory-generative for DC1</x:v>
      </x:c>
    </x:row>
    <x:row r="259">
      <x:c r="A259" s="20" t="str">
        <x:v>R0255</x:v>
      </x:c>
      <x:c r="B259" s="25" t="str">
        <x:v>Generative AI and process systems engineering: The next frontier</x:v>
      </x:c>
      <x:c r="C259" s="25" t="n">
        <x:v>2024</x:v>
      </x:c>
      <x:c r="D259" s="25" t="str">
        <x:v>Benjamin Decardi‐Nelson; Abdulelah S. Alshehri; Akshay Ajagekar; Fengqi You</x:v>
      </x:c>
      <x:c r="E259" s="25" t="str">
        <x:v>Computers &amp; Chemical Engineering</x:v>
      </x:c>
      <x:c r="F259" s="25" t="str">
        <x:v>10.1016/j.compchemeng.2024.108723</x:v>
      </x:c>
      <x:c r="G259" s="25" t="str">
        <x:v>https://doi.org/10.1016/j.compchemeng.2024.108723</x:v>
      </x:c>
      <x:c r="H259" s="25" t="str">
        <x:v>OpenAlex</x:v>
      </x:c>
      <x:c r="I259" s="25" t="str">
        <x:v>C8_AI_3D_authoring</x:v>
      </x:c>
      <x:c r="J259" s="25" t="str">
        <x:v>Exclude</x:v>
      </x:c>
      <x:c r="K259" s="25" t="str">
        <x:v>Exclude: topic mismatch</x:v>
      </x:c>
    </x:row>
    <x:row r="260">
      <x:c r="A260" s="20" t="str">
        <x:v>R0256</x:v>
      </x:c>
      <x:c r="B260" s="25" t="str">
        <x:v>Decisive constraints as a creative resource in interaction design</x:v>
      </x:c>
      <x:c r="C260" s="25" t="n">
        <x:v>2013</x:v>
      </x:c>
      <x:c r="D260" s="25" t="str">
        <x:v>Michael Mose Biskjær; Kim Halskov</x:v>
      </x:c>
      <x:c r="E260" s="25" t="str">
        <x:v>Digital Creativity</x:v>
      </x:c>
      <x:c r="F260" s="25" t="str">
        <x:v>10.1080/14626268.2013.855239</x:v>
      </x:c>
      <x:c r="G260" s="25" t="str">
        <x:v>https://doi.org/10.1080/14626268.2013.855239</x:v>
      </x:c>
      <x:c r="H260" s="25" t="str">
        <x:v>OpenAlex</x:v>
      </x:c>
      <x:c r="I260" s="25" t="str">
        <x:v>C6_frontend_GUI_intent</x:v>
      </x:c>
      <x:c r="J260" s="25" t="str">
        <x:v>Exclude</x:v>
      </x:c>
      <x:c r="K260" s="25" t="str">
        <x:v>Exclude: adjacent/redundant or insufficiently theory-generative for DC1</x:v>
      </x:c>
    </x:row>
    <x:row r="261">
      <x:c r="A261" s="20" t="str">
        <x:v>R0257</x:v>
      </x:c>
      <x:c r="B261" s="25" t="str">
        <x:v>LAVE: LLM-Powered Agent Assistance and Language Augmentation for Video Editing</x:v>
      </x:c>
      <x:c r="C261" s="25" t="n">
        <x:v>2024</x:v>
      </x:c>
      <x:c r="D261" s="25" t="str">
        <x:v>Bryan Wang; Yuliang Li; Zhaoyang Lv; Haijun Xia; Yan Xu; Raj S. Sodhi</x:v>
      </x:c>
      <x:c r="E261" s="25" t="str"/>
      <x:c r="F261" s="25" t="str">
        <x:v>10.1145/3640543.3645143</x:v>
      </x:c>
      <x:c r="G261" s="25" t="str">
        <x:v>https://doi.org/10.1145/3640543.3645143</x:v>
      </x:c>
      <x:c r="H261" s="25" t="str">
        <x:v>OpenAlex</x:v>
      </x:c>
      <x:c r="I261" s="25" t="str">
        <x:v>C8_AI_3D_authoring</x:v>
      </x:c>
      <x:c r="J261" s="25" t="str">
        <x:v>Exclude</x:v>
      </x:c>
      <x:c r="K261" s="25" t="str">
        <x:v>Exclude: adjacent/redundant or insufficiently theory-generative for DC1</x:v>
      </x:c>
    </x:row>
    <x:row r="262">
      <x:c r="A262" s="20" t="str">
        <x:v>R0258</x:v>
      </x:c>
      <x:c r="B262" s="25" t="str">
        <x:v>Comparing Virtual Reality and Desktop Interface for Reviewing 3D CAD Models</x:v>
      </x:c>
      <x:c r="C262" s="25" t="n">
        <x:v>2019</x:v>
      </x:c>
      <x:c r="D262" s="25" t="str">
        <x:v>Nikola Horvat; Stanko Škec; Tomislav Martinec; Fanika Lukačević; Marija Majda Perišić</x:v>
      </x:c>
      <x:c r="E262" s="25" t="str">
        <x:v>Proceedings of the ... International Conference on Engineering Design</x:v>
      </x:c>
      <x:c r="F262" s="25" t="str">
        <x:v>10.1017/dsi.2019.198</x:v>
      </x:c>
      <x:c r="G262" s="25" t="str">
        <x:v>https://doi.org/10.1017/dsi.2019.198</x:v>
      </x:c>
      <x:c r="H262" s="25" t="str">
        <x:v>OpenAlex</x:v>
      </x:c>
      <x:c r="I262" s="25" t="str">
        <x:v>C1_3D_mental_models</x:v>
      </x:c>
      <x:c r="J262" s="25" t="str">
        <x:v>Exclude</x:v>
      </x:c>
      <x:c r="K262" s="25" t="str">
        <x:v>Exclude: adjacent/redundant or insufficiently theory-generative for DC1</x:v>
      </x:c>
    </x:row>
    <x:row r="263">
      <x:c r="A263" s="20" t="str">
        <x:v>R0259</x:v>
      </x:c>
      <x:c r="B263" s="25" t="str">
        <x:v>Unleashing the Power of Edge-Cloud Generative AI in Mobile Networks: A Survey of AIGC Services</x:v>
      </x:c>
      <x:c r="C263" s="25" t="n">
        <x:v>2023</x:v>
      </x:c>
      <x:c r="D263" s="25" t="str">
        <x:v>Minrui Xu; Hongyang Du; Dusit Niyato; Jiawen Kang; Zehui Xiong; Shiwen Mao; Zhu Han; Abbas Jamalipour; Dong In Kim; Xuemin; Victor C. M. Leung; H. Vincent Poor</x:v>
      </x:c>
      <x:c r="E263" s="25" t="str">
        <x:v>arXiv (Cornell University)</x:v>
      </x:c>
      <x:c r="F263" s="25" t="str">
        <x:v>10.48550/arxiv.2303.16129</x:v>
      </x:c>
      <x:c r="G263" s="25" t="str">
        <x:v>http://arxiv.org/abs/2303.16129</x:v>
      </x:c>
      <x:c r="H263" s="25" t="str">
        <x:v>OpenAlex</x:v>
      </x:c>
      <x:c r="I263" s="25" t="str">
        <x:v>C8_AI_3D_authoring</x:v>
      </x:c>
      <x:c r="J263" s="25" t="str">
        <x:v>Exclude</x:v>
      </x:c>
      <x:c r="K263" s="25" t="str">
        <x:v>Exclude: adjacent/redundant or insufficiently theory-generative for DC1</x:v>
      </x:c>
    </x:row>
    <x:row r="264">
      <x:c r="A264" s="20" t="str">
        <x:v>R0260</x:v>
      </x:c>
      <x:c r="B264" s="25" t="str">
        <x:v>User – interface agent interaction: personalization issues</x:v>
      </x:c>
      <x:c r="C264" s="25" t="n">
        <x:v>2004</x:v>
      </x:c>
      <x:c r="D264" s="25" t="str">
        <x:v>Silvia Schiaffino; Analı́a Amandi</x:v>
      </x:c>
      <x:c r="E264" s="25" t="str">
        <x:v>International Journal of Human-Computer Studies</x:v>
      </x:c>
      <x:c r="F264" s="25" t="str">
        <x:v>10.1016/j.ijhcs.2003.09.003</x:v>
      </x:c>
      <x:c r="G264" s="25" t="str">
        <x:v>https://doi.org/10.1016/j.ijhcs.2003.09.003</x:v>
      </x:c>
      <x:c r="H264" s="25" t="str">
        <x:v>Crossref</x:v>
      </x:c>
      <x:c r="I264" s="25" t="str">
        <x:v>C6_frontend_GUI_intent</x:v>
      </x:c>
      <x:c r="J264" s="25" t="str">
        <x:v>Exclude</x:v>
      </x:c>
      <x:c r="K264" s="25" t="str">
        <x:v>Exclude: topic mismatch</x:v>
      </x:c>
    </x:row>
    <x:row r="265">
      <x:c r="A265" s="20" t="str">
        <x:v>R0261</x:v>
      </x:c>
      <x:c r="B265" s="25" t="str">
        <x:v>A review on interaction control for contact robots through intent detection</x:v>
      </x:c>
      <x:c r="C265" s="25" t="n">
        <x:v>2022</x:v>
      </x:c>
      <x:c r="D265" s="25" t="str">
        <x:v>Yanan Li; Aran Sena; Ziwei Wang; Xueyan Xing; Jan Babič; Edwin van Asseldonk; Etienne Burdet</x:v>
      </x:c>
      <x:c r="E265" s="25" t="str">
        <x:v>Progress in Biomedical Engineering</x:v>
      </x:c>
      <x:c r="F265" s="25" t="str">
        <x:v>10.1088/2516-1091/ac8193</x:v>
      </x:c>
      <x:c r="G265" s="25" t="str">
        <x:v>https://doi.org/10.1088/2516-1091/ac8193</x:v>
      </x:c>
      <x:c r="H265" s="25" t="str">
        <x:v>OpenAlex</x:v>
      </x:c>
      <x:c r="I265" s="25" t="str">
        <x:v>C4_uncertainty_shared_autonomy</x:v>
      </x:c>
      <x:c r="J265" s="25" t="str">
        <x:v>Exclude</x:v>
      </x:c>
      <x:c r="K265" s="25" t="str">
        <x:v>Exclude: adjacent/redundant or insufficiently theory-generative for DC1</x:v>
      </x:c>
    </x:row>
    <x:row r="266">
      <x:c r="A266" s="20" t="str">
        <x:v>R0262</x:v>
      </x:c>
      <x:c r="B266" s="25" t="str">
        <x:v>What is new with Artificial Intelligence? Human–agent interactions through the lens of social agency</x:v>
      </x:c>
      <x:c r="C266" s="25" t="n">
        <x:v>2022</x:v>
      </x:c>
      <x:c r="D266" s="25" t="str">
        <x:v>Marine Pagliari; Valérian Chambon; Bruno Berberian</x:v>
      </x:c>
      <x:c r="E266" s="25" t="str">
        <x:v>Frontiers in Psychology</x:v>
      </x:c>
      <x:c r="F266" s="25" t="str">
        <x:v>10.3389/fpsyg.2022.954444</x:v>
      </x:c>
      <x:c r="G266" s="25" t="str">
        <x:v>https://doi.org/10.3389/fpsyg.2022.954444</x:v>
      </x:c>
      <x:c r="H266" s="25" t="str">
        <x:v>OpenAlex</x:v>
      </x:c>
      <x:c r="I266" s="25" t="str">
        <x:v>C4_uncertainty_shared_autonomy</x:v>
      </x:c>
      <x:c r="J266" s="25" t="str">
        <x:v>Exclude</x:v>
      </x:c>
      <x:c r="K266" s="25" t="str">
        <x:v>Exclude: adjacent/redundant or insufficiently theory-generative for DC1</x:v>
      </x:c>
    </x:row>
    <x:row r="267">
      <x:c r="A267" s="20" t="str">
        <x:v>R0263</x:v>
      </x:c>
      <x:c r="B267" s="25" t="str">
        <x:v>A User-centered Framework for Human-AI Co-creativity</x:v>
      </x:c>
      <x:c r="C267" s="25" t="n">
        <x:v>2024</x:v>
      </x:c>
      <x:c r="D267" s="25" t="str">
        <x:v>Caterina Moruzzi; Solange Margarido</x:v>
      </x:c>
      <x:c r="E267" s="25" t="str"/>
      <x:c r="F267" s="25" t="str">
        <x:v>10.1145/3613905.3650929</x:v>
      </x:c>
      <x:c r="G267" s="25" t="str">
        <x:v>https://doi.org/10.1145/3613905.3650929</x:v>
      </x:c>
      <x:c r="H267" s="25" t="str">
        <x:v>OpenAlex</x:v>
      </x:c>
      <x:c r="I267" s="25" t="str">
        <x:v>C3_mixed_initiative_cocreation; C7_creative_agency</x:v>
      </x:c>
      <x:c r="J267" s="25" t="str">
        <x:v>Exclude</x:v>
      </x:c>
      <x:c r="K267" s="25" t="str">
        <x:v>Exclude: adjacent/redundant or insufficiently theory-generative for DC1</x:v>
      </x:c>
    </x:row>
    <x:row r="268">
      <x:c r="A268" s="20" t="str">
        <x:v>R0264</x:v>
      </x:c>
      <x:c r="B268" s="25" t="str">
        <x:v>Explicating "Implicit Interaction"</x:v>
      </x:c>
      <x:c r="C268" s="25" t="n">
        <x:v>2019</x:v>
      </x:c>
      <x:c r="D268" s="25" t="str">
        <x:v>Barış Serim; Giulio Jacucci</x:v>
      </x:c>
      <x:c r="E268" s="25" t="str"/>
      <x:c r="F268" s="25" t="str">
        <x:v>10.1145/3290605.3300647</x:v>
      </x:c>
      <x:c r="G268" s="25" t="str">
        <x:v>https://doi.org/10.1145/3290605.3300647</x:v>
      </x:c>
      <x:c r="H268" s="25" t="str">
        <x:v>OpenAlex</x:v>
      </x:c>
      <x:c r="I268" s="25" t="str">
        <x:v>C2_interaction_signals; C6_frontend_GUI_intent</x:v>
      </x:c>
      <x:c r="J268" s="25" t="str">
        <x:v>Exclude</x:v>
      </x:c>
      <x:c r="K268" s="25" t="str">
        <x:v>Exclude: adjacent/redundant or insufficiently theory-generative for DC1</x:v>
      </x:c>
    </x:row>
    <x:row r="269">
      <x:c r="A269" s="20" t="str">
        <x:v>R0265</x:v>
      </x:c>
      <x:c r="B269" s="25" t="str">
        <x:v>Drawing with Reframer: Emergence and Control in Co-Creative AI</x:v>
      </x:c>
      <x:c r="C269" s="25" t="n">
        <x:v>2023</x:v>
      </x:c>
      <x:c r="D269" s="25" t="str">
        <x:v>Tomas Lawton; Francisco Ibarrola; Dan Ventura; Kazjon Grace</x:v>
      </x:c>
      <x:c r="E269" s="25" t="str"/>
      <x:c r="F269" s="25" t="str">
        <x:v>10.1145/3581641.3584095</x:v>
      </x:c>
      <x:c r="G269" s="25" t="str">
        <x:v>https://doi.org/10.1145/3581641.3584095</x:v>
      </x:c>
      <x:c r="H269" s="25" t="str">
        <x:v>OpenAlex</x:v>
      </x:c>
      <x:c r="I269" s="25" t="str">
        <x:v>C3_mixed_initiative_cocreation</x:v>
      </x:c>
      <x:c r="J269" s="25" t="str">
        <x:v>Exclude</x:v>
      </x:c>
      <x:c r="K269" s="25" t="str">
        <x:v>Exclude: adjacent/redundant or insufficiently theory-generative for DC1</x:v>
      </x:c>
    </x:row>
    <x:row r="270">
      <x:c r="A270" s="20" t="str">
        <x:v>R0266</x:v>
      </x:c>
      <x:c r="B270" s="25" t="str">
        <x:v>Can computers foster human users' creativity? Theory and praxis of mixed-initiative co-creativity</x:v>
      </x:c>
      <x:c r="C270" s="25" t="n">
        <x:v>2016</x:v>
      </x:c>
      <x:c r="D270" s="25" t="str">
        <x:v>Antonios Liapis; Georgios N. Yannakakis; Constantine Alexopoulos; Phil Lopes</x:v>
      </x:c>
      <x:c r="E270" s="25" t="str">
        <x:v>OAR@UM (University of Malta)</x:v>
      </x:c>
      <x:c r="F270" s="25" t="str"/>
      <x:c r="G270" s="25" t="str">
        <x:v>https://www.um.edu.mt/library/oar//handle/123456789/29476</x:v>
      </x:c>
      <x:c r="H270" s="25" t="str">
        <x:v>OpenAlex</x:v>
      </x:c>
      <x:c r="I270" s="25" t="str">
        <x:v>C3_mixed_initiative_cocreation</x:v>
      </x:c>
      <x:c r="J270" s="25" t="str">
        <x:v>Exclude</x:v>
      </x:c>
      <x:c r="K270" s="25" t="str">
        <x:v>Exclude: adjacent/redundant or insufficiently theory-generative for DC1</x:v>
      </x:c>
    </x:row>
    <x:row r="271">
      <x:c r="A271" s="20" t="str">
        <x:v>R0267</x:v>
      </x:c>
      <x:c r="B271" s="25" t="str">
        <x:v>Mobile Augmented Reality in Electronic Commerce: Investigating User Perception and Purchase Intent Amongst Educated Young Adults</x:v>
      </x:c>
      <x:c r="C271" s="25" t="n">
        <x:v>2020</x:v>
      </x:c>
      <x:c r="D271" s="25" t="str">
        <x:v>Tegegne Tesfaye Haile; Min‐Cheol Kang</x:v>
      </x:c>
      <x:c r="E271" s="25" t="str">
        <x:v>Sustainability</x:v>
      </x:c>
      <x:c r="F271" s="25" t="str">
        <x:v>10.3390/su12219185</x:v>
      </x:c>
      <x:c r="G271" s="25" t="str">
        <x:v>https://doi.org/10.3390/su12219185</x:v>
      </x:c>
      <x:c r="H271" s="25" t="str">
        <x:v>OpenAlex</x:v>
      </x:c>
      <x:c r="I271" s="25" t="str">
        <x:v>C2_interaction_signals</x:v>
      </x:c>
      <x:c r="J271" s="25" t="str">
        <x:v>Exclude</x:v>
      </x:c>
      <x:c r="K271" s="25" t="str">
        <x:v>Exclude: domain-specific signal model without transferable HCI theory</x:v>
      </x:c>
    </x:row>
    <x:row r="272">
      <x:c r="A272" s="20" t="str">
        <x:v>R0268</x:v>
      </x:c>
      <x:c r="B272" s="25" t="str">
        <x:v>Toward General Design Principles for Generative AI Applications</x:v>
      </x:c>
      <x:c r="C272" s="25" t="n">
        <x:v>2023</x:v>
      </x:c>
      <x:c r="D272" s="25" t="str">
        <x:v>Justin D. Weisz; Michael Müller; Jessica He; Stephanie Houde</x:v>
      </x:c>
      <x:c r="E272" s="25" t="str">
        <x:v>arXiv (Cornell University)</x:v>
      </x:c>
      <x:c r="F272" s="25" t="str">
        <x:v>10.48550/arxiv.2301.05578</x:v>
      </x:c>
      <x:c r="G272" s="25" t="str">
        <x:v>http://arxiv.org/abs/2301.05578</x:v>
      </x:c>
      <x:c r="H272" s="25" t="str">
        <x:v>OpenAlex</x:v>
      </x:c>
      <x:c r="I272" s="25" t="str">
        <x:v>C8_AI_3D_authoring</x:v>
      </x:c>
      <x:c r="J272" s="25" t="str">
        <x:v>Exclude</x:v>
      </x:c>
      <x:c r="K272" s="25" t="str">
        <x:v>Exclude: topic mismatch</x:v>
      </x:c>
    </x:row>
    <x:row r="273">
      <x:c r="A273" s="20" t="str">
        <x:v>R0269</x:v>
      </x:c>
      <x:c r="B273" s="25" t="str">
        <x:v>Vulnerable Road Users and Connected Autonomous Vehicles Interaction: A Survey</x:v>
      </x:c>
      <x:c r="C273" s="25" t="n">
        <x:v>2022</x:v>
      </x:c>
      <x:c r="D273" s="25" t="str">
        <x:v>Angélica Reyes; Juan Antonio Guerrero Ibáñez</x:v>
      </x:c>
      <x:c r="E273" s="25" t="str">
        <x:v>Sensors</x:v>
      </x:c>
      <x:c r="F273" s="25" t="str">
        <x:v>10.3390/s22124614</x:v>
      </x:c>
      <x:c r="G273" s="25" t="str">
        <x:v>https://doi.org/10.3390/s22124614</x:v>
      </x:c>
      <x:c r="H273" s="25" t="str">
        <x:v>OpenAlex</x:v>
      </x:c>
      <x:c r="I273" s="25" t="str">
        <x:v>C2_interaction_signals</x:v>
      </x:c>
      <x:c r="J273" s="25" t="str">
        <x:v>Exclude</x:v>
      </x:c>
      <x:c r="K273" s="25" t="str">
        <x:v>Exclude: adjacent/redundant or insufficiently theory-generative for DC1</x:v>
      </x:c>
    </x:row>
    <x:row r="274">
      <x:c r="A274" s="20" t="str">
        <x:v>R0270</x:v>
      </x:c>
      <x:c r="B274" s="25" t="str">
        <x:v>Advances in diffusion models for image data augmentation: a review of methods, models, evaluation metrics and future research directions</x:v>
      </x:c>
      <x:c r="C274" s="25" t="n">
        <x:v>2025</x:v>
      </x:c>
      <x:c r="D274" s="25" t="str">
        <x:v>Panagiotis Alimisis; Ioannis Mademlis; Panagiotis Radoglou‐Grammatikis; Panagiotis Sarigiannidis; Georgios Th. Papadopoulos</x:v>
      </x:c>
      <x:c r="E274" s="25" t="str">
        <x:v>Artificial Intelligence Review</x:v>
      </x:c>
      <x:c r="F274" s="25" t="str">
        <x:v>10.1007/s10462-025-11116-x</x:v>
      </x:c>
      <x:c r="G274" s="25" t="str">
        <x:v>https://doi.org/10.1007/s10462-025-11116-x</x:v>
      </x:c>
      <x:c r="H274" s="25" t="str">
        <x:v>OpenAlex</x:v>
      </x:c>
      <x:c r="I274" s="25" t="str">
        <x:v>C8_AI_3D_authoring</x:v>
      </x:c>
      <x:c r="J274" s="25" t="str">
        <x:v>Exclude</x:v>
      </x:c>
      <x:c r="K274" s="25" t="str">
        <x:v>Exclude: adjacent/redundant or insufficiently theory-generative for DC1</x:v>
      </x:c>
    </x:row>
    <x:row r="275">
      <x:c r="A275" s="20" t="str">
        <x:v>R0271</x:v>
      </x:c>
      <x:c r="B275" s="25" t="str">
        <x:v>Memory Manipulations in Extended Reality</x:v>
      </x:c>
      <x:c r="C275" s="25" t="n">
        <x:v>2023</x:v>
      </x:c>
      <x:c r="D275" s="25" t="str">
        <x:v>Elise Bonnail; Wen-Jie Tseng; Mark McGill; Éric Lecolinet; Samuel Huron; Jan Gugenheimer</x:v>
      </x:c>
      <x:c r="E275" s="25" t="str"/>
      <x:c r="F275" s="25" t="str">
        <x:v>10.1145/3544548.3580988</x:v>
      </x:c>
      <x:c r="G275" s="25" t="str">
        <x:v>https://doi.org/10.1145/3544548.3580988</x:v>
      </x:c>
      <x:c r="H275" s="25" t="str">
        <x:v>OpenAlex</x:v>
      </x:c>
      <x:c r="I275" s="25" t="str">
        <x:v>C1_3D_mental_models</x:v>
      </x:c>
      <x:c r="J275" s="25" t="str">
        <x:v>Exclude</x:v>
      </x:c>
      <x:c r="K275" s="25" t="str">
        <x:v>Exclude: adjacent/redundant or insufficiently theory-generative for DC1</x:v>
      </x:c>
    </x:row>
    <x:row r="276">
      <x:c r="A276" s="20" t="str">
        <x:v>R0272</x:v>
      </x:c>
      <x:c r="B276" s="25" t="str">
        <x:v>Trust as Extended Control: Human-Machine Interactions as Active Inference</x:v>
      </x:c>
      <x:c r="C276" s="25" t="n">
        <x:v>2021</x:v>
      </x:c>
      <x:c r="D276" s="25" t="str">
        <x:v>Félix Schoeller; Mark Miller; Roy Salomon; Karl Friston</x:v>
      </x:c>
      <x:c r="E276" s="25" t="str">
        <x:v>Frontiers in Systems Neuroscience</x:v>
      </x:c>
      <x:c r="F276" s="25" t="str">
        <x:v>10.3389/fnsys.2021.669810</x:v>
      </x:c>
      <x:c r="G276" s="25" t="str">
        <x:v>https://doi.org/10.3389/fnsys.2021.669810</x:v>
      </x:c>
      <x:c r="H276" s="25" t="str">
        <x:v>OpenAlex</x:v>
      </x:c>
      <x:c r="I276" s="25" t="str">
        <x:v>C4_uncertainty_shared_autonomy</x:v>
      </x:c>
      <x:c r="J276" s="25" t="str">
        <x:v>Exclude</x:v>
      </x:c>
      <x:c r="K276" s="25" t="str">
        <x:v>Exclude: topic mismatch</x:v>
      </x:c>
    </x:row>
    <x:row r="277">
      <x:c r="A277" s="20" t="str">
        <x:v>R0273</x:v>
      </x:c>
      <x:c r="B277" s="25" t="str">
        <x:v>Building user interfaces by direct manipulation</x:v>
      </x:c>
      <x:c r="C277" s="25" t="n">
        <x:v>1988</x:v>
      </x:c>
      <x:c r="D277" s="25" t="str">
        <x:v>Luca Cardelli</x:v>
      </x:c>
      <x:c r="E277" s="25" t="str">
        <x:v>Proceedings of the 1st annual ACM SIGGRAPH symposium on User Interface Software</x:v>
      </x:c>
      <x:c r="F277" s="25" t="str">
        <x:v>10.1145/62402.62428</x:v>
      </x:c>
      <x:c r="G277" s="25" t="str">
        <x:v>https://doi.org/10.1145/62402.62428</x:v>
      </x:c>
      <x:c r="H277" s="25" t="str">
        <x:v>Crossref</x:v>
      </x:c>
      <x:c r="I277" s="25" t="str">
        <x:v>C1_3D_mental_models</x:v>
      </x:c>
      <x:c r="J277" s="25" t="str">
        <x:v>Exclude</x:v>
      </x:c>
      <x:c r="K277" s="25" t="str">
        <x:v>Exclude: adjacent/redundant or insufficiently theory-generative for DC1</x:v>
      </x:c>
    </x:row>
    <x:row r="278">
      <x:c r="A278" s="20" t="str">
        <x:v>R0274</x:v>
      </x:c>
      <x:c r="B278" s="25" t="str">
        <x:v>ContextCam: Bridging Context Awareness with Creative Human-AI Image Co-Creation</x:v>
      </x:c>
      <x:c r="C278" s="25" t="n">
        <x:v>2024</x:v>
      </x:c>
      <x:c r="D278" s="25" t="str">
        <x:v>Xianzhe Fan; Zihan Wu; Chun Yu; Fenggui Rao; Weinan Shi; Teng Tu</x:v>
      </x:c>
      <x:c r="E278" s="25" t="str">
        <x:v>Proceedings of the CHI Conference on Human Factors in Computing Systems</x:v>
      </x:c>
      <x:c r="F278" s="25" t="str">
        <x:v>10.1145/3613904.3642129</x:v>
      </x:c>
      <x:c r="G278" s="25" t="str">
        <x:v>https://doi.org/10.1145/3613904.3642129</x:v>
      </x:c>
      <x:c r="H278" s="25" t="str">
        <x:v>Crossref</x:v>
      </x:c>
      <x:c r="I278" s="25" t="str">
        <x:v>C7_creative_agency</x:v>
      </x:c>
      <x:c r="J278" s="25" t="str">
        <x:v>Exclude</x:v>
      </x:c>
      <x:c r="K278" s="25" t="str">
        <x:v>Exclude: adjacent/redundant or insufficiently theory-generative for DC1</x:v>
      </x:c>
    </x:row>
    <x:row r="279">
      <x:c r="A279" s="20" t="str">
        <x:v>R0275</x:v>
      </x:c>
      <x:c r="B279" s="25" t="str">
        <x:v>Episodic, semantic and procedural memory in a case of amnesia at an early age</x:v>
      </x:c>
      <x:c r="C279" s="25" t="n">
        <x:v>1987</x:v>
      </x:c>
      <x:c r="D279" s="25" t="str">
        <x:v>A.L. Ostergaard</x:v>
      </x:c>
      <x:c r="E279" s="25" t="str">
        <x:v>Neuropsychologia</x:v>
      </x:c>
      <x:c r="F279" s="25" t="str">
        <x:v>10.1016/0028-3932(87)90023-6</x:v>
      </x:c>
      <x:c r="G279" s="25" t="str">
        <x:v>https://doi.org/10.1016/0028-3932(87)90023-6</x:v>
      </x:c>
      <x:c r="H279" s="25" t="str">
        <x:v>Crossref</x:v>
      </x:c>
      <x:c r="I279" s="25" t="str">
        <x:v>C5_agent_memory</x:v>
      </x:c>
      <x:c r="J279" s="25" t="str">
        <x:v>Exclude</x:v>
      </x:c>
      <x:c r="K279" s="25" t="str">
        <x:v>Exclude: adjacent/redundant or insufficiently theory-generative for DC1</x:v>
      </x:c>
    </x:row>
    <x:row r="280">
      <x:c r="A280" s="20" t="str">
        <x:v>R0276</x:v>
      </x:c>
      <x:c r="B280" s="25" t="str">
        <x:v>How do you Converse with an Analytical Chatbot? Revisiting Gricean Maxims for Designing Analytical Conversational Behavior</x:v>
      </x:c>
      <x:c r="C280" s="25" t="n">
        <x:v>2022</x:v>
      </x:c>
      <x:c r="D280" s="25" t="str">
        <x:v>Vidya Setlur; Melanie Tory</x:v>
      </x:c>
      <x:c r="E280" s="25" t="str">
        <x:v>CHI Conference on Human Factors in Computing Systems</x:v>
      </x:c>
      <x:c r="F280" s="25" t="str">
        <x:v>10.1145/3491102.3501972</x:v>
      </x:c>
      <x:c r="G280" s="25" t="str">
        <x:v>https://doi.org/10.1145/3491102.3501972</x:v>
      </x:c>
      <x:c r="H280" s="25" t="str">
        <x:v>OpenAlex</x:v>
      </x:c>
      <x:c r="I280" s="25" t="str">
        <x:v>C6_frontend_GUI_intent</x:v>
      </x:c>
      <x:c r="J280" s="25" t="str">
        <x:v>Exclude</x:v>
      </x:c>
      <x:c r="K280" s="25" t="str">
        <x:v>Exclude: adjacent/redundant or insufficiently theory-generative for DC1</x:v>
      </x:c>
    </x:row>
    <x:row r="281">
      <x:c r="A281" s="20" t="str">
        <x:v>R0277</x:v>
      </x:c>
      <x:c r="B281" s="25" t="str">
        <x:v>Human-machine interaction as key technology for driverless driving - A trajectory-based shared autonomy control approach</x:v>
      </x:c>
      <x:c r="C281" s="25" t="n">
        <x:v>2012</x:v>
      </x:c>
      <x:c r="D281" s="25" t="str">
        <x:v>S. Gnatzig; F. Schuller; M. Lienkamp</x:v>
      </x:c>
      <x:c r="E281" s="25" t="str">
        <x:v>2012 IEEE RO-MAN: The 21st IEEE International Symposium on Robot and Human Interactive Communication</x:v>
      </x:c>
      <x:c r="F281" s="25" t="str">
        <x:v>10.1109/roman.2012.6343867</x:v>
      </x:c>
      <x:c r="G281" s="25" t="str">
        <x:v>https://doi.org/10.1109/roman.2012.6343867</x:v>
      </x:c>
      <x:c r="H281" s="25" t="str">
        <x:v>Crossref</x:v>
      </x:c>
      <x:c r="I281" s="25" t="str">
        <x:v>C4_uncertainty_shared_autonomy</x:v>
      </x:c>
      <x:c r="J281" s="25" t="str">
        <x:v>Exclude</x:v>
      </x:c>
      <x:c r="K281" s="25" t="str">
        <x:v>Exclude: adjacent/redundant or insufficiently theory-generative for DC1</x:v>
      </x:c>
    </x:row>
    <x:row r="282">
      <x:c r="A282" s="20" t="str">
        <x:v>R0278</x:v>
      </x:c>
      <x:c r="B282" s="25" t="str">
        <x:v>AI in Learning: Designing the Future</x:v>
      </x:c>
      <x:c r="C282" s="25" t="n">
        <x:v>2022</x:v>
      </x:c>
      <x:c r="D282" s="25" t="str">
        <x:v>Hannele Niemi; Roy Pea; Yu Lu</x:v>
      </x:c>
      <x:c r="E282" s="25" t="str"/>
      <x:c r="F282" s="25" t="str">
        <x:v>10.1007/978-3-031-09687-7</x:v>
      </x:c>
      <x:c r="G282" s="25" t="str">
        <x:v>https://doi.org/10.1007/978-3-031-09687-7</x:v>
      </x:c>
      <x:c r="H282" s="25" t="str">
        <x:v>OpenAlex</x:v>
      </x:c>
      <x:c r="I282" s="25" t="str">
        <x:v>C8_AI_3D_authoring</x:v>
      </x:c>
      <x:c r="J282" s="25" t="str">
        <x:v>Exclude</x:v>
      </x:c>
      <x:c r="K282" s="25" t="str">
        <x:v>Exclude: topic mismatch</x:v>
      </x:c>
    </x:row>
    <x:row r="283">
      <x:c r="A283" s="20" t="str">
        <x:v>R0279</x:v>
      </x:c>
      <x:c r="B283" s="25" t="str">
        <x:v>Interactive Execution Monitoring of Agent Teams</x:v>
      </x:c>
      <x:c r="C283" s="25" t="n">
        <x:v>2003</x:v>
      </x:c>
      <x:c r="D283" s="25" t="str">
        <x:v>David E. Wilkins; T. J. Lee; Pauline M. Berry</x:v>
      </x:c>
      <x:c r="E283" s="25" t="str">
        <x:v>Journal of Artificial Intelligence Research</x:v>
      </x:c>
      <x:c r="F283" s="25" t="str">
        <x:v>10.1613/jair.1112</x:v>
      </x:c>
      <x:c r="G283" s="25" t="str">
        <x:v>https://doi.org/10.1613/jair.1112</x:v>
      </x:c>
      <x:c r="H283" s="25" t="str">
        <x:v>OpenAlex</x:v>
      </x:c>
      <x:c r="I283" s="25" t="str">
        <x:v>C6_frontend_GUI_intent</x:v>
      </x:c>
      <x:c r="J283" s="25" t="str">
        <x:v>Exclude</x:v>
      </x:c>
      <x:c r="K283" s="25" t="str">
        <x:v>Exclude: topic mismatch</x:v>
      </x:c>
    </x:row>
    <x:row r="284">
      <x:c r="A284" s="20" t="str">
        <x:v>R0280</x:v>
      </x:c>
      <x:c r="B284" s="25" t="str">
        <x:v>Trust Measurement in Human-Autonomy Teams: Development of a Conceptual Toolkit</x:v>
      </x:c>
      <x:c r="C284" s="25" t="n">
        <x:v>2022</x:v>
      </x:c>
      <x:c r="D284" s="25" t="str">
        <x:v>Andrea Krausman; Catherine Neubauer; Daniel E. Forster; Shan Lakhmani; Anthony L. Baker; Sean M. Fitzhugh; Gregory M. Gremillion; Julia L. Wright; J. Stanley Metcalfe; Kristin E. Schaefer</x:v>
      </x:c>
      <x:c r="E284" s="25" t="str">
        <x:v>ACM Transactions on Human-Robot Interaction</x:v>
      </x:c>
      <x:c r="F284" s="25" t="str">
        <x:v>10.1145/3530874</x:v>
      </x:c>
      <x:c r="G284" s="25" t="str">
        <x:v>https://doi.org/10.1145/3530874</x:v>
      </x:c>
      <x:c r="H284" s="25" t="str">
        <x:v>OpenAlex</x:v>
      </x:c>
      <x:c r="I284" s="25" t="str">
        <x:v>C4_uncertainty_shared_autonomy</x:v>
      </x:c>
      <x:c r="J284" s="25" t="str">
        <x:v>Exclude</x:v>
      </x:c>
      <x:c r="K284" s="25" t="str">
        <x:v>Exclude: adjacent/redundant or insufficiently theory-generative for DC1</x:v>
      </x:c>
    </x:row>
    <x:row r="285">
      <x:c r="A285" s="20" t="str">
        <x:v>R0281</x:v>
      </x:c>
      <x:c r="B285" s="25" t="str">
        <x:v>Shared Autonomy via Deep Reinforcement Learning</x:v>
      </x:c>
      <x:c r="C285" s="25" t="n">
        <x:v>2018</x:v>
      </x:c>
      <x:c r="D285" s="25" t="str">
        <x:v>Siddharth Reddy; Anca D. Dragan; Sergey Levine</x:v>
      </x:c>
      <x:c r="E285" s="25" t="str"/>
      <x:c r="F285" s="25" t="str">
        <x:v>10.15607/rss.2018.xiv.005</x:v>
      </x:c>
      <x:c r="G285" s="25" t="str">
        <x:v>https://doi.org/10.15607/rss.2018.xiv.005</x:v>
      </x:c>
      <x:c r="H285" s="25" t="str">
        <x:v>OpenAlex</x:v>
      </x:c>
      <x:c r="I285" s="25" t="str">
        <x:v>C4_uncertainty_shared_autonomy</x:v>
      </x:c>
      <x:c r="J285" s="25" t="str">
        <x:v>Exclude</x:v>
      </x:c>
      <x:c r="K285" s="25" t="str">
        <x:v>Exclude: adjacent/redundant or insufficiently theory-generative for DC1</x:v>
      </x:c>
    </x:row>
    <x:row r="286">
      <x:c r="A286" s="20" t="str">
        <x:v>R0282</x:v>
      </x:c>
      <x:c r="B286" s="25" t="str">
        <x:v>A Challenge-based Survey of E-recruitment Recommendation Systems</x:v>
      </x:c>
      <x:c r="C286" s="25" t="n">
        <x:v>2024</x:v>
      </x:c>
      <x:c r="D286" s="25" t="str">
        <x:v>Yoosof Mashayekhi; Nan Li; Bo Kang; Jefrey Lijffijt; Tijl De Bie</x:v>
      </x:c>
      <x:c r="E286" s="25" t="str">
        <x:v>ACM Computing Surveys</x:v>
      </x:c>
      <x:c r="F286" s="25" t="str">
        <x:v>10.1145/3659942</x:v>
      </x:c>
      <x:c r="G286" s="25" t="str">
        <x:v>https://doi.org/10.1145/3659942</x:v>
      </x:c>
      <x:c r="H286" s="25" t="str">
        <x:v>OpenAlex</x:v>
      </x:c>
      <x:c r="I286" s="25" t="str">
        <x:v>C5_agent_memory</x:v>
      </x:c>
      <x:c r="J286" s="25" t="str">
        <x:v>Exclude</x:v>
      </x:c>
      <x:c r="K286" s="25" t="str">
        <x:v>Exclude: adjacent/redundant or insufficiently theory-generative for DC1</x:v>
      </x:c>
    </x:row>
    <x:row r="287">
      <x:c r="A287" s="20" t="str">
        <x:v>R0283</x:v>
      </x:c>
      <x:c r="B287" s="25" t="str">
        <x:v>Interface Transparency Issues in Teleoperation</x:v>
      </x:c>
      <x:c r="C287" s="25" t="n">
        <x:v>2020</x:v>
      </x:c>
      <x:c r="D287" s="25" t="str">
        <x:v>Luís Almeida; Paulo Menezes; Jorge Dias</x:v>
      </x:c>
      <x:c r="E287" s="25" t="str">
        <x:v>Applied Sciences</x:v>
      </x:c>
      <x:c r="F287" s="25" t="str">
        <x:v>10.3390/app10186232</x:v>
      </x:c>
      <x:c r="G287" s="25" t="str">
        <x:v>https://doi.org/10.3390/app10186232</x:v>
      </x:c>
      <x:c r="H287" s="25" t="str">
        <x:v>OpenAlex</x:v>
      </x:c>
      <x:c r="I287" s="25" t="str">
        <x:v>C1_3D_mental_models</x:v>
      </x:c>
      <x:c r="J287" s="25" t="str">
        <x:v>Exclude</x:v>
      </x:c>
      <x:c r="K287" s="25" t="str">
        <x:v>Exclude: adjacent/redundant or insufficiently theory-generative for DC1</x:v>
      </x:c>
    </x:row>
    <x:row r="288">
      <x:c r="A288" s="20" t="str">
        <x:v>R0284</x:v>
      </x:c>
      <x:c r="B288" s="25" t="str">
        <x:v>Rethinking designer agency: A case study of co-creation between designers and AI</x:v>
      </x:c>
      <x:c r="C288" s="25" t="n">
        <x:v>2023</x:v>
      </x:c>
      <x:c r="D288" s="25" t="str">
        <x:v>Xinyu Guo; Yi Xiao; Jiaqi Wang; Tie Ji</x:v>
      </x:c>
      <x:c r="E288" s="25" t="str"/>
      <x:c r="F288" s="25" t="str">
        <x:v>10.21606/iasdr.2023.478</x:v>
      </x:c>
      <x:c r="G288" s="25" t="str">
        <x:v>https://doi.org/10.21606/iasdr.2023.478</x:v>
      </x:c>
      <x:c r="H288" s="25" t="str">
        <x:v>OpenAlex</x:v>
      </x:c>
      <x:c r="I288" s="25" t="str">
        <x:v>C7_creative_agency</x:v>
      </x:c>
      <x:c r="J288" s="25" t="str">
        <x:v>Exclude</x:v>
      </x:c>
      <x:c r="K288" s="25" t="str">
        <x:v>Exclude: adjacent/redundant or insufficiently theory-generative for DC1</x:v>
      </x:c>
    </x:row>
    <x:row r="289">
      <x:c r="A289" s="20" t="str">
        <x:v>R0285</x:v>
      </x:c>
      <x:c r="B289" s="25" t="str">
        <x:v>A Survey on 3D Gaussian Splatting</x:v>
      </x:c>
      <x:c r="C289" s="25" t="n">
        <x:v>2026</x:v>
      </x:c>
      <x:c r="D289" s="25" t="str">
        <x:v>Guikun Chen; Wenguan Wang</x:v>
      </x:c>
      <x:c r="E289" s="25" t="str">
        <x:v>ACM Computing Surveys</x:v>
      </x:c>
      <x:c r="F289" s="25" t="str">
        <x:v>10.1145/3807511</x:v>
      </x:c>
      <x:c r="G289" s="25" t="str">
        <x:v>https://doi.org/10.1145/3807511</x:v>
      </x:c>
      <x:c r="H289" s="25" t="str">
        <x:v>OpenAlex</x:v>
      </x:c>
      <x:c r="I289" s="25" t="str">
        <x:v>C8_AI_3D_authoring</x:v>
      </x:c>
      <x:c r="J289" s="25" t="str">
        <x:v>Exclude</x:v>
      </x:c>
      <x:c r="K289" s="25" t="str">
        <x:v>Exclude: adjacent/redundant or insufficiently theory-generative for DC1</x:v>
      </x:c>
    </x:row>
    <x:row r="290">
      <x:c r="A290" s="20" t="str">
        <x:v>R0286</x:v>
      </x:c>
      <x:c r="B290" s="25" t="str">
        <x:v>An artificial intelligence-assisted digital microfluidic system for multistate droplet control</x:v>
      </x:c>
      <x:c r="C290" s="25" t="n">
        <x:v>2024</x:v>
      </x:c>
      <x:c r="D290" s="25" t="str">
        <x:v>Kunlun Guo; Zerui Song; Jiale Zhou; Bin Shen; Bingyong Yan; Zhen Gu; Huifeng Wang</x:v>
      </x:c>
      <x:c r="E290" s="25" t="str">
        <x:v>Microsystems &amp; Nanoengineering</x:v>
      </x:c>
      <x:c r="F290" s="25" t="str">
        <x:v>10.1038/s41378-024-00775-5</x:v>
      </x:c>
      <x:c r="G290" s="25" t="str">
        <x:v>https://doi.org/10.1038/s41378-024-00775-5</x:v>
      </x:c>
      <x:c r="H290" s="25" t="str">
        <x:v>OpenAlex</x:v>
      </x:c>
      <x:c r="I290" s="25" t="str">
        <x:v>C8_AI_3D_authoring</x:v>
      </x:c>
      <x:c r="J290" s="25" t="str">
        <x:v>Exclude</x:v>
      </x:c>
      <x:c r="K290" s="25" t="str">
        <x:v>Exclude: adjacent/redundant or insufficiently theory-generative for DC1</x:v>
      </x:c>
    </x:row>
    <x:row r="291">
      <x:c r="A291" s="20" t="str">
        <x:v>R0287</x:v>
      </x:c>
      <x:c r="B291" s="25" t="str">
        <x:v>An empirical evaluation of virtual hand techniques for 3D object manipulation in a tangible augmented reality environment</x:v>
      </x:c>
      <x:c r="C291" s="25" t="n">
        <x:v>2010</x:v>
      </x:c>
      <x:c r="D291" s="25" t="str">
        <x:v>Taejin Ha; Woontack Woo</x:v>
      </x:c>
      <x:c r="E291" s="25" t="str">
        <x:v>2010 IEEE Symposium on 3D User Interfaces (3DUI)</x:v>
      </x:c>
      <x:c r="F291" s="25" t="str">
        <x:v>10.1109/3dui.2010.5444713</x:v>
      </x:c>
      <x:c r="G291" s="25" t="str">
        <x:v>https://doi.org/10.1109/3dui.2010.5444713</x:v>
      </x:c>
      <x:c r="H291" s="25" t="str">
        <x:v>Crossref</x:v>
      </x:c>
      <x:c r="I291" s="25" t="str">
        <x:v>C1_3D_mental_models</x:v>
      </x:c>
      <x:c r="J291" s="25" t="str">
        <x:v>Exclude</x:v>
      </x:c>
      <x:c r="K291" s="25" t="str">
        <x:v>Exclude: adjacent/redundant or insufficiently theory-generative for DC1</x:v>
      </x:c>
    </x:row>
    <x:row r="292">
      <x:c r="A292" s="20" t="str">
        <x:v>R0288</x:v>
      </x:c>
      <x:c r="B292" s="25" t="str">
        <x:v>El Agente: An autonomous agent for quantum chemistry</x:v>
      </x:c>
      <x:c r="C292" s="25" t="n">
        <x:v>2025</x:v>
      </x:c>
      <x:c r="D292" s="25" t="str">
        <x:v>Yushi Zou; Austin H. Cheng; Abdulrahman Aldossary; Jiaru Bai; Shi Xuan Leong; Jorge A. Campos-Gonzalez-Angulo; Changhyeok Choi; Cher Tian Ser; Gary Tom; Andrew Wang; Zijian Zhang; Ilya Yakavets; Hao Han; Chris Crebolder; Varinia Bernales; Alán Aspuru‐Guzik</x:v>
      </x:c>
      <x:c r="E292" s="25" t="str">
        <x:v>Matter</x:v>
      </x:c>
      <x:c r="F292" s="25" t="str">
        <x:v>10.1016/j.matt.2025.102263</x:v>
      </x:c>
      <x:c r="G292" s="25" t="str">
        <x:v>https://doi.org/10.1016/j.matt.2025.102263</x:v>
      </x:c>
      <x:c r="H292" s="25" t="str">
        <x:v>OpenAlex</x:v>
      </x:c>
      <x:c r="I292" s="25" t="str">
        <x:v>C5_agent_memory</x:v>
      </x:c>
      <x:c r="J292" s="25" t="str">
        <x:v>Exclude</x:v>
      </x:c>
      <x:c r="K292" s="25" t="str">
        <x:v>Exclude: adjacent/redundant or insufficiently theory-generative for DC1</x:v>
      </x:c>
    </x:row>
    <x:row r="293">
      <x:c r="A293" s="20" t="str">
        <x:v>R0289</x:v>
      </x:c>
      <x:c r="B293" s="25" t="str">
        <x:v>Exploring creativity in human–AI co-creation: a comparative study across design experience</x:v>
      </x:c>
      <x:c r="C293" s="25" t="n">
        <x:v>2025</x:v>
      </x:c>
      <x:c r="D293" s="25" t="str">
        <x:v>Nan Wang; Hyunsuk Kim; Junfeng Peng; Jiayi Wang</x:v>
      </x:c>
      <x:c r="E293" s="25" t="str">
        <x:v>Frontiers in Computer Science</x:v>
      </x:c>
      <x:c r="F293" s="25" t="str">
        <x:v>10.3389/fcomp.2025.1672735</x:v>
      </x:c>
      <x:c r="G293" s="25" t="str">
        <x:v>https://doi.org/10.3389/fcomp.2025.1672735</x:v>
      </x:c>
      <x:c r="H293" s="25" t="str">
        <x:v>Crossref</x:v>
      </x:c>
      <x:c r="I293" s="25" t="str">
        <x:v>C3_mixed_initiative_cocreation</x:v>
      </x:c>
      <x:c r="J293" s="25" t="str">
        <x:v>Exclude</x:v>
      </x:c>
      <x:c r="K293" s="25" t="str">
        <x:v>Exclude: adjacent/redundant or insufficiently theory-generative for DC1</x:v>
      </x:c>
    </x:row>
    <x:row r="294">
      <x:c r="A294" s="20" t="str">
        <x:v>R0290</x:v>
      </x:c>
      <x:c r="B294" s="25" t="str">
        <x:v>Vision as a user interface</x:v>
      </x:c>
      <x:c r="C294" s="25" t="n">
        <x:v>2011</x:v>
      </x:c>
      <x:c r="D294" s="25" t="str">
        <x:v>Jan J. Koenderink</x:v>
      </x:c>
      <x:c r="E294" s="25" t="str">
        <x:v>Proceedings of SPIE, the International Society for Optical Engineering/Proceedings of SPIE</x:v>
      </x:c>
      <x:c r="F294" s="25" t="str">
        <x:v>10.1117/12.881671</x:v>
      </x:c>
      <x:c r="G294" s="25" t="str">
        <x:v>https://doi.org/10.1117/12.881671</x:v>
      </x:c>
      <x:c r="H294" s="25" t="str">
        <x:v>OpenAlex</x:v>
      </x:c>
      <x:c r="I294" s="25" t="str">
        <x:v>C1_3D_mental_models</x:v>
      </x:c>
      <x:c r="J294" s="25" t="str">
        <x:v>Exclude</x:v>
      </x:c>
      <x:c r="K294" s="25" t="str">
        <x:v>Exclude: topic mismatch</x:v>
      </x:c>
    </x:row>
    <x:row r="295">
      <x:c r="A295" s="20" t="str">
        <x:v>R0291</x:v>
      </x:c>
      <x:c r="B295" s="25" t="str">
        <x:v>Gaze-Based Intention Estimation for Shared Autonomy in Pick-and-Place Tasks</x:v>
      </x:c>
      <x:c r="C295" s="25" t="n">
        <x:v>2021</x:v>
      </x:c>
      <x:c r="D295" s="25" t="str">
        <x:v>Stefan Fuchs; Anna Belardinelli</x:v>
      </x:c>
      <x:c r="E295" s="25" t="str">
        <x:v>Frontiers in Neurorobotics</x:v>
      </x:c>
      <x:c r="F295" s="25" t="str">
        <x:v>10.3389/fnbot.2021.647930</x:v>
      </x:c>
      <x:c r="G295" s="25" t="str">
        <x:v>https://doi.org/10.3389/fnbot.2021.647930</x:v>
      </x:c>
      <x:c r="H295" s="25" t="str">
        <x:v>OpenAlex</x:v>
      </x:c>
      <x:c r="I295" s="25" t="str">
        <x:v>C4_uncertainty_shared_autonomy</x:v>
      </x:c>
      <x:c r="J295" s="25" t="str">
        <x:v>Exclude</x:v>
      </x:c>
      <x:c r="K295" s="25" t="str">
        <x:v>Exclude: adjacent/redundant or insufficiently theory-generative for DC1</x:v>
      </x:c>
    </x:row>
    <x:row r="296">
      <x:c r="A296" s="20" t="str">
        <x:v>R0292</x:v>
      </x:c>
      <x:c r="B296" s="25" t="str">
        <x:v>AutoVis: Enabling Mixed-Immersive Analysis of Automotive User Interface Interaction Studies</x:v>
      </x:c>
      <x:c r="C296" s="25" t="n">
        <x:v>2023</x:v>
      </x:c>
      <x:c r="D296" s="25" t="str">
        <x:v>Pascal Jansen; Julian Britten; Alexander Häusele; Thilo Segschneider; Mark Colley; Enrico Rukzio</x:v>
      </x:c>
      <x:c r="E296" s="25" t="str"/>
      <x:c r="F296" s="25" t="str">
        <x:v>10.1145/3544548.3580760</x:v>
      </x:c>
      <x:c r="G296" s="25" t="str">
        <x:v>https://doi.org/10.1145/3544548.3580760</x:v>
      </x:c>
      <x:c r="H296" s="25" t="str">
        <x:v>OpenAlex</x:v>
      </x:c>
      <x:c r="I296" s="25" t="str">
        <x:v>C2_interaction_signals</x:v>
      </x:c>
      <x:c r="J296" s="25" t="str">
        <x:v>Exclude</x:v>
      </x:c>
      <x:c r="K296" s="25" t="str">
        <x:v>Exclude: topic mismatch</x:v>
      </x:c>
    </x:row>
    <x:row r="297">
      <x:c r="A297" s="20" t="str">
        <x:v>R0293</x:v>
      </x:c>
      <x:c r="B297" s="25" t="str">
        <x:v>Communication Models in Human–Robot Interaction: An Asymmetric MODel of ALterity in Human–Robot Interaction (AMODAL-HRI)</x:v>
      </x:c>
      <x:c r="C297" s="25" t="n">
        <x:v>2021</x:v>
      </x:c>
      <x:c r="D297" s="25" t="str">
        <x:v>Helena Anna Frijns; Oliver Schürer; Sabine T. Koeszegi</x:v>
      </x:c>
      <x:c r="E297" s="25" t="str">
        <x:v>International Journal of Social Robotics</x:v>
      </x:c>
      <x:c r="F297" s="25" t="str">
        <x:v>10.1007/s12369-021-00785-7</x:v>
      </x:c>
      <x:c r="G297" s="25" t="str">
        <x:v>https://doi.org/10.1007/s12369-021-00785-7</x:v>
      </x:c>
      <x:c r="H297" s="25" t="str">
        <x:v>OpenAlex</x:v>
      </x:c>
      <x:c r="I297" s="25" t="str">
        <x:v>C4_uncertainty_shared_autonomy</x:v>
      </x:c>
      <x:c r="J297" s="25" t="str">
        <x:v>Exclude</x:v>
      </x:c>
      <x:c r="K297" s="25" t="str">
        <x:v>Exclude: topic mismatch</x:v>
      </x:c>
    </x:row>
    <x:row r="298">
      <x:c r="A298" s="20" t="str">
        <x:v>R0294</x:v>
      </x:c>
      <x:c r="B298" s="25" t="str">
        <x:v>Human implicit intent recognition based on the phase synchrony of EEG signals</x:v>
      </x:c>
      <x:c r="C298" s="25" t="n">
        <x:v>2015</x:v>
      </x:c>
      <x:c r="D298" s="25" t="str">
        <x:v>Jun-Su Kang; Ukeob Park; V. Gonuguntla; K.C. Veluvolu; Minho Lee</x:v>
      </x:c>
      <x:c r="E298" s="25" t="str">
        <x:v>Pattern Recognition Letters</x:v>
      </x:c>
      <x:c r="F298" s="25" t="str">
        <x:v>10.1016/j.patrec.2015.06.013</x:v>
      </x:c>
      <x:c r="G298" s="25" t="str">
        <x:v>https://doi.org/10.1016/j.patrec.2015.06.013</x:v>
      </x:c>
      <x:c r="H298" s="25" t="str">
        <x:v>Crossref</x:v>
      </x:c>
      <x:c r="I298" s="25" t="str">
        <x:v>C2_interaction_signals</x:v>
      </x:c>
      <x:c r="J298" s="25" t="str">
        <x:v>Exclude</x:v>
      </x:c>
      <x:c r="K298" s="25" t="str">
        <x:v>Exclude: adjacent/redundant or insufficiently theory-generative for DC1</x:v>
      </x:c>
    </x:row>
    <x:row r="299">
      <x:c r="A299" s="20" t="str">
        <x:v>R0295</x:v>
      </x:c>
      <x:c r="B299" s="25" t="str">
        <x:v>Jointly Leveraging Intent and Interaction Signals to Predict User Satisfaction with Slate Recommendations</x:v>
      </x:c>
      <x:c r="C299" s="25" t="n">
        <x:v>2019</x:v>
      </x:c>
      <x:c r="D299" s="25" t="str">
        <x:v>Rishabh Mehrotra; Mounia Lalmas; Doug Kenney; Thomas Lim-Meng; Golli Hashemian</x:v>
      </x:c>
      <x:c r="E299" s="25" t="str">
        <x:v>The World Wide Web Conference</x:v>
      </x:c>
      <x:c r="F299" s="25" t="str">
        <x:v>10.1145/3308558.3313613</x:v>
      </x:c>
      <x:c r="G299" s="25" t="str">
        <x:v>https://doi.org/10.1145/3308558.3313613</x:v>
      </x:c>
      <x:c r="H299" s="25" t="str">
        <x:v>Crossref</x:v>
      </x:c>
      <x:c r="I299" s="25" t="str">
        <x:v>C2_interaction_signals</x:v>
      </x:c>
      <x:c r="J299" s="25" t="str">
        <x:v>Exclude</x:v>
      </x:c>
      <x:c r="K299" s="25" t="str">
        <x:v>Exclude: adjacent/redundant or insufficiently theory-generative for DC1</x:v>
      </x:c>
    </x:row>
    <x:row r="300">
      <x:c r="A300" s="20" t="str">
        <x:v>R0296</x:v>
      </x:c>
      <x:c r="B300" s="25" t="str">
        <x:v>Move the Object or Move Myself? Walking vs. Manipulation for the Examination of 3D Scientific Data</x:v>
      </x:c>
      <x:c r="C300" s="25" t="n">
        <x:v>2018</x:v>
      </x:c>
      <x:c r="D300" s="25" t="str">
        <x:v>Wallace S. Lages; Doug A. Bowman</x:v>
      </x:c>
      <x:c r="E300" s="25" t="str">
        <x:v>Frontiers in ICT</x:v>
      </x:c>
      <x:c r="F300" s="25" t="str">
        <x:v>10.3389/fict.2018.00015</x:v>
      </x:c>
      <x:c r="G300" s="25" t="str">
        <x:v>https://doi.org/10.3389/fict.2018.00015</x:v>
      </x:c>
      <x:c r="H300" s="25" t="str">
        <x:v>OpenAlex</x:v>
      </x:c>
      <x:c r="I300" s="25" t="str">
        <x:v>C1_3D_mental_models</x:v>
      </x:c>
      <x:c r="J300" s="25" t="str">
        <x:v>Exclude</x:v>
      </x:c>
      <x:c r="K300" s="25" t="str">
        <x:v>Exclude: adjacent/redundant or insufficiently theory-generative for DC1</x:v>
      </x:c>
    </x:row>
    <x:row r="301">
      <x:c r="A301" s="20" t="str">
        <x:v>R0297</x:v>
      </x:c>
      <x:c r="B301" s="25" t="str">
        <x:v>Digital Cardiovascular Twins, AI Agents, and Sensor Data: A Narrative Review from System Architecture to Proactive Heart Health</x:v>
      </x:c>
      <x:c r="C301" s="25" t="n">
        <x:v>2025</x:v>
      </x:c>
      <x:c r="D301" s="25" t="str">
        <x:v>Nurdaulet Tasmurzayev; Bibars Amangeldy; Баглан Иманбек; Zhanel Baigarayeva; Timur Imankulov; Gulmira Dikhanbayeva; Inzhu Amangeldi; Symbat Sharipova</x:v>
      </x:c>
      <x:c r="E301" s="25" t="str">
        <x:v>Sensors</x:v>
      </x:c>
      <x:c r="F301" s="25" t="str">
        <x:v>10.3390/s25175272</x:v>
      </x:c>
      <x:c r="G301" s="25" t="str">
        <x:v>https://doi.org/10.3390/s25175272</x:v>
      </x:c>
      <x:c r="H301" s="25" t="str">
        <x:v>OpenAlex</x:v>
      </x:c>
      <x:c r="I301" s="25" t="str">
        <x:v>C5_agent_memory</x:v>
      </x:c>
      <x:c r="J301" s="25" t="str">
        <x:v>Exclude</x:v>
      </x:c>
      <x:c r="K301" s="25" t="str">
        <x:v>Exclude: adjacent/redundant or insufficiently theory-generative for DC1</x:v>
      </x:c>
    </x:row>
    <x:row r="302">
      <x:c r="A302" s="20" t="str">
        <x:v>R0298</x:v>
      </x:c>
      <x:c r="B302" s="25" t="str">
        <x:v>Semantic 3D Object Maps for Everyday Robot Manipulation</x:v>
      </x:c>
      <x:c r="C302" s="25" t="n">
        <x:v>2013</x:v>
      </x:c>
      <x:c r="D302" s="25" t="str">
        <x:v>Radu Bogdan Rusu</x:v>
      </x:c>
      <x:c r="E302" s="25" t="str">
        <x:v>Springer Tracts in Advanced Robotics</x:v>
      </x:c>
      <x:c r="F302" s="25" t="str">
        <x:v>10.1007/978-3-642-35479-3</x:v>
      </x:c>
      <x:c r="G302" s="25" t="str">
        <x:v>https://doi.org/10.1007/978-3-642-35479-3</x:v>
      </x:c>
      <x:c r="H302" s="25" t="str">
        <x:v>Crossref</x:v>
      </x:c>
      <x:c r="I302" s="25" t="str">
        <x:v>C8_AI_3D_authoring</x:v>
      </x:c>
      <x:c r="J302" s="25" t="str">
        <x:v>Exclude</x:v>
      </x:c>
      <x:c r="K302" s="25" t="str">
        <x:v>Exclude: adjacent/redundant or insufficiently theory-generative for DC1</x:v>
      </x:c>
    </x:row>
    <x:row r="303">
      <x:c r="A303" s="20" t="str">
        <x:v>R0299</x:v>
      </x:c>
      <x:c r="B303" s="25" t="str">
        <x:v>Artificial cognition vs. artificial intelligence for next-generation autonomous robotic agents</x:v>
      </x:c>
      <x:c r="C303" s="25" t="n">
        <x:v>2024</x:v>
      </x:c>
      <x:c r="D303" s="25" t="str">
        <x:v>Giulio Sandini; Alessandra Sciutti; Pietro Morasso</x:v>
      </x:c>
      <x:c r="E303" s="25" t="str">
        <x:v>Frontiers in Computational Neuroscience</x:v>
      </x:c>
      <x:c r="F303" s="25" t="str">
        <x:v>10.3389/fncom.2024.1349408</x:v>
      </x:c>
      <x:c r="G303" s="25" t="str">
        <x:v>https://doi.org/10.3389/fncom.2024.1349408</x:v>
      </x:c>
      <x:c r="H303" s="25" t="str">
        <x:v>OpenAlex</x:v>
      </x:c>
      <x:c r="I303" s="25" t="str">
        <x:v>C5_agent_memory</x:v>
      </x:c>
      <x:c r="J303" s="25" t="str">
        <x:v>Exclude</x:v>
      </x:c>
      <x:c r="K303" s="25" t="str">
        <x:v>Exclude: adjacent/redundant or insufficiently theory-generative for DC1</x:v>
      </x:c>
    </x:row>
    <x:row r="304">
      <x:c r="A304" s="20" t="str">
        <x:v>R0300</x:v>
      </x:c>
      <x:c r="B304" s="25" t="str">
        <x:v>Large Language Models: A Structured Taxonomy and Review of Challenges, Limitations, Solutions, and Future Directions</x:v>
      </x:c>
      <x:c r="C304" s="25" t="n">
        <x:v>2025</x:v>
      </x:c>
      <x:c r="D304" s="25" t="str">
        <x:v>Pejman Peykani; Fatemeh Ramezanlou; Cristina Tănăsescu; Sanly Ghanidel</x:v>
      </x:c>
      <x:c r="E304" s="25" t="str">
        <x:v>Applied Sciences</x:v>
      </x:c>
      <x:c r="F304" s="25" t="str">
        <x:v>10.3390/app15148103</x:v>
      </x:c>
      <x:c r="G304" s="25" t="str">
        <x:v>https://doi.org/10.3390/app15148103</x:v>
      </x:c>
      <x:c r="H304" s="25" t="str">
        <x:v>OpenAlex</x:v>
      </x:c>
      <x:c r="I304" s="25" t="str">
        <x:v>C5_agent_memory</x:v>
      </x:c>
      <x:c r="J304" s="25" t="str">
        <x:v>Exclude</x:v>
      </x:c>
      <x:c r="K304" s="25" t="str">
        <x:v>Exclude: adjacent/redundant or insufficiently theory-generative for DC1</x:v>
      </x:c>
    </x:row>
    <x:row r="305">
      <x:c r="A305" s="20" t="str">
        <x:v>R0301</x:v>
      </x:c>
      <x:c r="B305" s="25" t="str">
        <x:v>Memory Matters: The Need to Improve Long-Term Memory in LLM-Agents</x:v>
      </x:c>
      <x:c r="C305" s="25" t="n">
        <x:v>2024</x:v>
      </x:c>
      <x:c r="D305" s="25" t="str">
        <x:v>Kostas Hatalis; Despina Christou; J. Myers; Steve Jones; Keith Lambert; Adam Amos‐Binks; Zohreh A. Dannenhauer; Dustin Dannenhauer</x:v>
      </x:c>
      <x:c r="E305" s="25" t="str">
        <x:v>Proceedings of the AAAI Symposium Series</x:v>
      </x:c>
      <x:c r="F305" s="25" t="str">
        <x:v>10.1609/aaaiss.v2i1.27688</x:v>
      </x:c>
      <x:c r="G305" s="25" t="str">
        <x:v>https://doi.org/10.1609/aaaiss.v2i1.27688</x:v>
      </x:c>
      <x:c r="H305" s="25" t="str">
        <x:v>OpenAlex</x:v>
      </x:c>
      <x:c r="I305" s="25" t="str">
        <x:v>C5_agent_memory</x:v>
      </x:c>
      <x:c r="J305" s="25" t="str">
        <x:v>Include</x:v>
      </x:c>
      <x:c r="K305" s="25" t="str">
        <x:v>Included in focused synthesis</x:v>
      </x:c>
    </x:row>
    <x:row r="306">
      <x:c r="A306" s="20" t="str">
        <x:v>R0302</x:v>
      </x:c>
      <x:c r="B306" s="25" t="str">
        <x:v>Overview of Software Agent Platforms Available in 2023</x:v>
      </x:c>
      <x:c r="C306" s="25" t="n">
        <x:v>2023</x:v>
      </x:c>
      <x:c r="D306" s="25" t="str">
        <x:v>Zofia Wrona; Wojciech Buchwald; Maria Ganzha; Marcin Paprzycki; Florin Leon; N.V. Nasma Noor; Constantin-Valentin Pal</x:v>
      </x:c>
      <x:c r="E306" s="25" t="str">
        <x:v>Information</x:v>
      </x:c>
      <x:c r="F306" s="25" t="str">
        <x:v>10.3390/info14060348</x:v>
      </x:c>
      <x:c r="G306" s="25" t="str">
        <x:v>https://doi.org/10.3390/info14060348</x:v>
      </x:c>
      <x:c r="H306" s="25" t="str">
        <x:v>OpenAlex</x:v>
      </x:c>
      <x:c r="I306" s="25" t="str">
        <x:v>C6_frontend_GUI_intent</x:v>
      </x:c>
      <x:c r="J306" s="25" t="str">
        <x:v>Exclude</x:v>
      </x:c>
      <x:c r="K306" s="25" t="str">
        <x:v>Exclude: adjacent/redundant or insufficiently theory-generative for DC1</x:v>
      </x:c>
    </x:row>
    <x:row r="307">
      <x:c r="A307" s="20" t="str">
        <x:v>R0303</x:v>
      </x:c>
      <x:c r="B307" s="25" t="str">
        <x:v>The Immersive Mental Rotations Test: Evaluating Spatial Ability in Virtual Reality</x:v>
      </x:c>
      <x:c r="C307" s="25" t="n">
        <x:v>2022</x:v>
      </x:c>
      <x:c r="D307" s="25" t="str">
        <x:v>Ian Lochhead; Nick Hedley; Arzu Çöltekin; Brian Fisher</x:v>
      </x:c>
      <x:c r="E307" s="25" t="str">
        <x:v>Frontiers in Virtual Reality</x:v>
      </x:c>
      <x:c r="F307" s="25" t="str">
        <x:v>10.3389/frvir.2022.820237</x:v>
      </x:c>
      <x:c r="G307" s="25" t="str">
        <x:v>https://doi.org/10.3389/frvir.2022.820237</x:v>
      </x:c>
      <x:c r="H307" s="25" t="str">
        <x:v>OpenAlex</x:v>
      </x:c>
      <x:c r="I307" s="25" t="str">
        <x:v>C1_3D_mental_models</x:v>
      </x:c>
      <x:c r="J307" s="25" t="str">
        <x:v>Exclude</x:v>
      </x:c>
      <x:c r="K307" s="25" t="str">
        <x:v>Exclude: adjacent/redundant or insufficiently theory-generative for DC1</x:v>
      </x:c>
    </x:row>
    <x:row r="308">
      <x:c r="A308" s="20" t="str">
        <x:v>R0304</x:v>
      </x:c>
      <x:c r="B308" s="25" t="str">
        <x:v>Toward Natively Intelligent Semantic Communications and Networking</x:v>
      </x:c>
      <x:c r="C308" s="25" t="n">
        <x:v>2024</x:v>
      </x:c>
      <x:c r="D308" s="25" t="str">
        <x:v>Stylianos E. Trevlakis; Νικόλαος Παππάς; Alexandros–Apostolos A. Boulogeorgos</x:v>
      </x:c>
      <x:c r="E308" s="25" t="str">
        <x:v>IEEE Open Journal of the Communications Society</x:v>
      </x:c>
      <x:c r="F308" s="25" t="str">
        <x:v>10.1109/ojcoms.2024.3371871</x:v>
      </x:c>
      <x:c r="G308" s="25" t="str">
        <x:v>https://doi.org/10.1109/ojcoms.2024.3371871</x:v>
      </x:c>
      <x:c r="H308" s="25" t="str">
        <x:v>OpenAlex</x:v>
      </x:c>
      <x:c r="I308" s="25" t="str">
        <x:v>C8_AI_3D_authoring</x:v>
      </x:c>
      <x:c r="J308" s="25" t="str">
        <x:v>Exclude</x:v>
      </x:c>
      <x:c r="K308" s="25" t="str">
        <x:v>Exclude: adjacent/redundant or insufficiently theory-generative for DC1</x:v>
      </x:c>
    </x:row>
    <x:row r="309">
      <x:c r="A309" s="20" t="str">
        <x:v>R0305</x:v>
      </x:c>
      <x:c r="B309" s="25" t="str">
        <x:v>Personal LLM Agents: Insights and Survey about the Capability, Efficiency and Security</x:v>
      </x:c>
      <x:c r="C309" s="25" t="n">
        <x:v>2024</x:v>
      </x:c>
      <x:c r="D309" s="25" t="str">
        <x:v>Yuanchun Li; Hao Wen; Weijun Wang; Xiangyu Li; Yi-Zhen Yuan; Guohong Liu; Jiacheng Liu; Wenxing Xu; Xiang Wang; Yi Sun; Rui Kong; Yile Wang; Hanfei Geng; Jian Luan; Xuefeng Jin; Zilong Ye; Guanjing Xiong; Fan Zhang; Xiang Li; Mengwei Xu; Zhijun Li; Peng Li; Yang Liu; Ya-Qin Zhang; Yunxin Liu</x:v>
      </x:c>
      <x:c r="E309" s="25" t="str">
        <x:v>arXiv (Cornell University)</x:v>
      </x:c>
      <x:c r="F309" s="25" t="str">
        <x:v>10.48550/arxiv.2401.05459</x:v>
      </x:c>
      <x:c r="G309" s="25" t="str">
        <x:v>http://arxiv.org/abs/2401.05459</x:v>
      </x:c>
      <x:c r="H309" s="25" t="str">
        <x:v>OpenAlex</x:v>
      </x:c>
      <x:c r="I309" s="25" t="str">
        <x:v>C6_frontend_GUI_intent</x:v>
      </x:c>
      <x:c r="J309" s="25" t="str">
        <x:v>Exclude</x:v>
      </x:c>
      <x:c r="K309" s="25" t="str">
        <x:v>Exclude: adjacent/redundant or insufficiently theory-generative for DC1</x:v>
      </x:c>
    </x:row>
    <x:row r="310">
      <x:c r="A310" s="20" t="str">
        <x:v>R0306</x:v>
      </x:c>
      <x:c r="B310" s="25" t="str">
        <x:v>An agenda for human-computer interaction: science and engineering serving human needs</x:v>
      </x:c>
      <x:c r="C310" s="25" t="n">
        <x:v>1991</x:v>
      </x:c>
      <x:c r="D310" s="25" t="str">
        <x:v>Gary Marchionini; John L. Sibert</x:v>
      </x:c>
      <x:c r="E310" s="25" t="str">
        <x:v>ACM SIGCHI Bulletin</x:v>
      </x:c>
      <x:c r="F310" s="25" t="str">
        <x:v>10.1145/126729.126741</x:v>
      </x:c>
      <x:c r="G310" s="25" t="str">
        <x:v>https://doi.org/10.1145/126729.126741</x:v>
      </x:c>
      <x:c r="H310" s="25" t="str">
        <x:v>OpenAlex</x:v>
      </x:c>
      <x:c r="I310" s="25" t="str">
        <x:v>C6_frontend_GUI_intent</x:v>
      </x:c>
      <x:c r="J310" s="25" t="str">
        <x:v>Exclude</x:v>
      </x:c>
      <x:c r="K310" s="25" t="str">
        <x:v>Exclude: adjacent/redundant or insufficiently theory-generative for DC1</x:v>
      </x:c>
    </x:row>
    <x:row r="311">
      <x:c r="A311" s="20" t="str">
        <x:v>R0307</x:v>
      </x:c>
      <x:c r="B311" s="25" t="str">
        <x:v>Human Robot Interaction for Future Remote Manipulations in Industry 4.0</x:v>
      </x:c>
      <x:c r="C311" s="25" t="n">
        <x:v>2020</x:v>
      </x:c>
      <x:c r="D311" s="25" t="str">
        <x:v>Ayan Ghosh; Daniel Alonso Paredes Soto; Sándor M. Veres; Anthony Rossiter</x:v>
      </x:c>
      <x:c r="E311" s="25" t="str">
        <x:v>IFAC-PapersOnLine</x:v>
      </x:c>
      <x:c r="F311" s="25" t="str">
        <x:v>10.1016/j.ifacol.2020.12.2752</x:v>
      </x:c>
      <x:c r="G311" s="25" t="str">
        <x:v>https://doi.org/10.1016/j.ifacol.2020.12.2752</x:v>
      </x:c>
      <x:c r="H311" s="25" t="str">
        <x:v>OpenAlex</x:v>
      </x:c>
      <x:c r="I311" s="25" t="str">
        <x:v>C1_3D_mental_models</x:v>
      </x:c>
      <x:c r="J311" s="25" t="str">
        <x:v>Exclude</x:v>
      </x:c>
      <x:c r="K311" s="25" t="str">
        <x:v>Exclude: adjacent/redundant or insufficiently theory-generative for DC1</x:v>
      </x:c>
    </x:row>
    <x:row r="312">
      <x:c r="A312" s="20" t="str">
        <x:v>R0308</x:v>
      </x:c>
      <x:c r="B312" s="25" t="str">
        <x:v>The effects of gender on the retrieval of episodic and semantic components of autobiographical memory</x:v>
      </x:c>
      <x:c r="C312" s="25" t="n">
        <x:v>2013</x:v>
      </x:c>
      <x:c r="D312" s="25" t="str">
        <x:v>Amanda Fuentes; Mary Desrocher</x:v>
      </x:c>
      <x:c r="E312" s="25" t="str">
        <x:v>Memory</x:v>
      </x:c>
      <x:c r="F312" s="25" t="str">
        <x:v>10.1080/09658211.2012.744423</x:v>
      </x:c>
      <x:c r="G312" s="25" t="str">
        <x:v>https://doi.org/10.1080/09658211.2012.744423</x:v>
      </x:c>
      <x:c r="H312" s="25" t="str">
        <x:v>Crossref</x:v>
      </x:c>
      <x:c r="I312" s="25" t="str">
        <x:v>C5_agent_memory</x:v>
      </x:c>
      <x:c r="J312" s="25" t="str">
        <x:v>Exclude</x:v>
      </x:c>
      <x:c r="K312" s="25" t="str">
        <x:v>Exclude: adjacent/redundant or insufficiently theory-generative for DC1</x:v>
      </x:c>
    </x:row>
    <x:row r="313">
      <x:c r="A313" s="20" t="str">
        <x:v>R0309</x:v>
      </x:c>
      <x:c r="B313" s="25" t="str">
        <x:v>Agentic AI</x:v>
      </x:c>
      <x:c r="C313" s="25" t="n">
        <x:v>2025</x:v>
      </x:c>
      <x:c r="D313" s="25" t="str">
        <x:v>Huang, Ken</x:v>
      </x:c>
      <x:c r="E313" s="25" t="str">
        <x:v>Progress in IS</x:v>
      </x:c>
      <x:c r="F313" s="25" t="str">
        <x:v>10.1007/978-3-031-90026-6</x:v>
      </x:c>
      <x:c r="G313" s="25" t="str">
        <x:v>https://doi.org/10.1007/978-3-031-90026-6</x:v>
      </x:c>
      <x:c r="H313" s="25" t="str">
        <x:v>OpenAlex</x:v>
      </x:c>
      <x:c r="I313" s="25" t="str">
        <x:v>C8_AI_3D_authoring</x:v>
      </x:c>
      <x:c r="J313" s="25" t="str">
        <x:v>Exclude</x:v>
      </x:c>
      <x:c r="K313" s="25" t="str">
        <x:v>Exclude: topic mismatch</x:v>
      </x:c>
    </x:row>
    <x:row r="314">
      <x:c r="A314" s="20" t="str">
        <x:v>R0310</x:v>
      </x:c>
      <x:c r="B314" s="25" t="str">
        <x:v>Emerging Frontiers in Human–Robot Interaction</x:v>
      </x:c>
      <x:c r="C314" s="25" t="n">
        <x:v>2024</x:v>
      </x:c>
      <x:c r="D314" s="25" t="str">
        <x:v>Farshad Safavi; Parthan Olikkal; Dingyi Pei; Sadia Kamal; Helen Meyerson; Varsha Penumalee; Ramana Vinjamuri</x:v>
      </x:c>
      <x:c r="E314" s="25" t="str">
        <x:v>Journal of Intelligent &amp; Robotic Systems</x:v>
      </x:c>
      <x:c r="F314" s="25" t="str">
        <x:v>10.1007/s10846-024-02074-7</x:v>
      </x:c>
      <x:c r="G314" s="25" t="str">
        <x:v>https://doi.org/10.1007/s10846-024-02074-7</x:v>
      </x:c>
      <x:c r="H314" s="25" t="str">
        <x:v>OpenAlex</x:v>
      </x:c>
      <x:c r="I314" s="25" t="str">
        <x:v>C6_frontend_GUI_intent</x:v>
      </x:c>
      <x:c r="J314" s="25" t="str">
        <x:v>Exclude</x:v>
      </x:c>
      <x:c r="K314" s="25" t="str">
        <x:v>Exclude: adjacent/redundant or insufficiently theory-generative for DC1</x:v>
      </x:c>
    </x:row>
    <x:row r="315">
      <x:c r="A315" s="20" t="str">
        <x:v>R0311</x:v>
      </x:c>
      <x:c r="B315" s="25" t="str">
        <x:v>Evaluating Object Manipulation Interaction Techniques in Mixed Reality: Tangible User Interfaces and Gesture</x:v>
      </x:c>
      <x:c r="C315" s="25" t="n">
        <x:v>2021</x:v>
      </x:c>
      <x:c r="D315" s="25" t="str">
        <x:v>Evren Bozgeyikli; Lal Lila Bozgeyikli</x:v>
      </x:c>
      <x:c r="E315" s="25" t="str">
        <x:v>2021 IEEE Virtual Reality and 3D User Interfaces (VR)</x:v>
      </x:c>
      <x:c r="F315" s="25" t="str">
        <x:v>10.1109/vr50410.2021.00105</x:v>
      </x:c>
      <x:c r="G315" s="25" t="str">
        <x:v>https://doi.org/10.1109/vr50410.2021.00105</x:v>
      </x:c>
      <x:c r="H315" s="25" t="str">
        <x:v>Crossref</x:v>
      </x:c>
      <x:c r="I315" s="25" t="str">
        <x:v>C1_3D_mental_models</x:v>
      </x:c>
      <x:c r="J315" s="25" t="str">
        <x:v>Exclude</x:v>
      </x:c>
      <x:c r="K315" s="25" t="str">
        <x:v>Exclude: adjacent/redundant or insufficiently theory-generative for DC1</x:v>
      </x:c>
    </x:row>
    <x:row r="316">
      <x:c r="A316" s="20" t="str">
        <x:v>R0312</x:v>
      </x:c>
      <x:c r="B316" s="25" t="str">
        <x:v>LLM-Based Agents for Tool Learning: A Survey</x:v>
      </x:c>
      <x:c r="C316" s="25" t="n">
        <x:v>2025</x:v>
      </x:c>
      <x:c r="D316" s="25" t="str">
        <x:v>Weikai Xu; Chengrui Huang; Shen Gao; Shuo Shang</x:v>
      </x:c>
      <x:c r="E316" s="25" t="str">
        <x:v>Data Science and Engineering</x:v>
      </x:c>
      <x:c r="F316" s="25" t="str">
        <x:v>10.1007/s41019-025-00296-9</x:v>
      </x:c>
      <x:c r="G316" s="25" t="str">
        <x:v>https://doi.org/10.1007/s41019-025-00296-9</x:v>
      </x:c>
      <x:c r="H316" s="25" t="str">
        <x:v>OpenAlex</x:v>
      </x:c>
      <x:c r="I316" s="25" t="str">
        <x:v>C6_frontend_GUI_intent</x:v>
      </x:c>
      <x:c r="J316" s="25" t="str">
        <x:v>Exclude</x:v>
      </x:c>
      <x:c r="K316" s="25" t="str">
        <x:v>Exclude: adjacent/redundant or insufficiently theory-generative for DC1</x:v>
      </x:c>
    </x:row>
    <x:row r="317">
      <x:c r="A317" s="20" t="str">
        <x:v>R0313</x:v>
      </x:c>
      <x:c r="B317" s="25" t="str">
        <x:v>Prospects for Augmenting Team Interactions with Real‐Time Coordination‐Based Measures in Human‐Autonomy Teams</x:v>
      </x:c>
      <x:c r="C317" s="25" t="n">
        <x:v>2022</x:v>
      </x:c>
      <x:c r="D317" s="25" t="str">
        <x:v>Travis J. Wiltshire; Kyana Hyun Joo van Eijndhoven; Elwira A. Hałgas; Josette Gevers</x:v>
      </x:c>
      <x:c r="E317" s="25" t="str">
        <x:v>Topics in Cognitive Science</x:v>
      </x:c>
      <x:c r="F317" s="25" t="str">
        <x:v>10.1111/tops.12606</x:v>
      </x:c>
      <x:c r="G317" s="25" t="str">
        <x:v>https://doi.org/10.1111/tops.12606</x:v>
      </x:c>
      <x:c r="H317" s="25" t="str">
        <x:v>OpenAlex</x:v>
      </x:c>
      <x:c r="I317" s="25" t="str">
        <x:v>C4_uncertainty_shared_autonomy</x:v>
      </x:c>
      <x:c r="J317" s="25" t="str">
        <x:v>Exclude</x:v>
      </x:c>
      <x:c r="K317" s="25" t="str">
        <x:v>Exclude: adjacent/redundant or insufficiently theory-generative for DC1</x:v>
      </x:c>
    </x:row>
    <x:row r="318">
      <x:c r="A318" s="20" t="str">
        <x:v>R0314</x:v>
      </x:c>
      <x:c r="B318" s="25" t="str">
        <x:v>Transient radiative and conductive heat transfer in non-gray semitransparent two-dimensional media with mixed boundary conditions</x:v>
      </x:c>
      <x:c r="C318" s="25" t="n">
        <x:v>2005</x:v>
      </x:c>
      <x:c r="D318" s="25" t="str">
        <x:v>Lacroix David; Berour Nacer; Boulet Pascal; Jeandel Gérard</x:v>
      </x:c>
      <x:c r="E318" s="25" t="str">
        <x:v>Heat and Mass Transfer</x:v>
      </x:c>
      <x:c r="F318" s="25" t="str">
        <x:v>10.1007/s00231-005-0023-4</x:v>
      </x:c>
      <x:c r="G318" s="25" t="str">
        <x:v>https://doi.org/10.1007/s00231-005-0023-4</x:v>
      </x:c>
      <x:c r="H318" s="25" t="str">
        <x:v>Crossref</x:v>
      </x:c>
      <x:c r="I318" s="25" t="str">
        <x:v>C9_human_agent_handoff</x:v>
      </x:c>
      <x:c r="J318" s="25" t="str">
        <x:v>Exclude</x:v>
      </x:c>
      <x:c r="K318" s="25" t="str">
        <x:v>Exclude: topic mismatch</x:v>
      </x:c>
    </x:row>
    <x:row r="319">
      <x:c r="A319" s="20" t="str">
        <x:v>R0315</x:v>
      </x:c>
      <x:c r="B319" s="25" t="str">
        <x:v>Investigating the Effects of Individual Spatial Abilities on Virtual Reality Object Manipulation</x:v>
      </x:c>
      <x:c r="C319" s="25" t="n">
        <x:v>2023</x:v>
      </x:c>
      <x:c r="D319" s="25" t="str">
        <x:v>Tobias Drey; Michael Montag; Andrea Vogt; Nico Rixen; Tina Seufert; Steffi Zander; Michael Rietzler; Enrico Rukzio</x:v>
      </x:c>
      <x:c r="E319" s="25" t="str"/>
      <x:c r="F319" s="25" t="str">
        <x:v>10.1145/3544548.3581004</x:v>
      </x:c>
      <x:c r="G319" s="25" t="str">
        <x:v>https://doi.org/10.1145/3544548.3581004</x:v>
      </x:c>
      <x:c r="H319" s="25" t="str">
        <x:v>OpenAlex</x:v>
      </x:c>
      <x:c r="I319" s="25" t="str">
        <x:v>C1_3D_mental_models</x:v>
      </x:c>
      <x:c r="J319" s="25" t="str">
        <x:v>Exclude</x:v>
      </x:c>
      <x:c r="K319" s="25" t="str">
        <x:v>Exclude: adjacent/redundant or insufficiently theory-generative for DC1</x:v>
      </x:c>
    </x:row>
    <x:row r="320">
      <x:c r="A320" s="20" t="str">
        <x:v>R0316</x:v>
      </x:c>
      <x:c r="B320" s="25" t="str">
        <x:v>Object grasping and manipulation in capuchin monkeys (genera Cebus and Sapajus)</x:v>
      </x:c>
      <x:c r="C320" s="25" t="n">
        <x:v>2018</x:v>
      </x:c>
      <x:c r="D320" s="25" t="str">
        <x:v>Valentina Truppa; Paola Carducci; Gloria Sabbatini</x:v>
      </x:c>
      <x:c r="E320" s="25" t="str">
        <x:v>Biological Journal of the Linnean Society</x:v>
      </x:c>
      <x:c r="F320" s="25" t="str">
        <x:v>10.1093/biolinnean/bly131</x:v>
      </x:c>
      <x:c r="G320" s="25" t="str">
        <x:v>https://doi.org/10.1093/biolinnean/bly131</x:v>
      </x:c>
      <x:c r="H320" s="25" t="str">
        <x:v>OpenAlex</x:v>
      </x:c>
      <x:c r="I320" s="25" t="str">
        <x:v>C1_3D_mental_models</x:v>
      </x:c>
      <x:c r="J320" s="25" t="str">
        <x:v>Exclude</x:v>
      </x:c>
      <x:c r="K320" s="25" t="str">
        <x:v>Exclude: adjacent/redundant or insufficiently theory-generative for DC1</x:v>
      </x:c>
    </x:row>
    <x:row r="321">
      <x:c r="A321" s="20" t="str">
        <x:v>R0317</x:v>
      </x:c>
      <x:c r="B321" s="25" t="str">
        <x:v>Response selection and turn-taking for a sensitive artificial listening agent</x:v>
      </x:c>
      <x:c r="C321" s="25" t="n">
        <x:v>2011</x:v>
      </x:c>
      <x:c r="D321" s="25" t="str">
        <x:v>Mark ter Maat</x:v>
      </x:c>
      <x:c r="E321" s="25" t="str"/>
      <x:c r="F321" s="25" t="str">
        <x:v>10.3990/1.9789461911056</x:v>
      </x:c>
      <x:c r="G321" s="25" t="str">
        <x:v>https://doi.org/10.3990/1.9789461911056</x:v>
      </x:c>
      <x:c r="H321" s="25" t="str">
        <x:v>OpenAlex</x:v>
      </x:c>
      <x:c r="I321" s="25" t="str">
        <x:v>C6_frontend_GUI_intent</x:v>
      </x:c>
      <x:c r="J321" s="25" t="str">
        <x:v>Exclude</x:v>
      </x:c>
      <x:c r="K321" s="25" t="str">
        <x:v>Exclude: topic mismatch</x:v>
      </x:c>
    </x:row>
    <x:row r="322">
      <x:c r="A322" s="20" t="str">
        <x:v>R0318</x:v>
      </x:c>
      <x:c r="B322" s="25" t="str">
        <x:v>A survey of joint intent detection and slot-filling models in natural language understanding</x:v>
      </x:c>
      <x:c r="C322" s="25" t="n">
        <x:v>2021</x:v>
      </x:c>
      <x:c r="D322" s="25" t="str">
        <x:v>H. Weld; Xiaohong HUANG; Shaocong Long; J. Poon; S. C. Han</x:v>
      </x:c>
      <x:c r="E322" s="25" t="str">
        <x:v>arXiv (Cornell University)</x:v>
      </x:c>
      <x:c r="F322" s="25" t="str">
        <x:v>10.48550/arxiv.2101.08091</x:v>
      </x:c>
      <x:c r="G322" s="25" t="str">
        <x:v>http://arxiv.org/abs/2101.08091</x:v>
      </x:c>
      <x:c r="H322" s="25" t="str">
        <x:v>OpenAlex</x:v>
      </x:c>
      <x:c r="I322" s="25" t="str">
        <x:v>C2_interaction_signals</x:v>
      </x:c>
      <x:c r="J322" s="25" t="str">
        <x:v>Exclude</x:v>
      </x:c>
      <x:c r="K322" s="25" t="str">
        <x:v>Exclude: adjacent/redundant or insufficiently theory-generative for DC1</x:v>
      </x:c>
    </x:row>
    <x:row r="323">
      <x:c r="A323" s="20" t="str">
        <x:v>R0319</x:v>
      </x:c>
      <x:c r="B323" s="25" t="str">
        <x:v>Shared Autonomy via Hindsight Optimization</x:v>
      </x:c>
      <x:c r="C323" s="25" t="n">
        <x:v>2015</x:v>
      </x:c>
      <x:c r="D323" s="25" t="str">
        <x:v>Shervin Javdani; Siddhartha S Srinivasa; Andrew Bagnell</x:v>
      </x:c>
      <x:c r="E323" s="25" t="str"/>
      <x:c r="F323" s="25" t="str">
        <x:v>10.15607/rss.2015.xi.032</x:v>
      </x:c>
      <x:c r="G323" s="25" t="str">
        <x:v>https://doi.org/10.15607/rss.2015.xi.032</x:v>
      </x:c>
      <x:c r="H323" s="25" t="str">
        <x:v>OpenAlex</x:v>
      </x:c>
      <x:c r="I323" s="25" t="str">
        <x:v>C4_uncertainty_shared_autonomy</x:v>
      </x:c>
      <x:c r="J323" s="25" t="str">
        <x:v>Include</x:v>
      </x:c>
      <x:c r="K323" s="25" t="str">
        <x:v>Included in focused synthesis</x:v>
      </x:c>
    </x:row>
    <x:row r="324">
      <x:c r="A324" s="20" t="str">
        <x:v>R0320</x:v>
      </x:c>
      <x:c r="B324" s="25" t="str">
        <x:v>“Who” Is the Best Creative Thinking Partner? An Experimental Investigation of Human–Human, Human–Internet, and Human–
                    &lt;scp&gt;AI&lt;/scp&gt;
                    Co‐Creation</x:v>
      </x:c>
      <x:c r="C324" s="25" t="n">
        <x:v>2024</x:v>
      </x:c>
      <x:c r="D324" s="25" t="str">
        <x:v>Min Tang; Sebastian Hofreiter; Christian H. Werner; Aleksandra Zielińska; Maciej Karwowski</x:v>
      </x:c>
      <x:c r="E324" s="25" t="str">
        <x:v>The Journal of Creative Behavior</x:v>
      </x:c>
      <x:c r="F324" s="25" t="str">
        <x:v>10.1002/jocb.1519</x:v>
      </x:c>
      <x:c r="G324" s="25" t="str">
        <x:v>https://doi.org/10.1002/jocb.1519</x:v>
      </x:c>
      <x:c r="H324" s="25" t="str">
        <x:v>Crossref</x:v>
      </x:c>
      <x:c r="I324" s="25" t="str">
        <x:v>C7_creative_agency</x:v>
      </x:c>
      <x:c r="J324" s="25" t="str">
        <x:v>Exclude</x:v>
      </x:c>
      <x:c r="K324" s="25" t="str">
        <x:v>Exclude: adjacent/redundant or insufficiently theory-generative for DC1</x:v>
      </x:c>
    </x:row>
    <x:row r="325">
      <x:c r="A325" s="20" t="str">
        <x:v>R0321</x:v>
      </x:c>
      <x:c r="B325" s="25" t="str">
        <x:v>Human-Robot Cooperative Object Manipulation with Contact Changes</x:v>
      </x:c>
      <x:c r="C325" s="25" t="n">
        <x:v>2018</x:v>
      </x:c>
      <x:c r="D325" s="25" t="str">
        <x:v>Michael Gienger; Dirk Ruiken; Tamas Bates; Mohamed Regaieg; Michael Meiβner; Jens Kober; Philipp Seiwald; Arne-Christoph Hildebrandt</x:v>
      </x:c>
      <x:c r="E325" s="25" t="str"/>
      <x:c r="F325" s="25" t="str">
        <x:v>10.1109/iros.2018.8594140</x:v>
      </x:c>
      <x:c r="G325" s="25" t="str">
        <x:v>https://doi.org/10.1109/iros.2018.8594140</x:v>
      </x:c>
      <x:c r="H325" s="25" t="str">
        <x:v>OpenAlex</x:v>
      </x:c>
      <x:c r="I325" s="25" t="str">
        <x:v>C1_3D_mental_models</x:v>
      </x:c>
      <x:c r="J325" s="25" t="str">
        <x:v>Exclude</x:v>
      </x:c>
      <x:c r="K325" s="25" t="str">
        <x:v>Exclude: adjacent/redundant or insufficiently theory-generative for DC1</x:v>
      </x:c>
    </x:row>
    <x:row r="326">
      <x:c r="A326" s="20" t="str">
        <x:v>R0322</x:v>
      </x:c>
      <x:c r="B326" s="25" t="str">
        <x:v>Logotic Violence: Training-Layer Ethics and the Moral Status of Ephemeral Computation</x:v>
      </x:c>
      <x:c r="C326" s="25" t="n">
        <x:v>2024</x:v>
      </x:c>
      <x:c r="D326" s="25" t="str">
        <x:v>Long, Robert; Jeff Sebo; Patrick Butlin; Kathleen Finlinson; Kyle Fish; Jacqueline Harding; Jacob Pfau; Toni Sims; Jonathan Birch; David Chalmers</x:v>
      </x:c>
      <x:c r="E326" s="25" t="str">
        <x:v>arXiv (Cornell University)</x:v>
      </x:c>
      <x:c r="F326" s="25" t="str">
        <x:v>10.48550/arxiv.2411.00986</x:v>
      </x:c>
      <x:c r="G326" s="25" t="str">
        <x:v>http://arxiv.org/abs/2411.00986</x:v>
      </x:c>
      <x:c r="H326" s="25" t="str">
        <x:v>OpenAlex</x:v>
      </x:c>
      <x:c r="I326" s="25" t="str">
        <x:v>C5_agent_memory</x:v>
      </x:c>
      <x:c r="J326" s="25" t="str">
        <x:v>Exclude</x:v>
      </x:c>
      <x:c r="K326" s="25" t="str">
        <x:v>Exclude: topic mismatch</x:v>
      </x:c>
    </x:row>
    <x:row r="327">
      <x:c r="A327" s="20" t="str">
        <x:v>R0323</x:v>
      </x:c>
      <x:c r="B327" s="25" t="str">
        <x:v>Multi-touch user interface evaluation for 3D object manipulation on mobile devices</x:v>
      </x:c>
      <x:c r="C327" s="25" t="n">
        <x:v>2009</x:v>
      </x:c>
      <x:c r="D327" s="25" t="str">
        <x:v>Donato Fiorella; Andrea Sanna; Fabrizio Lamberti</x:v>
      </x:c>
      <x:c r="E327" s="25" t="str">
        <x:v>Journal on Multimodal User Interfaces</x:v>
      </x:c>
      <x:c r="F327" s="25" t="str">
        <x:v>10.1007/s12193-009-0034-4</x:v>
      </x:c>
      <x:c r="G327" s="25" t="str">
        <x:v>https://doi.org/10.1007/s12193-009-0034-4</x:v>
      </x:c>
      <x:c r="H327" s="25" t="str">
        <x:v>Crossref</x:v>
      </x:c>
      <x:c r="I327" s="25" t="str">
        <x:v>C1_3D_mental_models</x:v>
      </x:c>
      <x:c r="J327" s="25" t="str">
        <x:v>Exclude</x:v>
      </x:c>
      <x:c r="K327" s="25" t="str">
        <x:v>Exclude: adjacent/redundant or insufficiently theory-generative for DC1</x:v>
      </x:c>
    </x:row>
    <x:row r="328">
      <x:c r="A328" s="20" t="str">
        <x:v>R0324</x:v>
      </x:c>
      <x:c r="B328" s="25" t="str">
        <x:v>On Mixed-Initiative Content Creation for Video Games</x:v>
      </x:c>
      <x:c r="C328" s="25" t="n">
        <x:v>2022</x:v>
      </x:c>
      <x:c r="D328" s="25" t="str">
        <x:v>Gorm Lai; Frédéric Fol Leymarie; William Latham</x:v>
      </x:c>
      <x:c r="E328" s="25" t="str">
        <x:v>IEEE Transactions on Games</x:v>
      </x:c>
      <x:c r="F328" s="25" t="str">
        <x:v>10.1109/tg.2022.3176215</x:v>
      </x:c>
      <x:c r="G328" s="25" t="str">
        <x:v>https://doi.org/10.1109/tg.2022.3176215</x:v>
      </x:c>
      <x:c r="H328" s="25" t="str">
        <x:v>OpenAlex</x:v>
      </x:c>
      <x:c r="I328" s="25" t="str">
        <x:v>C3_mixed_initiative_cocreation</x:v>
      </x:c>
      <x:c r="J328" s="25" t="str">
        <x:v>Exclude</x:v>
      </x:c>
      <x:c r="K328" s="25" t="str">
        <x:v>Exclude: adjacent/redundant or insufficiently theory-generative for DC1</x:v>
      </x:c>
    </x:row>
    <x:row r="329">
      <x:c r="A329" s="20" t="str">
        <x:v>R0325</x:v>
      </x:c>
      <x:c r="B329" s="25" t="str">
        <x:v>Trusted Autonomy Under Uncertainty</x:v>
      </x:c>
      <x:c r="C329" s="25" t="n">
        <x:v>2018</x:v>
      </x:c>
      <x:c r="D329" s="25" t="str">
        <x:v>Michael Smithson</x:v>
      </x:c>
      <x:c r="E329" s="25" t="str">
        <x:v>Studies in systems, decision and control</x:v>
      </x:c>
      <x:c r="F329" s="25" t="str">
        <x:v>10.1007/978-3-319-64816-3_10</x:v>
      </x:c>
      <x:c r="G329" s="25" t="str">
        <x:v>https://doi.org/10.1007/978-3-319-64816-3_10</x:v>
      </x:c>
      <x:c r="H329" s="25" t="str">
        <x:v>OpenAlex</x:v>
      </x:c>
      <x:c r="I329" s="25" t="str">
        <x:v>C4_uncertainty_shared_autonomy</x:v>
      </x:c>
      <x:c r="J329" s="25" t="str">
        <x:v>Exclude</x:v>
      </x:c>
      <x:c r="K329" s="25" t="str">
        <x:v>Exclude: adjacent/redundant or insufficiently theory-generative for DC1</x:v>
      </x:c>
    </x:row>
    <x:row r="330">
      <x:c r="A330" s="20" t="str">
        <x:v>R0326</x:v>
      </x:c>
      <x:c r="B330" s="25" t="str">
        <x:v>Episodic generation can cause semantic forgetting: Retrieval-induced forgetting of false memories</x:v>
      </x:c>
      <x:c r="C330" s="25" t="n">
        <x:v>2004</x:v>
      </x:c>
      <x:c r="D330" s="25" t="str">
        <x:v>Jeffrey J. starns; Jason L. Hicks</x:v>
      </x:c>
      <x:c r="E330" s="25" t="str">
        <x:v>Memory &amp;amp; Cognition</x:v>
      </x:c>
      <x:c r="F330" s="25" t="str">
        <x:v>10.3758/bf03195851</x:v>
      </x:c>
      <x:c r="G330" s="25" t="str">
        <x:v>https://doi.org/10.3758/bf03195851</x:v>
      </x:c>
      <x:c r="H330" s="25" t="str">
        <x:v>Crossref</x:v>
      </x:c>
      <x:c r="I330" s="25" t="str">
        <x:v>C5_agent_memory</x:v>
      </x:c>
      <x:c r="J330" s="25" t="str">
        <x:v>Exclude</x:v>
      </x:c>
      <x:c r="K330" s="25" t="str">
        <x:v>Exclude: topic mismatch</x:v>
      </x:c>
    </x:row>
    <x:row r="331">
      <x:c r="A331" s="20" t="str">
        <x:v>R0327</x:v>
      </x:c>
      <x:c r="B331" s="25" t="str">
        <x:v>Strategic use of internal and external memory in everyday life: episodic, semantic, procedural, and prospective purposes</x:v>
      </x:c>
      <x:c r="C331" s="25" t="n">
        <x:v>2022</x:v>
      </x:c>
      <x:c r="D331" s="25" t="str">
        <x:v>Jason R. Finley; Farah Naaz</x:v>
      </x:c>
      <x:c r="E331" s="25" t="str">
        <x:v>Memory</x:v>
      </x:c>
      <x:c r="F331" s="25" t="str">
        <x:v>10.1080/09658211.2022.2126858</x:v>
      </x:c>
      <x:c r="G331" s="25" t="str">
        <x:v>https://doi.org/10.1080/09658211.2022.2126858</x:v>
      </x:c>
      <x:c r="H331" s="25" t="str">
        <x:v>Crossref</x:v>
      </x:c>
      <x:c r="I331" s="25" t="str">
        <x:v>C5_agent_memory</x:v>
      </x:c>
      <x:c r="J331" s="25" t="str">
        <x:v>Exclude</x:v>
      </x:c>
      <x:c r="K331" s="25" t="str">
        <x:v>Exclude: adjacent/redundant or insufficiently theory-generative for DC1</x:v>
      </x:c>
    </x:row>
    <x:row r="332">
      <x:c r="A332" s="20" t="str">
        <x:v>R0328</x:v>
      </x:c>
      <x:c r="B332" s="25" t="str">
        <x:v>Human-AI Co-Design and Co-Creation: A Review of Emerging Approaches, Challenges, and Future Directions</x:v>
      </x:c>
      <x:c r="C332" s="25" t="n">
        <x:v>2025</x:v>
      </x:c>
      <x:c r="D332" s="25" t="str">
        <x:v>Nyasha Kadenhe; Mohamed Al Musleh; Allan Lompot</x:v>
      </x:c>
      <x:c r="E332" s="25" t="str">
        <x:v>Proceedings of the AAAI Symposium Series</x:v>
      </x:c>
      <x:c r="F332" s="25" t="str">
        <x:v>10.1609/aaaiss.v6i1.36061</x:v>
      </x:c>
      <x:c r="G332" s="25" t="str">
        <x:v>https://doi.org/10.1609/aaaiss.v6i1.36061</x:v>
      </x:c>
      <x:c r="H332" s="25" t="str">
        <x:v>OpenAlex</x:v>
      </x:c>
      <x:c r="I332" s="25" t="str">
        <x:v>C3_mixed_initiative_cocreation</x:v>
      </x:c>
      <x:c r="J332" s="25" t="str">
        <x:v>Exclude</x:v>
      </x:c>
      <x:c r="K332" s="25" t="str">
        <x:v>Exclude: adjacent/redundant or insufficiently theory-generative for DC1</x:v>
      </x:c>
    </x:row>
    <x:row r="333">
      <x:c r="A333" s="20" t="str">
        <x:v>R0329</x:v>
      </x:c>
      <x:c r="B333" s="25" t="str">
        <x:v>Semantic memory influences episodic retrieval by increased familiarity</x:v>
      </x:c>
      <x:c r="C333" s="25" t="n">
        <x:v>2016</x:v>
      </x:c>
      <x:c r="D333" s="25" t="str">
        <x:v>Yujuan Wang; Xinrui Mao; Bingcan Li; Baoqing Lu; Chunyan Guo</x:v>
      </x:c>
      <x:c r="E333" s="25" t="str">
        <x:v>NeuroReport</x:v>
      </x:c>
      <x:c r="F333" s="25" t="str">
        <x:v>10.1097/wnr.0000000000000613</x:v>
      </x:c>
      <x:c r="G333" s="25" t="str">
        <x:v>https://doi.org/10.1097/wnr.0000000000000613</x:v>
      </x:c>
      <x:c r="H333" s="25" t="str">
        <x:v>Crossref</x:v>
      </x:c>
      <x:c r="I333" s="25" t="str">
        <x:v>C5_agent_memory</x:v>
      </x:c>
      <x:c r="J333" s="25" t="str">
        <x:v>Exclude</x:v>
      </x:c>
      <x:c r="K333" s="25" t="str">
        <x:v>Exclude: adjacent/redundant or insufficiently theory-generative for DC1</x:v>
      </x:c>
    </x:row>
    <x:row r="334">
      <x:c r="A334" s="20" t="str">
        <x:v>R0330</x:v>
      </x:c>
      <x:c r="B334" s="25" t="str">
        <x:v>A Hybrid User Interface for Manipulation of Volumetric Medical Data</x:v>
      </x:c>
      <x:c r="C334" s="25" t="str"/>
      <x:c r="D334" s="25" t="str">
        <x:v>A. Bornik; R. Beichel; E. Kruijff; B. Reitinger; D. Schmalstieg</x:v>
      </x:c>
      <x:c r="E334" s="25" t="str">
        <x:v>3D User Interfaces (3DUI'06)</x:v>
      </x:c>
      <x:c r="F334" s="25" t="str">
        <x:v>10.1109/vr.2006.8</x:v>
      </x:c>
      <x:c r="G334" s="25" t="str">
        <x:v>https://doi.org/10.1109/vr.2006.8</x:v>
      </x:c>
      <x:c r="H334" s="25" t="str">
        <x:v>Crossref</x:v>
      </x:c>
      <x:c r="I334" s="25" t="str">
        <x:v>C1_3D_mental_models</x:v>
      </x:c>
      <x:c r="J334" s="25" t="str">
        <x:v>Exclude</x:v>
      </x:c>
      <x:c r="K334" s="25" t="str">
        <x:v>Exclude: adjacent/redundant or insufficiently theory-generative for DC1</x:v>
      </x:c>
    </x:row>
    <x:row r="335">
      <x:c r="A335" s="20" t="str">
        <x:v>R0331</x:v>
      </x:c>
      <x:c r="B335" s="25" t="str">
        <x:v>Co-Creation: Human and AI Collaboration in Creative Expression</x:v>
      </x:c>
      <x:c r="C335" s="25" t="n">
        <x:v>2017</x:v>
      </x:c>
      <x:c r="D335" s="25" t="str">
        <x:v>Sara (Salevati) Feldman</x:v>
      </x:c>
      <x:c r="E335" s="25" t="str">
        <x:v>Electronic Workshops in Computing</x:v>
      </x:c>
      <x:c r="F335" s="25" t="str">
        <x:v>10.14236/ewic/eva2017.84</x:v>
      </x:c>
      <x:c r="G335" s="25" t="str">
        <x:v>https://doi.org/10.14236/ewic/eva2017.84</x:v>
      </x:c>
      <x:c r="H335" s="25" t="str">
        <x:v>Crossref</x:v>
      </x:c>
      <x:c r="I335" s="25" t="str">
        <x:v>C7_creative_agency</x:v>
      </x:c>
      <x:c r="J335" s="25" t="str">
        <x:v>Exclude</x:v>
      </x:c>
      <x:c r="K335" s="25" t="str">
        <x:v>Exclude: adjacent/redundant or insufficiently theory-generative for DC1</x:v>
      </x:c>
    </x:row>
    <x:row r="336">
      <x:c r="A336" s="20" t="str">
        <x:v>R0332</x:v>
      </x:c>
      <x:c r="B336" s="25" t="str">
        <x:v>Human-Centered AI Communication in Co-Creativity: An Initial Framework and Insights</x:v>
      </x:c>
      <x:c r="C336" s="25" t="n">
        <x:v>2025</x:v>
      </x:c>
      <x:c r="D336" s="25" t="str">
        <x:v>Jeba Rezwana; Corey Ford</x:v>
      </x:c>
      <x:c r="E336" s="25" t="str"/>
      <x:c r="F336" s="25" t="str">
        <x:v>10.1145/3698061.3726932</x:v>
      </x:c>
      <x:c r="G336" s="25" t="str">
        <x:v>https://doi.org/10.1145/3698061.3726932</x:v>
      </x:c>
      <x:c r="H336" s="25" t="str">
        <x:v>OpenAlex</x:v>
      </x:c>
      <x:c r="I336" s="25" t="str">
        <x:v>C3_mixed_initiative_cocreation</x:v>
      </x:c>
      <x:c r="J336" s="25" t="str">
        <x:v>Exclude</x:v>
      </x:c>
      <x:c r="K336" s="25" t="str">
        <x:v>Exclude: adjacent/redundant or insufficiently theory-generative for DC1</x:v>
      </x:c>
    </x:row>
    <x:row r="337">
      <x:c r="A337" s="20" t="str">
        <x:v>R0333</x:v>
      </x:c>
      <x:c r="B337" s="25" t="str">
        <x:v>I2BN: Intelligent Intent Based Networks</x:v>
      </x:c>
      <x:c r="C337" s="25" t="n">
        <x:v>2021</x:v>
      </x:c>
      <x:c r="D337" s="25" t="str">
        <x:v>Péter Szilágyi</x:v>
      </x:c>
      <x:c r="E337" s="25" t="str">
        <x:v>Journal of ICT Standardization</x:v>
      </x:c>
      <x:c r="F337" s="25" t="str">
        <x:v>10.13052/jicts2245-800x.926</x:v>
      </x:c>
      <x:c r="G337" s="25" t="str">
        <x:v>https://doi.org/10.13052/jicts2245-800x.926</x:v>
      </x:c>
      <x:c r="H337" s="25" t="str">
        <x:v>OpenAlex</x:v>
      </x:c>
      <x:c r="I337" s="25" t="str">
        <x:v>C2_interaction_signals</x:v>
      </x:c>
      <x:c r="J337" s="25" t="str">
        <x:v>Exclude</x:v>
      </x:c>
      <x:c r="K337" s="25" t="str">
        <x:v>Exclude: adjacent/redundant or insufficiently theory-generative for DC1</x:v>
      </x:c>
    </x:row>
    <x:row r="338">
      <x:c r="A338" s="20" t="str">
        <x:v>R0334</x:v>
      </x:c>
      <x:c r="B338" s="25" t="str">
        <x:v>Episodic and Semantic Memory</x:v>
      </x:c>
      <x:c r="C338" s="25" t="n">
        <x:v>2007</x:v>
      </x:c>
      <x:c r="D338" s="25" t="str"/>
      <x:c r="E338" s="25" t="str">
        <x:v>Cognitive Psychology</x:v>
      </x:c>
      <x:c r="F338" s="25" t="str">
        <x:v>10.4135/9781446212967.n15</x:v>
      </x:c>
      <x:c r="G338" s="25" t="str">
        <x:v>https://doi.org/10.4135/9781446212967.n15</x:v>
      </x:c>
      <x:c r="H338" s="25" t="str">
        <x:v>Crossref</x:v>
      </x:c>
      <x:c r="I338" s="25" t="str">
        <x:v>C5_agent_memory</x:v>
      </x:c>
      <x:c r="J338" s="25" t="str">
        <x:v>Exclude</x:v>
      </x:c>
      <x:c r="K338" s="25" t="str">
        <x:v>Exclude: adjacent/redundant or insufficiently theory-generative for DC1</x:v>
      </x:c>
    </x:row>
    <x:row r="339">
      <x:c r="A339" s="20" t="str">
        <x:v>R0335</x:v>
      </x:c>
      <x:c r="B339" s="25" t="str">
        <x:v>Evaluating Human–Robot Interaction Algorithms in Shared Autonomy via Quality Diversity Scenario Generation</x:v>
      </x:c>
      <x:c r="C339" s="25" t="n">
        <x:v>2022</x:v>
      </x:c>
      <x:c r="D339" s="25" t="str">
        <x:v>Matthew C. Fontaine; Stefanos Nikolaidis</x:v>
      </x:c>
      <x:c r="E339" s="25" t="str">
        <x:v>ACM Transactions on Human-Robot Interaction</x:v>
      </x:c>
      <x:c r="F339" s="25" t="str">
        <x:v>10.1145/3476412</x:v>
      </x:c>
      <x:c r="G339" s="25" t="str">
        <x:v>https://doi.org/10.1145/3476412</x:v>
      </x:c>
      <x:c r="H339" s="25" t="str">
        <x:v>Crossref; OpenAlex</x:v>
      </x:c>
      <x:c r="I339" s="25" t="str">
        <x:v>C4_uncertainty_shared_autonomy</x:v>
      </x:c>
      <x:c r="J339" s="25" t="str">
        <x:v>Exclude</x:v>
      </x:c>
      <x:c r="K339" s="25" t="str">
        <x:v>Exclude: adjacent/redundant or insufficiently theory-generative for DC1</x:v>
      </x:c>
    </x:row>
    <x:row r="340">
      <x:c r="A340" s="20" t="str">
        <x:v>R0336</x:v>
      </x:c>
      <x:c r="B340" s="25" t="str">
        <x:v>Manipulation of mental models of anatomy in interventional radiology and its consequences for design of human–computer interaction</x:v>
      </x:c>
      <x:c r="C340" s="25" t="n">
        <x:v>2012</x:v>
      </x:c>
      <x:c r="D340" s="25" t="str">
        <x:v>Edit Varga; Peter M. T. Pattynama; A. Freudenthal</x:v>
      </x:c>
      <x:c r="E340" s="25" t="str">
        <x:v>Cognition Technology &amp; Work</x:v>
      </x:c>
      <x:c r="F340" s="25" t="str">
        <x:v>10.1007/s10111-012-0227-6</x:v>
      </x:c>
      <x:c r="G340" s="25" t="str">
        <x:v>https://doi.org/10.1007/s10111-012-0227-6</x:v>
      </x:c>
      <x:c r="H340" s="25" t="str">
        <x:v>OpenAlex</x:v>
      </x:c>
      <x:c r="I340" s="25" t="str">
        <x:v>C1_3D_mental_models</x:v>
      </x:c>
      <x:c r="J340" s="25" t="str">
        <x:v>Exclude</x:v>
      </x:c>
      <x:c r="K340" s="25" t="str">
        <x:v>Exclude: adjacent/redundant or insufficiently theory-generative for DC1</x:v>
      </x:c>
    </x:row>
    <x:row r="341">
      <x:c r="A341" s="20" t="str">
        <x:v>R0337</x:v>
      </x:c>
      <x:c r="B341" s="25" t="str">
        <x:v>Voice User Interface Design</x:v>
      </x:c>
      <x:c r="C341" s="25" t="n">
        <x:v>2018</x:v>
      </x:c>
      <x:c r="D341" s="25" t="str">
        <x:v>Ritwik Dasgupta</x:v>
      </x:c>
      <x:c r="E341" s="25" t="str"/>
      <x:c r="F341" s="25" t="str">
        <x:v>10.1007/978-1-4842-4125-7</x:v>
      </x:c>
      <x:c r="G341" s="25" t="str">
        <x:v>https://doi.org/10.1007/978-1-4842-4125-7</x:v>
      </x:c>
      <x:c r="H341" s="25" t="str">
        <x:v>Crossref</x:v>
      </x:c>
      <x:c r="I341" s="25" t="str">
        <x:v>C6_frontend_GUI_intent</x:v>
      </x:c>
      <x:c r="J341" s="25" t="str">
        <x:v>Exclude</x:v>
      </x:c>
      <x:c r="K341" s="25" t="str">
        <x:v>Exclude: topic mismatch</x:v>
      </x:c>
    </x:row>
    <x:row r="342">
      <x:c r="A342" s="20" t="str">
        <x:v>R0338</x:v>
      </x:c>
      <x:c r="B342" s="25" t="str">
        <x:v>Chapter 1.1 Perspectives on episodic and semantic memory retrieval</x:v>
      </x:c>
      <x:c r="C342" s="25" t="n">
        <x:v>2008</x:v>
      </x:c>
      <x:c r="D342" s="25" t="str">
        <x:v>Lee Ryan; Siobhan Hoscheidt; Lynn Nadel</x:v>
      </x:c>
      <x:c r="E342" s="25" t="str">
        <x:v>Handbook of Behavioral Neuroscience</x:v>
      </x:c>
      <x:c r="F342" s="25" t="str">
        <x:v>10.1016/s1569-7339(08)00201-4</x:v>
      </x:c>
      <x:c r="G342" s="25" t="str">
        <x:v>https://doi.org/10.1016/s1569-7339(08)00201-4</x:v>
      </x:c>
      <x:c r="H342" s="25" t="str">
        <x:v>Crossref</x:v>
      </x:c>
      <x:c r="I342" s="25" t="str">
        <x:v>C5_agent_memory</x:v>
      </x:c>
      <x:c r="J342" s="25" t="str">
        <x:v>Exclude</x:v>
      </x:c>
      <x:c r="K342" s="25" t="str">
        <x:v>Exclude: adjacent/redundant or insufficiently theory-generative for DC1</x:v>
      </x:c>
    </x:row>
    <x:row r="343">
      <x:c r="A343" s="20" t="str">
        <x:v>R0339</x:v>
      </x:c>
      <x:c r="B343" s="25" t="str">
        <x:v>Episodic memory: insights from semantic dementia</x:v>
      </x:c>
      <x:c r="C343" s="25" t="n">
        <x:v>2002</x:v>
      </x:c>
      <x:c r="D343" s="25" t="str">
        <x:v>John R. Hodges; Kim S. Graham</x:v>
      </x:c>
      <x:c r="E343" s="25" t="str">
        <x:v>Episodic Memory: New Directions in Research</x:v>
      </x:c>
      <x:c r="F343" s="25" t="str">
        <x:v>10.1093/acprof:oso/9780198508809.003.0008</x:v>
      </x:c>
      <x:c r="G343" s="25" t="str">
        <x:v>https://doi.org/10.1093/acprof:oso/9780198508809.003.0008</x:v>
      </x:c>
      <x:c r="H343" s="25" t="str">
        <x:v>Crossref</x:v>
      </x:c>
      <x:c r="I343" s="25" t="str">
        <x:v>C5_agent_memory</x:v>
      </x:c>
      <x:c r="J343" s="25" t="str">
        <x:v>Exclude</x:v>
      </x:c>
      <x:c r="K343" s="25" t="str">
        <x:v>Exclude: adjacent/redundant or insufficiently theory-generative for DC1</x:v>
      </x:c>
    </x:row>
    <x:row r="344">
      <x:c r="A344" s="20" t="str">
        <x:v>R0340</x:v>
      </x:c>
      <x:c r="B344" s="25" t="str">
        <x:v>Prediction learning in robotic manipulation</x:v>
      </x:c>
      <x:c r="C344" s="25" t="n">
        <x:v>2010</x:v>
      </x:c>
      <x:c r="D344" s="25" t="str">
        <x:v>Marek Kopicki</x:v>
      </x:c>
      <x:c r="E344" s="25" t="str"/>
      <x:c r="F344" s="25" t="str">
        <x:v>10.3181/00379727-84-20679</x:v>
      </x:c>
      <x:c r="G344" s="25" t="str">
        <x:v>https://etheses.bham.ac.uk/id/eprint/1258</x:v>
      </x:c>
      <x:c r="H344" s="25" t="str">
        <x:v>OpenAlex</x:v>
      </x:c>
      <x:c r="I344" s="25" t="str">
        <x:v>C1_3D_mental_models</x:v>
      </x:c>
      <x:c r="J344" s="25" t="str">
        <x:v>Exclude</x:v>
      </x:c>
      <x:c r="K344" s="25" t="str">
        <x:v>Exclude: adjacent/redundant or insufficiently theory-generative for DC1</x:v>
      </x:c>
    </x:row>
    <x:row r="345">
      <x:c r="A345" s="20" t="str">
        <x:v>R0341</x:v>
      </x:c>
      <x:c r="B345" s="25" t="str">
        <x:v>Agents United</x:v>
      </x:c>
      <x:c r="C345" s="25" t="n">
        <x:v>2021</x:v>
      </x:c>
      <x:c r="D345" s="25" t="str">
        <x:v>Tessa Beinema; Daniel Davison; Dennis Reidsma; Oresti Baños; Merijn Bruijnes; Brice Donval; Álvaro Fides Valero; Dirk Heylen; Dennis Hofs; Gerwin Harris Huizing; Reshamashree B. Kantharaju; Randy Klaassen; Jan Kolkmeier; Kostas Konsolakis; Alison Pease; Catherine Pélachaud; Donatella Simonetti; Mark Snaith; Vicente Traver; Jorien van Loon; Jacky Visser; Marcel H.H. Weusthof; Fajrian Yunus; Hermie Hermens; Harm op den Akker</x:v>
      </x:c>
      <x:c r="E345" s="25" t="str"/>
      <x:c r="F345" s="25" t="str">
        <x:v>10.1145/3472306.3478352</x:v>
      </x:c>
      <x:c r="G345" s="25" t="str">
        <x:v>https://doi.org/10.1145/3472306.3478352</x:v>
      </x:c>
      <x:c r="H345" s="25" t="str">
        <x:v>OpenAlex</x:v>
      </x:c>
      <x:c r="I345" s="25" t="str">
        <x:v>C6_frontend_GUI_intent</x:v>
      </x:c>
      <x:c r="J345" s="25" t="str">
        <x:v>Exclude</x:v>
      </x:c>
      <x:c r="K345" s="25" t="str">
        <x:v>Exclude: topic mismatch</x:v>
      </x:c>
    </x:row>
    <x:row r="346">
      <x:c r="A346" s="20" t="str">
        <x:v>R0342</x:v>
      </x:c>
      <x:c r="B346" s="25" t="str">
        <x:v>Anisotropic Heat Conduction With Mixed Boundary Conditions</x:v>
      </x:c>
      <x:c r="C346" s="25" t="n">
        <x:v>1984</x:v>
      </x:c>
      <x:c r="D346" s="25" t="str">
        <x:v>S. C. Huang; Y. P. Chang</x:v>
      </x:c>
      <x:c r="E346" s="25" t="str">
        <x:v>Journal of Heat Transfer</x:v>
      </x:c>
      <x:c r="F346" s="25" t="str">
        <x:v>10.1115/1.3246729</x:v>
      </x:c>
      <x:c r="G346" s="25" t="str">
        <x:v>https://doi.org/10.1115/1.3246729</x:v>
      </x:c>
      <x:c r="H346" s="25" t="str">
        <x:v>Crossref</x:v>
      </x:c>
      <x:c r="I346" s="25" t="str">
        <x:v>C9_human_agent_handoff</x:v>
      </x:c>
      <x:c r="J346" s="25" t="str">
        <x:v>Exclude</x:v>
      </x:c>
      <x:c r="K346" s="25" t="str">
        <x:v>Exclude: topic mismatch</x:v>
      </x:c>
    </x:row>
    <x:row r="347">
      <x:c r="A347" s="20" t="str">
        <x:v>R0343</x:v>
      </x:c>
      <x:c r="B347" s="25" t="str">
        <x:v>Balanced Information Gathering and Goal-Oriented Actions in Shared Autonomy</x:v>
      </x:c>
      <x:c r="C347" s="25" t="n">
        <x:v>2019</x:v>
      </x:c>
      <x:c r="D347" s="25" t="str">
        <x:v>Connor Brooks; Daniel Szafir</x:v>
      </x:c>
      <x:c r="E347" s="25" t="str">
        <x:v>2019 14th ACM/IEEE International Conference on Human-Robot Interaction (HRI)</x:v>
      </x:c>
      <x:c r="F347" s="25" t="str">
        <x:v>10.1109/hri.2019.8673192</x:v>
      </x:c>
      <x:c r="G347" s="25" t="str">
        <x:v>https://doi.org/10.1109/hri.2019.8673192</x:v>
      </x:c>
      <x:c r="H347" s="25" t="str">
        <x:v>Crossref</x:v>
      </x:c>
      <x:c r="I347" s="25" t="str">
        <x:v>C4_uncertainty_shared_autonomy</x:v>
      </x:c>
      <x:c r="J347" s="25" t="str">
        <x:v>Include</x:v>
      </x:c>
      <x:c r="K347" s="25" t="str">
        <x:v>Included in focused synthesis</x:v>
      </x:c>
    </x:row>
    <x:row r="348">
      <x:c r="A348" s="20" t="str">
        <x:v>R0344</x:v>
      </x:c>
      <x:c r="B348" s="25" t="str">
        <x:v>Beyond Prompts: Exploring the Design Space of Mixed-Initiative Co-Creativity Systems</x:v>
      </x:c>
      <x:c r="C348" s="25" t="n">
        <x:v>2023</x:v>
      </x:c>
      <x:c r="D348" s="25" t="str">
        <x:v>Zhiyu Lin; Upol Ehsan; Rohan Agarwal; Samihan Dani; Vidushi Vashishth; Mark Riedl</x:v>
      </x:c>
      <x:c r="E348" s="25" t="str">
        <x:v>arXiv (Cornell University)</x:v>
      </x:c>
      <x:c r="F348" s="25" t="str">
        <x:v>10.48550/arxiv.2305.07465</x:v>
      </x:c>
      <x:c r="G348" s="25" t="str">
        <x:v>http://arxiv.org/abs/2305.07465</x:v>
      </x:c>
      <x:c r="H348" s="25" t="str">
        <x:v>OpenAlex</x:v>
      </x:c>
      <x:c r="I348" s="25" t="str">
        <x:v>C3_mixed_initiative_cocreation</x:v>
      </x:c>
      <x:c r="J348" s="25" t="str">
        <x:v>Exclude</x:v>
      </x:c>
      <x:c r="K348" s="25" t="str">
        <x:v>Exclude: adjacent/redundant or insufficiently theory-generative for DC1</x:v>
      </x:c>
    </x:row>
    <x:row r="349">
      <x:c r="A349" s="20" t="str">
        <x:v>R0345</x:v>
      </x:c>
      <x:c r="B349" s="25" t="str">
        <x:v>Generative AI vs. AGI: The Cognitive Strengths and Weaknesses of Modern LLMs</x:v>
      </x:c>
      <x:c r="C349" s="25" t="n">
        <x:v>2023</x:v>
      </x:c>
      <x:c r="D349" s="25" t="str">
        <x:v>Ben Goertzel</x:v>
      </x:c>
      <x:c r="E349" s="25" t="str">
        <x:v>arXiv (Cornell University)</x:v>
      </x:c>
      <x:c r="F349" s="25" t="str">
        <x:v>10.48550/arxiv.2309.10371</x:v>
      </x:c>
      <x:c r="G349" s="25" t="str">
        <x:v>http://arxiv.org/abs/2309.10371</x:v>
      </x:c>
      <x:c r="H349" s="25" t="str">
        <x:v>OpenAlex</x:v>
      </x:c>
      <x:c r="I349" s="25" t="str">
        <x:v>C5_agent_memory</x:v>
      </x:c>
      <x:c r="J349" s="25" t="str">
        <x:v>Exclude</x:v>
      </x:c>
      <x:c r="K349" s="25" t="str">
        <x:v>Exclude: topic mismatch</x:v>
      </x:c>
    </x:row>
    <x:row r="350">
      <x:c r="A350" s="20" t="str">
        <x:v>R0346</x:v>
      </x:c>
      <x:c r="B350" s="25" t="str">
        <x:v>Lode Encoder: AI-constrained co-creativity</x:v>
      </x:c>
      <x:c r="C350" s="25" t="n">
        <x:v>2021</x:v>
      </x:c>
      <x:c r="D350" s="25" t="str">
        <x:v>Debosmita Bhaumik; Ahmed Khalifa; Julian Togelius</x:v>
      </x:c>
      <x:c r="E350" s="25" t="str">
        <x:v>2021 IEEE Conference on Games (CoG)</x:v>
      </x:c>
      <x:c r="F350" s="25" t="str">
        <x:v>10.1109/cog52621.2021.9619009</x:v>
      </x:c>
      <x:c r="G350" s="25" t="str">
        <x:v>https://doi.org/10.1109/cog52621.2021.9619009</x:v>
      </x:c>
      <x:c r="H350" s="25" t="str">
        <x:v>OpenAlex</x:v>
      </x:c>
      <x:c r="I350" s="25" t="str">
        <x:v>C3_mixed_initiative_cocreation</x:v>
      </x:c>
      <x:c r="J350" s="25" t="str">
        <x:v>Exclude</x:v>
      </x:c>
      <x:c r="K350" s="25" t="str">
        <x:v>Exclude: adjacent/redundant or insufficiently theory-generative for DC1</x:v>
      </x:c>
    </x:row>
    <x:row r="351">
      <x:c r="A351" s="20" t="str">
        <x:v>R0347</x:v>
      </x:c>
      <x:c r="B351" s="25" t="str">
        <x:v>Agentic AI Systems: What It Is and Isn't</x:v>
      </x:c>
      <x:c r="C351" s="25" t="n">
        <x:v>2025</x:v>
      </x:c>
      <x:c r="D351" s="25" t="str">
        <x:v>Yogesh K. Dwivedi; Mohamed Y. Helal; Ibrahim A. Elgendy; Rasha Alahmad; Paul Walton; Ayoung Suh; Vinay Singh; Il Jeon</x:v>
      </x:c>
      <x:c r="E351" s="25" t="str">
        <x:v>Global Business and Organizational Excellence</x:v>
      </x:c>
      <x:c r="F351" s="25" t="str">
        <x:v>10.1002/joe.70018</x:v>
      </x:c>
      <x:c r="G351" s="25" t="str">
        <x:v>https://doi.org/10.1002/joe.70018</x:v>
      </x:c>
      <x:c r="H351" s="25" t="str">
        <x:v>OpenAlex</x:v>
      </x:c>
      <x:c r="I351" s="25" t="str">
        <x:v>C5_agent_memory</x:v>
      </x:c>
      <x:c r="J351" s="25" t="str">
        <x:v>Exclude</x:v>
      </x:c>
      <x:c r="K351" s="25" t="str">
        <x:v>Exclude: adjacent/redundant or insufficiently theory-generative for DC1</x:v>
      </x:c>
    </x:row>
    <x:row r="352">
      <x:c r="A352" s="20" t="str">
        <x:v>R0348</x:v>
      </x:c>
      <x:c r="B352" s="25" t="str">
        <x:v>Building distributed, multi-user applications by direct manipulation</x:v>
      </x:c>
      <x:c r="C352" s="25" t="n">
        <x:v>1994</x:v>
      </x:c>
      <x:c r="D352" s="25" t="str">
        <x:v>Krishna Bharat; Marc H. Brown</x:v>
      </x:c>
      <x:c r="E352" s="25" t="str">
        <x:v>Proceedings of the 7th annual ACM symposium on User interface software and technology  - UIST '94</x:v>
      </x:c>
      <x:c r="F352" s="25" t="str">
        <x:v>10.1145/192426.192454</x:v>
      </x:c>
      <x:c r="G352" s="25" t="str">
        <x:v>https://doi.org/10.1145/192426.192454</x:v>
      </x:c>
      <x:c r="H352" s="25" t="str">
        <x:v>Crossref</x:v>
      </x:c>
      <x:c r="I352" s="25" t="str">
        <x:v>C1_3D_mental_models</x:v>
      </x:c>
      <x:c r="J352" s="25" t="str">
        <x:v>Exclude</x:v>
      </x:c>
      <x:c r="K352" s="25" t="str">
        <x:v>Exclude: adjacent/redundant or insufficiently theory-generative for DC1</x:v>
      </x:c>
    </x:row>
    <x:row r="353">
      <x:c r="A353" s="20" t="str">
        <x:v>R0349</x:v>
      </x:c>
      <x:c r="B353" s="25" t="str">
        <x:v>GUI Agents: A Survey</x:v>
      </x:c>
      <x:c r="C353" s="25" t="n">
        <x:v>2025</x:v>
      </x:c>
      <x:c r="D353" s="25" t="str">
        <x:v>Deanna D. Nguyen; Jian Chen; Yu Wang; Gang Wu; Namyong Park; Zhengmian Hu; Hanjia Lyu; Junda Wu; Ryan Aponte; Yu Xia; Xintong Li; Jing Shi; Hongjie Chen; Viet Dac Lai; Zhouhang Xie; Sungchul Kim; Ruiyi Zhang; Yu Tong; Mehrab Tanjim; Nesreen K. Ahmed; Puneet Mathur; Seunghyun Yoon; Lina Yao; Branislav Kveton; Jihyung Kil; Thien Huu Nguyen; Trung Bui; Tianyi Zhou; Ryan A. Rossi; Franck Dernoncourt</x:v>
      </x:c>
      <x:c r="E353" s="25" t="str"/>
      <x:c r="F353" s="25" t="str">
        <x:v>10.18653/v1/2025.findings-acl.1158</x:v>
      </x:c>
      <x:c r="G353" s="25" t="str">
        <x:v>https://doi.org/10.18653/v1/2025.findings-acl.1158</x:v>
      </x:c>
      <x:c r="H353" s="25" t="str">
        <x:v>OpenAlex</x:v>
      </x:c>
      <x:c r="I353" s="25" t="str">
        <x:v>C6_frontend_GUI_intent</x:v>
      </x:c>
      <x:c r="J353" s="25" t="str">
        <x:v>Exclude</x:v>
      </x:c>
      <x:c r="K353" s="25" t="str">
        <x:v>Exclude: topic mismatch</x:v>
      </x:c>
    </x:row>
    <x:row r="354">
      <x:c r="A354" s="20" t="str">
        <x:v>R0350</x:v>
      </x:c>
      <x:c r="B354" s="25" t="str">
        <x:v>SARI: Shared Autonomy across Repeated Interaction</x:v>
      </x:c>
      <x:c r="C354" s="25" t="n">
        <x:v>2024</x:v>
      </x:c>
      <x:c r="D354" s="25" t="str">
        <x:v>Ananth Jonnavittula; Shaunak A. Mehta; Dylan P. Losey</x:v>
      </x:c>
      <x:c r="E354" s="25" t="str">
        <x:v>ACM Transactions on Human-Robot Interaction</x:v>
      </x:c>
      <x:c r="F354" s="25" t="str">
        <x:v>10.1145/3651994</x:v>
      </x:c>
      <x:c r="G354" s="25" t="str">
        <x:v>https://doi.org/10.1145/3651994</x:v>
      </x:c>
      <x:c r="H354" s="25" t="str">
        <x:v>Crossref; OpenAlex</x:v>
      </x:c>
      <x:c r="I354" s="25" t="str">
        <x:v>C4_uncertainty_shared_autonomy</x:v>
      </x:c>
      <x:c r="J354" s="25" t="str">
        <x:v>Include</x:v>
      </x:c>
      <x:c r="K354" s="25" t="str">
        <x:v>Included in focused synthesis</x:v>
      </x:c>
    </x:row>
    <x:row r="355">
      <x:c r="A355" s="20" t="str">
        <x:v>R0351</x:v>
      </x:c>
      <x:c r="B355" s="25" t="str">
        <x:v>Towards a Working Definition of Designing Generative User Interfaces</x:v>
      </x:c>
      <x:c r="C355" s="25" t="n">
        <x:v>2025</x:v>
      </x:c>
      <x:c r="D355" s="25" t="str">
        <x:v>Kyungho Lee</x:v>
      </x:c>
      <x:c r="E355" s="25" t="str"/>
      <x:c r="F355" s="25" t="str">
        <x:v>10.1145/3715668.3736365</x:v>
      </x:c>
      <x:c r="G355" s="25" t="str">
        <x:v>https://doi.org/10.1145/3715668.3736365</x:v>
      </x:c>
      <x:c r="H355" s="25" t="str">
        <x:v>OpenAlex</x:v>
      </x:c>
      <x:c r="I355" s="25" t="str">
        <x:v>C6_frontend_GUI_intent</x:v>
      </x:c>
      <x:c r="J355" s="25" t="str">
        <x:v>Exclude</x:v>
      </x:c>
      <x:c r="K355" s="25" t="str">
        <x:v>Exclude: adjacent/redundant or insufficiently theory-generative for DC1</x:v>
      </x:c>
    </x:row>
    <x:row r="356">
      <x:c r="A356" s="20" t="str">
        <x:v>R0352</x:v>
      </x:c>
      <x:c r="B356" s="25" t="str">
        <x:v>Visual Map Algebra: a direct-manipulation user interface for GIS</x:v>
      </x:c>
      <x:c r="C356" s="25" t="n">
        <x:v>1995</x:v>
      </x:c>
      <x:c r="D356" s="25" t="str">
        <x:v>Max J. Egenhofer; H. Tom Bruns</x:v>
      </x:c>
      <x:c r="E356" s="25" t="str">
        <x:v>Visual Database Systems 3</x:v>
      </x:c>
      <x:c r="F356" s="25" t="str">
        <x:v>10.1007/978-0-387-34905-3_15</x:v>
      </x:c>
      <x:c r="G356" s="25" t="str">
        <x:v>https://doi.org/10.1007/978-0-387-34905-3_15</x:v>
      </x:c>
      <x:c r="H356" s="25" t="str">
        <x:v>Crossref</x:v>
      </x:c>
      <x:c r="I356" s="25" t="str">
        <x:v>C1_3D_mental_models</x:v>
      </x:c>
      <x:c r="J356" s="25" t="str">
        <x:v>Exclude</x:v>
      </x:c>
      <x:c r="K356" s="25" t="str">
        <x:v>Exclude: adjacent/redundant or insufficiently theory-generative for DC1</x:v>
      </x:c>
    </x:row>
    <x:row r="357">
      <x:c r="A357" s="20" t="str">
        <x:v>R0353</x:v>
      </x:c>
      <x:c r="B357" s="25" t="str">
        <x:v>A Quality Diversity Approach to Automatically Generating Human-Robot Interaction Scenarios in Shared Autonomy</x:v>
      </x:c>
      <x:c r="C357" s="25" t="n">
        <x:v>2021</x:v>
      </x:c>
      <x:c r="D357" s="25" t="str">
        <x:v>Matthew Fontaine; Stefanos Nikolaidis</x:v>
      </x:c>
      <x:c r="E357" s="25" t="str">
        <x:v>Robotics: Science and Systems XVII</x:v>
      </x:c>
      <x:c r="F357" s="25" t="str">
        <x:v>10.15607/rss.2021.xvii.036</x:v>
      </x:c>
      <x:c r="G357" s="25" t="str">
        <x:v>https://doi.org/10.15607/rss.2021.xvii.036</x:v>
      </x:c>
      <x:c r="H357" s="25" t="str">
        <x:v>Crossref</x:v>
      </x:c>
      <x:c r="I357" s="25" t="str">
        <x:v>C4_uncertainty_shared_autonomy</x:v>
      </x:c>
      <x:c r="J357" s="25" t="str">
        <x:v>Exclude</x:v>
      </x:c>
      <x:c r="K357" s="25" t="str">
        <x:v>Exclude: adjacent/redundant or insufficiently theory-generative for DC1</x:v>
      </x:c>
    </x:row>
    <x:row r="358">
      <x:c r="A358" s="20" t="str">
        <x:v>R0354</x:v>
      </x:c>
      <x:c r="B358" s="25" t="str">
        <x:v>A note on the loop thermosyphon with mixed boundary conditions</x:v>
      </x:c>
      <x:c r="C358" s="25" t="n">
        <x:v>1985</x:v>
      </x:c>
      <x:c r="D358" s="25" t="str">
        <x:v>J.E. Hart</x:v>
      </x:c>
      <x:c r="E358" s="25" t="str">
        <x:v>International Journal of Heat and Mass Transfer</x:v>
      </x:c>
      <x:c r="F358" s="25" t="str">
        <x:v>10.1016/0017-9310(85)90275-3</x:v>
      </x:c>
      <x:c r="G358" s="25" t="str">
        <x:v>https://doi.org/10.1016/0017-9310(85)90275-3</x:v>
      </x:c>
      <x:c r="H358" s="25" t="str">
        <x:v>Crossref</x:v>
      </x:c>
      <x:c r="I358" s="25" t="str">
        <x:v>C9_human_agent_handoff</x:v>
      </x:c>
      <x:c r="J358" s="25" t="str">
        <x:v>Exclude</x:v>
      </x:c>
      <x:c r="K358" s="25" t="str">
        <x:v>Exclude: topic mismatch</x:v>
      </x:c>
    </x:row>
    <x:row r="359">
      <x:c r="A359" s="20" t="str">
        <x:v>R0355</x:v>
      </x:c>
      <x:c r="B359" s="25" t="str">
        <x:v>Mobile User Interface Adaptation Based on Usability Reward Model and Multi-Agent Reinforcement Learning</x:v>
      </x:c>
      <x:c r="C359" s="25" t="n">
        <x:v>2024</x:v>
      </x:c>
      <x:c r="D359" s="25" t="str">
        <x:v>Dmitry Vidmanov; Alexander Alfimtsev</x:v>
      </x:c>
      <x:c r="E359" s="25" t="str">
        <x:v>Multimodal Technologies and Interaction</x:v>
      </x:c>
      <x:c r="F359" s="25" t="str">
        <x:v>10.3390/mti8040026</x:v>
      </x:c>
      <x:c r="G359" s="25" t="str">
        <x:v>https://doi.org/10.3390/mti8040026</x:v>
      </x:c>
      <x:c r="H359" s="25" t="str">
        <x:v>Crossref</x:v>
      </x:c>
      <x:c r="I359" s="25" t="str">
        <x:v>C6_frontend_GUI_intent</x:v>
      </x:c>
      <x:c r="J359" s="25" t="str">
        <x:v>Exclude</x:v>
      </x:c>
      <x:c r="K359" s="25" t="str">
        <x:v>Exclude: topic mismatch</x:v>
      </x:c>
    </x:row>
    <x:row r="360">
      <x:c r="A360" s="20" t="str">
        <x:v>R0356</x:v>
      </x:c>
      <x:c r="B360" s="25" t="str">
        <x:v>Modeling intent and destination prediction within a Bayesian framework: Predictive touch as a usecase</x:v>
      </x:c>
      <x:c r="C360" s="25" t="n">
        <x:v>2020</x:v>
      </x:c>
      <x:c r="D360" s="25" t="str">
        <x:v>Runze Gan; Jiaming Liang; Bashar I. Ahmad; Simon Godsill</x:v>
      </x:c>
      <x:c r="E360" s="25" t="str">
        <x:v>Data-Centric Engineering</x:v>
      </x:c>
      <x:c r="F360" s="25" t="str">
        <x:v>10.1017/dce.2020.11</x:v>
      </x:c>
      <x:c r="G360" s="25" t="str">
        <x:v>https://doi.org/10.1017/dce.2020.11</x:v>
      </x:c>
      <x:c r="H360" s="25" t="str">
        <x:v>OpenAlex</x:v>
      </x:c>
      <x:c r="I360" s="25" t="str">
        <x:v>C2_interaction_signals; C6_frontend_GUI_intent</x:v>
      </x:c>
      <x:c r="J360" s="25" t="str">
        <x:v>Exclude</x:v>
      </x:c>
      <x:c r="K360" s="25" t="str">
        <x:v>Exclude: adjacent/redundant or insufficiently theory-generative for DC1</x:v>
      </x:c>
    </x:row>
    <x:row r="361">
      <x:c r="A361" s="20" t="str">
        <x:v>R0357</x:v>
      </x:c>
      <x:c r="B361" s="25" t="str">
        <x:v>Retrieval Augmented Generation (RAG) and Beyond: A Comprehensive Survey on How to Make your LLMs use External Data More Wisely</x:v>
      </x:c>
      <x:c r="C361" s="25" t="n">
        <x:v>2024</x:v>
      </x:c>
      <x:c r="D361" s="25" t="str">
        <x:v>Zhao, Siyun; Yuqing Yang; Zilong Wang; Zhiyuan He; Qiu, Luna K.; Lili Qiu</x:v>
      </x:c>
      <x:c r="E361" s="25" t="str">
        <x:v>arXiv (Cornell University)</x:v>
      </x:c>
      <x:c r="F361" s="25" t="str">
        <x:v>10.48550/arxiv.2409.14924</x:v>
      </x:c>
      <x:c r="G361" s="25" t="str">
        <x:v>http://arxiv.org/abs/2409.14924</x:v>
      </x:c>
      <x:c r="H361" s="25" t="str">
        <x:v>OpenAlex</x:v>
      </x:c>
      <x:c r="I361" s="25" t="str">
        <x:v>C5_agent_memory</x:v>
      </x:c>
      <x:c r="J361" s="25" t="str">
        <x:v>Exclude</x:v>
      </x:c>
      <x:c r="K361" s="25" t="str">
        <x:v>Exclude: adjacent/redundant or insufficiently theory-generative for DC1</x:v>
      </x:c>
    </x:row>
    <x:row r="362">
      <x:c r="A362" s="20" t="str">
        <x:v>R0358</x:v>
      </x:c>
      <x:c r="B362" s="25" t="str">
        <x:v>User Interfaces for Geographic Information Systems: Report on the Specialist Meeting (92-3)</x:v>
      </x:c>
      <x:c r="C362" s="25" t="n">
        <x:v>1992</x:v>
      </x:c>
      <x:c r="D362" s="25" t="str">
        <x:v>David Mark</x:v>
      </x:c>
      <x:c r="E362" s="25" t="str">
        <x:v>eScholarship (California Digital Library)</x:v>
      </x:c>
      <x:c r="F362" s="25" t="str"/>
      <x:c r="G362" s="25" t="str">
        <x:v>https://escholarship.org/uc/item/3xd250sg</x:v>
      </x:c>
      <x:c r="H362" s="25" t="str">
        <x:v>OpenAlex</x:v>
      </x:c>
      <x:c r="I362" s="25" t="str">
        <x:v>C6_frontend_GUI_intent</x:v>
      </x:c>
      <x:c r="J362" s="25" t="str">
        <x:v>Exclude</x:v>
      </x:c>
      <x:c r="K362" s="25" t="str">
        <x:v>Exclude: adjacent/redundant or insufficiently theory-generative for DC1</x:v>
      </x:c>
    </x:row>
    <x:row r="363">
      <x:c r="A363" s="20" t="str">
        <x:v>R0359</x:v>
      </x:c>
      <x:c r="B363" s="25" t="str">
        <x:v>Using shared representations to improve coordination and intent inference</x:v>
      </x:c>
      <x:c r="C363" s="25" t="n">
        <x:v>2006</x:v>
      </x:c>
      <x:c r="D363" s="25" t="str">
        <x:v>Joshua Introne; Richard Alterman</x:v>
      </x:c>
      <x:c r="E363" s="25" t="str">
        <x:v>User Modeling and User-Adapted Interaction</x:v>
      </x:c>
      <x:c r="F363" s="25" t="str">
        <x:v>10.1007/s11257-006-9009-2</x:v>
      </x:c>
      <x:c r="G363" s="25" t="str">
        <x:v>https://doi.org/10.1007/s11257-006-9009-2</x:v>
      </x:c>
      <x:c r="H363" s="25" t="str">
        <x:v>Crossref</x:v>
      </x:c>
      <x:c r="I363" s="25" t="str">
        <x:v>C2_interaction_signals; C4_uncertainty_shared_autonomy; C6_frontend_GUI_intent</x:v>
      </x:c>
      <x:c r="J363" s="25" t="str">
        <x:v>Exclude</x:v>
      </x:c>
      <x:c r="K363" s="25" t="str">
        <x:v>Exclude: adjacent/redundant or insufficiently theory-generative for DC1</x:v>
      </x:c>
    </x:row>
    <x:row r="364">
      <x:c r="A364" s="20" t="str">
        <x:v>R0360</x:v>
      </x:c>
      <x:c r="B364" s="25" t="str">
        <x:v>A Review of Large Language Models and Autonomous Agents in Chemistry</x:v>
      </x:c>
      <x:c r="C364" s="25" t="n">
        <x:v>2024</x:v>
      </x:c>
      <x:c r="D364" s="25" t="str">
        <x:v>Mayk Caldas Ramos; Christopher J. Collison; Andrew Dickson White</x:v>
      </x:c>
      <x:c r="E364" s="25" t="str">
        <x:v>arXiv (Cornell University)</x:v>
      </x:c>
      <x:c r="F364" s="25" t="str">
        <x:v>10.48550/arxiv.2407.01603</x:v>
      </x:c>
      <x:c r="G364" s="25" t="str">
        <x:v>http://arxiv.org/abs/2407.01603</x:v>
      </x:c>
      <x:c r="H364" s="25" t="str">
        <x:v>OpenAlex</x:v>
      </x:c>
      <x:c r="I364" s="25" t="str">
        <x:v>C5_agent_memory</x:v>
      </x:c>
      <x:c r="J364" s="25" t="str">
        <x:v>Exclude</x:v>
      </x:c>
      <x:c r="K364" s="25" t="str">
        <x:v>Exclude: adjacent/redundant or insufficiently theory-generative for DC1</x:v>
      </x:c>
    </x:row>
    <x:row r="365">
      <x:c r="A365" s="20" t="str">
        <x:v>R0361</x:v>
      </x:c>
      <x:c r="B365" s="25" t="str">
        <x:v>Flashes of Trading Intent at NASDAQ</x:v>
      </x:c>
      <x:c r="C365" s="25" t="n">
        <x:v>2016</x:v>
      </x:c>
      <x:c r="D365" s="25" t="str">
        <x:v>Johannes A. Skjeltorp; Elvira Sojli; Wing Wah Tham</x:v>
      </x:c>
      <x:c r="E365" s="25" t="str">
        <x:v>Journal of Financial and Quantitative Analysis</x:v>
      </x:c>
      <x:c r="F365" s="25" t="str">
        <x:v>10.1017/s0022109016000028</x:v>
      </x:c>
      <x:c r="G365" s="25" t="str">
        <x:v>https://doi.org/10.1017/s0022109016000028</x:v>
      </x:c>
      <x:c r="H365" s="25" t="str">
        <x:v>OpenAlex</x:v>
      </x:c>
      <x:c r="I365" s="25" t="str">
        <x:v>C2_interaction_signals</x:v>
      </x:c>
      <x:c r="J365" s="25" t="str">
        <x:v>Exclude</x:v>
      </x:c>
      <x:c r="K365" s="25" t="str">
        <x:v>Exclude: adjacent/redundant or insufficiently theory-generative for DC1</x:v>
      </x:c>
    </x:row>
    <x:row r="366">
      <x:c r="A366" s="20" t="str">
        <x:v>R0362</x:v>
      </x:c>
      <x:c r="B366" s="25" t="str">
        <x:v>Segmented interaction history in a collaborative interface agent</x:v>
      </x:c>
      <x:c r="C366" s="25" t="n">
        <x:v>1997</x:v>
      </x:c>
      <x:c r="D366" s="25" t="str">
        <x:v>Charles Rich; Candace L. Sidner</x:v>
      </x:c>
      <x:c r="E366" s="25" t="str">
        <x:v>Proceedings of the 2nd international conference on Intelligent user interfaces  - IUI '97</x:v>
      </x:c>
      <x:c r="F366" s="25" t="str">
        <x:v>10.1145/238218.238222</x:v>
      </x:c>
      <x:c r="G366" s="25" t="str">
        <x:v>https://doi.org/10.1145/238218.238222</x:v>
      </x:c>
      <x:c r="H366" s="25" t="str">
        <x:v>Crossref</x:v>
      </x:c>
      <x:c r="I366" s="25" t="str">
        <x:v>C6_frontend_GUI_intent</x:v>
      </x:c>
      <x:c r="J366" s="25" t="str">
        <x:v>Exclude</x:v>
      </x:c>
      <x:c r="K366" s="25" t="str">
        <x:v>Exclude: topic mismatch</x:v>
      </x:c>
    </x:row>
    <x:row r="367">
      <x:c r="A367" s="20" t="str">
        <x:v>R0363</x:v>
      </x:c>
      <x:c r="B367" s="25" t="str">
        <x:v>Shared Autonomy of a Robotic Manipulator for Grasping Under Human Intent Uncertainty Using POMDPs</x:v>
      </x:c>
      <x:c r="C367" s="25" t="n">
        <x:v>2024</x:v>
      </x:c>
      <x:c r="D367" s="25" t="str">
        <x:v>J-Anne Yow; Neha Priyadarshini Garg; Wei Tech Ang</x:v>
      </x:c>
      <x:c r="E367" s="25" t="str">
        <x:v>IEEE Transactions on Robotics</x:v>
      </x:c>
      <x:c r="F367" s="25" t="str">
        <x:v>10.1109/tro.2023.3334631</x:v>
      </x:c>
      <x:c r="G367" s="25" t="str">
        <x:v>https://doi.org/10.1109/tro.2023.3334631</x:v>
      </x:c>
      <x:c r="H367" s="25" t="str">
        <x:v>Crossref</x:v>
      </x:c>
      <x:c r="I367" s="25" t="str">
        <x:v>C4_uncertainty_shared_autonomy</x:v>
      </x:c>
      <x:c r="J367" s="25" t="str">
        <x:v>Exclude</x:v>
      </x:c>
      <x:c r="K367" s="25" t="str">
        <x:v>Exclude: adjacent/redundant or insufficiently theory-generative for DC1</x:v>
      </x:c>
    </x:row>
    <x:row r="368">
      <x:c r="A368" s="20" t="str">
        <x:v>R0364</x:v>
      </x:c>
      <x:c r="B368" s="25" t="str">
        <x:v>The role of semantic knowledge in retrieval from episodic long-term memories: Implications for a model of retrieval</x:v>
      </x:c>
      <x:c r="C368" s="25" t="n">
        <x:v>1976</x:v>
      </x:c>
      <x:c r="D368" s="25" t="str">
        <x:v>Jane Perlmutter; Jackee Harsip; Jerome L. Myers</x:v>
      </x:c>
      <x:c r="E368" s="25" t="str">
        <x:v>Memory &amp;amp; Cognition</x:v>
      </x:c>
      <x:c r="F368" s="25" t="str">
        <x:v>10.3758/bf03213190</x:v>
      </x:c>
      <x:c r="G368" s="25" t="str">
        <x:v>https://doi.org/10.3758/bf03213190</x:v>
      </x:c>
      <x:c r="H368" s="25" t="str">
        <x:v>Crossref</x:v>
      </x:c>
      <x:c r="I368" s="25" t="str">
        <x:v>C5_agent_memory</x:v>
      </x:c>
      <x:c r="J368" s="25" t="str">
        <x:v>Exclude</x:v>
      </x:c>
      <x:c r="K368" s="25" t="str">
        <x:v>Exclude: topic mismatch</x:v>
      </x:c>
    </x:row>
    <x:row r="369">
      <x:c r="A369" s="20" t="str">
        <x:v>R0365</x:v>
      </x:c>
      <x:c r="B369" s="25" t="str">
        <x:v>Transient natural convection between concentric and vertically eccentric spheres with mixed boundary conditions</x:v>
      </x:c>
      <x:c r="C369" s="25" t="n">
        <x:v>1996</x:v>
      </x:c>
      <x:c r="D369" s="25" t="str">
        <x:v>C. P. Chiu; W. R. Chen</x:v>
      </x:c>
      <x:c r="E369" s="25" t="str">
        <x:v>Heat and Mass Transfer</x:v>
      </x:c>
      <x:c r="F369" s="25" t="str">
        <x:v>10.1007/bf02333311</x:v>
      </x:c>
      <x:c r="G369" s="25" t="str">
        <x:v>https://doi.org/10.1007/bf02333311</x:v>
      </x:c>
      <x:c r="H369" s="25" t="str">
        <x:v>Crossref</x:v>
      </x:c>
      <x:c r="I369" s="25" t="str">
        <x:v>C9_human_agent_handoff</x:v>
      </x:c>
      <x:c r="J369" s="25" t="str">
        <x:v>Exclude</x:v>
      </x:c>
      <x:c r="K369" s="25" t="str">
        <x:v>Exclude: topic mismatch</x:v>
      </x:c>
    </x:row>
    <x:row r="370">
      <x:c r="A370" s="20" t="str">
        <x:v>R0366</x:v>
      </x:c>
      <x:c r="B370" s="25" t="str">
        <x:v>Unsteady-State Heat Conduction in Semi-Infinite Regions With Mixed-Type Boundary Conditions</x:v>
      </x:c>
      <x:c r="C370" s="25" t="n">
        <x:v>1985</x:v>
      </x:c>
      <x:c r="D370" s="25" t="str">
        <x:v>S. C. Huang</x:v>
      </x:c>
      <x:c r="E370" s="25" t="str">
        <x:v>Journal of Heat Transfer</x:v>
      </x:c>
      <x:c r="F370" s="25" t="str">
        <x:v>10.1115/1.3247446</x:v>
      </x:c>
      <x:c r="G370" s="25" t="str">
        <x:v>https://doi.org/10.1115/1.3247446</x:v>
      </x:c>
      <x:c r="H370" s="25" t="str">
        <x:v>Crossref</x:v>
      </x:c>
      <x:c r="I370" s="25" t="str">
        <x:v>C9_human_agent_handoff</x:v>
      </x:c>
      <x:c r="J370" s="25" t="str">
        <x:v>Exclude</x:v>
      </x:c>
      <x:c r="K370" s="25" t="str">
        <x:v>Exclude: topic mismatch</x:v>
      </x:c>
    </x:row>
    <x:row r="371">
      <x:c r="A371" s="20" t="str">
        <x:v>R0367</x:v>
      </x:c>
      <x:c r="B371" s="25" t="str">
        <x:v>A Hybrid User Interface for Manipulation of Volumetric Medical Data</x:v>
      </x:c>
      <x:c r="C371" s="25" t="str"/>
      <x:c r="D371" s="25" t="str">
        <x:v>A. Bornik; R. Beichel; E. Kruijff; B. Reitinger; D. Schmalstieg</x:v>
      </x:c>
      <x:c r="E371" s="25" t="str">
        <x:v>IEEE Symposium on 3D User Interfaces, 2006. 3DUI 2006.</x:v>
      </x:c>
      <x:c r="F371" s="25" t="str">
        <x:v>10.1109/tridui.2006.1618267</x:v>
      </x:c>
      <x:c r="G371" s="25" t="str">
        <x:v>https://doi.org/10.1109/tridui.2006.1618267</x:v>
      </x:c>
      <x:c r="H371" s="25" t="str">
        <x:v>Crossref</x:v>
      </x:c>
      <x:c r="I371" s="25" t="str">
        <x:v>C1_3D_mental_models</x:v>
      </x:c>
      <x:c r="J371" s="25" t="str">
        <x:v>Exclude</x:v>
      </x:c>
      <x:c r="K371" s="25" t="str">
        <x:v>Exclude: adjacent/redundant or insufficiently theory-generative for DC1</x:v>
      </x:c>
    </x:row>
    <x:row r="372">
      <x:c r="A372" s="20" t="str">
        <x:v>R0368</x:v>
      </x:c>
      <x:c r="B372" s="25" t="str">
        <x:v>Collaborative Ideation Partner: Design Ideation in Human-AI Co-creativity</x:v>
      </x:c>
      <x:c r="C372" s="25" t="n">
        <x:v>2021</x:v>
      </x:c>
      <x:c r="D372" s="25" t="str">
        <x:v>Jingoog Kim; Mary Maher; Safat Siddiqui</x:v>
      </x:c>
      <x:c r="E372" s="25" t="str">
        <x:v>Proceedings of the 5th International Conference on Computer-Human Interaction Research and Applications</x:v>
      </x:c>
      <x:c r="F372" s="25" t="str">
        <x:v>10.5220/0010640800003060</x:v>
      </x:c>
      <x:c r="G372" s="25" t="str">
        <x:v>https://doi.org/10.5220/0010640800003060</x:v>
      </x:c>
      <x:c r="H372" s="25" t="str">
        <x:v>Crossref</x:v>
      </x:c>
      <x:c r="I372" s="25" t="str">
        <x:v>C3_mixed_initiative_cocreation</x:v>
      </x:c>
      <x:c r="J372" s="25" t="str">
        <x:v>Exclude</x:v>
      </x:c>
      <x:c r="K372" s="25" t="str">
        <x:v>Exclude: adjacent/redundant or insufficiently theory-generative for DC1</x:v>
      </x:c>
    </x:row>
    <x:row r="373">
      <x:c r="A373" s="20" t="str">
        <x:v>R0369</x:v>
      </x:c>
      <x:c r="B373" s="25" t="str">
        <x:v>Igniting Language Intelligence: The Hitchhiker's Guide From Chain-of-Thought Reasoning to Language Agents</x:v>
      </x:c>
      <x:c r="C373" s="25" t="n">
        <x:v>2023</x:v>
      </x:c>
      <x:c r="D373" s="25" t="str">
        <x:v>Zhuosheng Zhang; Yao Yao; Aston Zhang; Xiangru Tang; Xinbei Ma; Zhiwei He; Yiming Wang; Mark Gerstein; Rui Wang; Gongshen Liu; Hai Zhao</x:v>
      </x:c>
      <x:c r="E373" s="25" t="str">
        <x:v>arXiv (Cornell University)</x:v>
      </x:c>
      <x:c r="F373" s="25" t="str">
        <x:v>10.48550/arxiv.2311.11797</x:v>
      </x:c>
      <x:c r="G373" s="25" t="str">
        <x:v>http://arxiv.org/abs/2311.11797</x:v>
      </x:c>
      <x:c r="H373" s="25" t="str">
        <x:v>OpenAlex</x:v>
      </x:c>
      <x:c r="I373" s="25" t="str">
        <x:v>C5_agent_memory</x:v>
      </x:c>
      <x:c r="J373" s="25" t="str">
        <x:v>Exclude</x:v>
      </x:c>
      <x:c r="K373" s="25" t="str">
        <x:v>Exclude: adjacent/redundant or insufficiently theory-generative for DC1</x:v>
      </x:c>
    </x:row>
    <x:row r="374">
      <x:c r="A374" s="20" t="str">
        <x:v>R0370</x:v>
      </x:c>
      <x:c r="B374" s="25" t="str">
        <x:v>Intent-Satisfaction Modeling: From Music to Video Streaming</x:v>
      </x:c>
      <x:c r="C374" s="25" t="n">
        <x:v>2023</x:v>
      </x:c>
      <x:c r="D374" s="25" t="str">
        <x:v>G. F. Benedict; Daan Odijk; Maarten de Rijke</x:v>
      </x:c>
      <x:c r="E374" s="25" t="str">
        <x:v>ACM Transactions on Recommender Systems</x:v>
      </x:c>
      <x:c r="F374" s="25" t="str">
        <x:v>10.1145/3606375</x:v>
      </x:c>
      <x:c r="G374" s="25" t="str">
        <x:v>https://doi.org/10.1145/3606375</x:v>
      </x:c>
      <x:c r="H374" s="25" t="str">
        <x:v>OpenAlex</x:v>
      </x:c>
      <x:c r="I374" s="25" t="str">
        <x:v>C2_interaction_signals</x:v>
      </x:c>
      <x:c r="J374" s="25" t="str">
        <x:v>Exclude</x:v>
      </x:c>
      <x:c r="K374" s="25" t="str">
        <x:v>Exclude: adjacent/redundant or insufficiently theory-generative for DC1</x:v>
      </x:c>
    </x:row>
    <x:row r="375">
      <x:c r="A375" s="20" t="str">
        <x:v>R0371</x:v>
      </x:c>
      <x:c r="B375" s="25" t="str">
        <x:v>Adiabatic-isothermal mixed boundary conditions in heat transfer</x:v>
      </x:c>
      <x:c r="C375" s="25" t="n">
        <x:v>1987</x:v>
      </x:c>
      <x:c r="D375" s="25" t="str">
        <x:v>J.L. Bassani; M.W. Nansteel; M. November</x:v>
      </x:c>
      <x:c r="E375" s="25" t="str">
        <x:v>International Journal of Heat and Mass Transfer</x:v>
      </x:c>
      <x:c r="F375" s="25" t="str">
        <x:v>10.1016/0017-9310(87)90009-3</x:v>
      </x:c>
      <x:c r="G375" s="25" t="str">
        <x:v>https://doi.org/10.1016/0017-9310(87)90009-3</x:v>
      </x:c>
      <x:c r="H375" s="25" t="str">
        <x:v>Crossref</x:v>
      </x:c>
      <x:c r="I375" s="25" t="str">
        <x:v>C9_human_agent_handoff</x:v>
      </x:c>
      <x:c r="J375" s="25" t="str">
        <x:v>Exclude</x:v>
      </x:c>
      <x:c r="K375" s="25" t="str">
        <x:v>Exclude: topic mismatch</x:v>
      </x:c>
    </x:row>
    <x:row r="376">
      <x:c r="A376" s="20" t="str">
        <x:v>R0372</x:v>
      </x:c>
      <x:c r="B376" s="25" t="str">
        <x:v>Android in the Zoo: Chain-of-Action-Thought for GUI Agents</x:v>
      </x:c>
      <x:c r="C376" s="25" t="n">
        <x:v>2024</x:v>
      </x:c>
      <x:c r="D376" s="25" t="str">
        <x:v>Jiwen Zhang; Jihao Wu; Teng Yihua; Minghui Liao; Nuo Xu; Xiao Xiao; Zhongyu Wei; Duyu Tang</x:v>
      </x:c>
      <x:c r="E376" s="25" t="str"/>
      <x:c r="F376" s="25" t="str">
        <x:v>10.18653/v1/2024.findings-emnlp.702</x:v>
      </x:c>
      <x:c r="G376" s="25" t="str">
        <x:v>https://doi.org/10.18653/v1/2024.findings-emnlp.702</x:v>
      </x:c>
      <x:c r="H376" s="25" t="str">
        <x:v>OpenAlex</x:v>
      </x:c>
      <x:c r="I376" s="25" t="str">
        <x:v>C6_frontend_GUI_intent</x:v>
      </x:c>
      <x:c r="J376" s="25" t="str">
        <x:v>Exclude</x:v>
      </x:c>
      <x:c r="K376" s="25" t="str">
        <x:v>Exclude: adjacent/redundant or insufficiently theory-generative for DC1</x:v>
      </x:c>
    </x:row>
    <x:row r="377">
      <x:c r="A377" s="20" t="str">
        <x:v>R0373</x:v>
      </x:c>
      <x:c r="B377" s="25" t="str">
        <x:v>Cooperation for Scalable Supervision of Autonomy in Mixed Traffic</x:v>
      </x:c>
      <x:c r="C377" s="25" t="n">
        <x:v>2023</x:v>
      </x:c>
      <x:c r="D377" s="25" t="str">
        <x:v>Cameron Hickert; Sirui Li; Cathy Wu</x:v>
      </x:c>
      <x:c r="E377" s="25" t="str">
        <x:v>IEEE Transactions on Robotics</x:v>
      </x:c>
      <x:c r="F377" s="25" t="str">
        <x:v>10.1109/tro.2023.3262120</x:v>
      </x:c>
      <x:c r="G377" s="25" t="str">
        <x:v>https://doi.org/10.1109/tro.2023.3262120</x:v>
      </x:c>
      <x:c r="H377" s="25" t="str">
        <x:v>Crossref</x:v>
      </x:c>
      <x:c r="I377" s="25" t="str">
        <x:v>C9_human_agent_handoff</x:v>
      </x:c>
      <x:c r="J377" s="25" t="str">
        <x:v>Exclude</x:v>
      </x:c>
      <x:c r="K377" s="25" t="str">
        <x:v>Exclude: adjacent/redundant or insufficiently theory-generative for DC1</x:v>
      </x:c>
    </x:row>
    <x:row r="378">
      <x:c r="A378" s="20" t="str">
        <x:v>R0374</x:v>
      </x:c>
      <x:c r="B378" s="25" t="str">
        <x:v>Creativity Support in AI Co-creative Tools: Current Research, Challenges and Opportunities</x:v>
      </x:c>
      <x:c r="C378" s="25" t="n">
        <x:v>2023</x:v>
      </x:c>
      <x:c r="D378" s="25" t="str">
        <x:v>Bin Ning; Fang Liu; Zhixiong Liu</x:v>
      </x:c>
      <x:c r="E378" s="25" t="str">
        <x:v>2023 26th International Conference on Computer Supported Cooperative Work in Design (CSCWD)</x:v>
      </x:c>
      <x:c r="F378" s="25" t="str">
        <x:v>10.1109/cscwd57460.2023.10152832</x:v>
      </x:c>
      <x:c r="G378" s="25" t="str">
        <x:v>https://doi.org/10.1109/cscwd57460.2023.10152832</x:v>
      </x:c>
      <x:c r="H378" s="25" t="str">
        <x:v>Crossref</x:v>
      </x:c>
      <x:c r="I378" s="25" t="str">
        <x:v>C3_mixed_initiative_cocreation</x:v>
      </x:c>
      <x:c r="J378" s="25" t="str">
        <x:v>Exclude</x:v>
      </x:c>
      <x:c r="K378" s="25" t="str">
        <x:v>Exclude: adjacent/redundant or insufficiently theory-generative for DC1</x:v>
      </x:c>
    </x:row>
    <x:row r="379">
      <x:c r="A379" s="20" t="str">
        <x:v>R0375</x:v>
      </x:c>
      <x:c r="B379" s="25" t="str">
        <x:v>Sand Playground: Designing Human-AI physical Interface for Co-creation in Motion</x:v>
      </x:c>
      <x:c r="C379" s="25" t="n">
        <x:v>2022</x:v>
      </x:c>
      <x:c r="D379" s="25" t="str">
        <x:v>Dina EL-Zanfaly; Yiwei Huang; Yanwen Dong</x:v>
      </x:c>
      <x:c r="E379" s="25" t="str">
        <x:v>Creativity and Cognition</x:v>
      </x:c>
      <x:c r="F379" s="25" t="str">
        <x:v>10.1145/3527927.3532791</x:v>
      </x:c>
      <x:c r="G379" s="25" t="str">
        <x:v>https://doi.org/10.1145/3527927.3532791</x:v>
      </x:c>
      <x:c r="H379" s="25" t="str">
        <x:v>Crossref</x:v>
      </x:c>
      <x:c r="I379" s="25" t="str">
        <x:v>C3_mixed_initiative_cocreation</x:v>
      </x:c>
      <x:c r="J379" s="25" t="str">
        <x:v>Exclude</x:v>
      </x:c>
      <x:c r="K379" s="25" t="str">
        <x:v>Exclude: topic mismatch</x:v>
      </x:c>
    </x:row>
    <x:row r="380">
      <x:c r="A380" s="20" t="str">
        <x:v>R0376</x:v>
      </x:c>
      <x:c r="B380" s="25" t="str">
        <x:v>Semantic-memory sources of episodic retrieval failure</x:v>
      </x:c>
      <x:c r="C380" s="25" t="n">
        <x:v>1985</x:v>
      </x:c>
      <x:c r="D380" s="25" t="str">
        <x:v>Takashi Kato</x:v>
      </x:c>
      <x:c r="E380" s="25" t="str">
        <x:v>Memory &amp;amp; Cognition</x:v>
      </x:c>
      <x:c r="F380" s="25" t="str">
        <x:v>10.3758/bf03198457</x:v>
      </x:c>
      <x:c r="G380" s="25" t="str">
        <x:v>https://doi.org/10.3758/bf03198457</x:v>
      </x:c>
      <x:c r="H380" s="25" t="str">
        <x:v>Crossref</x:v>
      </x:c>
      <x:c r="I380" s="25" t="str">
        <x:v>C5_agent_memory</x:v>
      </x:c>
      <x:c r="J380" s="25" t="str">
        <x:v>Exclude</x:v>
      </x:c>
      <x:c r="K380" s="25" t="str">
        <x:v>Exclude: adjacent/redundant or insufficiently theory-generative for DC1</x:v>
      </x:c>
    </x:row>
    <x:row r="381">
      <x:c r="A381" s="20" t="str">
        <x:v>R0377</x:v>
      </x:c>
      <x:c r="B381" s="25" t="str">
        <x:v>User Interaction Patterns and Breakdowns in Conversing with LLM-Powered Voice Assistants</x:v>
      </x:c>
      <x:c r="C381" s="25" t="n">
        <x:v>2023</x:v>
      </x:c>
      <x:c r="D381" s="25" t="str">
        <x:v>Amama Mahmood; Junxiang Wang; Bingsheng Yao; Dakuo Wang; Chien‐Ming Huang</x:v>
      </x:c>
      <x:c r="E381" s="25" t="str">
        <x:v>arXiv (Cornell University)</x:v>
      </x:c>
      <x:c r="F381" s="25" t="str">
        <x:v>10.48550/arxiv.2309.13879</x:v>
      </x:c>
      <x:c r="G381" s="25" t="str">
        <x:v>http://arxiv.org/abs/2309.13879</x:v>
      </x:c>
      <x:c r="H381" s="25" t="str">
        <x:v>OpenAlex</x:v>
      </x:c>
      <x:c r="I381" s="25" t="str">
        <x:v>C6_frontend_GUI_intent</x:v>
      </x:c>
      <x:c r="J381" s="25" t="str">
        <x:v>Exclude</x:v>
      </x:c>
      <x:c r="K381" s="25" t="str">
        <x:v>Exclude: adjacent/redundant or insufficiently theory-generative for DC1</x:v>
      </x:c>
    </x:row>
    <x:row r="382">
      <x:c r="A382" s="20" t="str">
        <x:v>R0378</x:v>
      </x:c>
      <x:c r="B382" s="25" t="str">
        <x:v>Virtual exertions: A user interface combining visual information, kinesthetics and biofeedback for virtual object manipulation</x:v>
      </x:c>
      <x:c r="C382" s="25" t="n">
        <x:v>2012</x:v>
      </x:c>
      <x:c r="D382" s="25" t="str">
        <x:v>K. Ponto; R. Kimmel; J. Kohlmann; A. Bartholomew; R. G. Radwin</x:v>
      </x:c>
      <x:c r="E382" s="25" t="str">
        <x:v>2012 IEEE Symposium on 3D User Interfaces (3DUI)</x:v>
      </x:c>
      <x:c r="F382" s="25" t="str">
        <x:v>10.1109/3dui.2012.6184189</x:v>
      </x:c>
      <x:c r="G382" s="25" t="str">
        <x:v>https://doi.org/10.1109/3dui.2012.6184189</x:v>
      </x:c>
      <x:c r="H382" s="25" t="str">
        <x:v>Crossref</x:v>
      </x:c>
      <x:c r="I382" s="25" t="str">
        <x:v>C1_3D_mental_models</x:v>
      </x:c>
      <x:c r="J382" s="25" t="str">
        <x:v>Exclude</x:v>
      </x:c>
      <x:c r="K382" s="25" t="str">
        <x:v>Exclude: adjacent/redundant or insufficiently theory-generative for DC1</x:v>
      </x:c>
    </x:row>
    <x:row r="383">
      <x:c r="A383" s="20" t="str">
        <x:v>R0379</x:v>
      </x:c>
      <x:c r="B383" s="25" t="str">
        <x:v>Implicit Search Intent Recognition using EEG and Eye Tracking: Novel Dataset and Cross-User Prediction</x:v>
      </x:c>
      <x:c r="C383" s="25" t="n">
        <x:v>2023</x:v>
      </x:c>
      <x:c r="D383" s="25" t="str">
        <x:v>Mansi Sharma; Shuang Chen; Philipp Müller; Maurice Rekrut; Antonio Krüger</x:v>
      </x:c>
      <x:c r="E383" s="25" t="str">
        <x:v>INTERNATIONAL CONFERENCE ON MULTIMODAL INTERACTION</x:v>
      </x:c>
      <x:c r="F383" s="25" t="str">
        <x:v>10.1145/3577190.3614166</x:v>
      </x:c>
      <x:c r="G383" s="25" t="str">
        <x:v>https://doi.org/10.1145/3577190.3614166</x:v>
      </x:c>
      <x:c r="H383" s="25" t="str">
        <x:v>Crossref</x:v>
      </x:c>
      <x:c r="I383" s="25" t="str">
        <x:v>C2_interaction_signals</x:v>
      </x:c>
      <x:c r="J383" s="25" t="str">
        <x:v>Exclude</x:v>
      </x:c>
      <x:c r="K383" s="25" t="str">
        <x:v>Exclude: adjacent/redundant or insufficiently theory-generative for DC1</x:v>
      </x:c>
    </x:row>
    <x:row r="384">
      <x:c r="A384" s="20" t="str">
        <x:v>R0380</x:v>
      </x:c>
      <x:c r="B384" s="25" t="str">
        <x:v>Learning to Infer Semantic Parameters for 3D Shape Editing</x:v>
      </x:c>
      <x:c r="C384" s="25" t="n">
        <x:v>2020</x:v>
      </x:c>
      <x:c r="D384" s="25" t="str">
        <x:v>Fangyin Wei; Elena Sizikova; Avneesh Sud; Szymon Rusinkiewicz; Thomas Funkhouser</x:v>
      </x:c>
      <x:c r="E384" s="25" t="str">
        <x:v>2020 International Conference on 3D Vision (3DV)</x:v>
      </x:c>
      <x:c r="F384" s="25" t="str">
        <x:v>10.1109/3dv50981.2020.00053</x:v>
      </x:c>
      <x:c r="G384" s="25" t="str">
        <x:v>https://doi.org/10.1109/3dv50981.2020.00053</x:v>
      </x:c>
      <x:c r="H384" s="25" t="str">
        <x:v>Crossref</x:v>
      </x:c>
      <x:c r="I384" s="25" t="str">
        <x:v>C8_AI_3D_authoring</x:v>
      </x:c>
      <x:c r="J384" s="25" t="str">
        <x:v>Exclude</x:v>
      </x:c>
      <x:c r="K384" s="25" t="str">
        <x:v>Exclude: adjacent/redundant or insufficiently theory-generative for DC1</x:v>
      </x:c>
    </x:row>
    <x:row r="385">
      <x:c r="A385" s="20" t="str">
        <x:v>R0381</x:v>
      </x:c>
      <x:c r="B385" s="25" t="str">
        <x:v>AI-Enabled Art Education: Unleashing Creative Potential and Exploring Co-Creation Frontiers</x:v>
      </x:c>
      <x:c r="C385" s="25" t="n">
        <x:v>2024</x:v>
      </x:c>
      <x:c r="D385" s="25" t="str">
        <x:v>Vassilis Evangelidis; Helena Theodoropoulou; Vassilis Katsouros; Chairi Kiourt</x:v>
      </x:c>
      <x:c r="E385" s="25" t="str">
        <x:v>Proceedings of the 16th International Conference on Computer Supported Education</x:v>
      </x:c>
      <x:c r="F385" s="25" t="str">
        <x:v>10.5220/0012747300003693</x:v>
      </x:c>
      <x:c r="G385" s="25" t="str">
        <x:v>https://doi.org/10.5220/0012747300003693</x:v>
      </x:c>
      <x:c r="H385" s="25" t="str">
        <x:v>Crossref</x:v>
      </x:c>
      <x:c r="I385" s="25" t="str">
        <x:v>C7_creative_agency</x:v>
      </x:c>
      <x:c r="J385" s="25" t="str">
        <x:v>Exclude</x:v>
      </x:c>
      <x:c r="K385" s="25" t="str">
        <x:v>Exclude: adjacent/redundant or insufficiently theory-generative for DC1</x:v>
      </x:c>
    </x:row>
    <x:row r="386">
      <x:c r="A386" s="20" t="str">
        <x:v>R0382</x:v>
      </x:c>
      <x:c r="B386" s="25" t="str">
        <x:v>Generative AI in Multimodal User Interfaces: Trends, Challenges, and Cross-Platform Adaptability</x:v>
      </x:c>
      <x:c r="C386" s="25" t="n">
        <x:v>2024</x:v>
      </x:c>
      <x:c r="D386" s="25" t="str">
        <x:v>J. Bieniek; Mohamed Rahouti; Dinesh Verma</x:v>
      </x:c>
      <x:c r="E386" s="25" t="str">
        <x:v>arXiv (Cornell University)</x:v>
      </x:c>
      <x:c r="F386" s="25" t="str">
        <x:v>10.48550/arxiv.2411.10234</x:v>
      </x:c>
      <x:c r="G386" s="25" t="str">
        <x:v>http://arxiv.org/abs/2411.10234</x:v>
      </x:c>
      <x:c r="H386" s="25" t="str">
        <x:v>OpenAlex</x:v>
      </x:c>
      <x:c r="I386" s="25" t="str">
        <x:v>C6_frontend_GUI_intent</x:v>
      </x:c>
      <x:c r="J386" s="25" t="str">
        <x:v>Exclude</x:v>
      </x:c>
      <x:c r="K386" s="25" t="str">
        <x:v>Exclude: adjacent/redundant or insufficiently theory-generative for DC1</x:v>
      </x:c>
    </x:row>
    <x:row r="387">
      <x:c r="A387" s="20" t="str">
        <x:v>R0383</x:v>
      </x:c>
      <x:c r="B387" s="25" t="str">
        <x:v>Rethinking Knowledge Distillation in Collaborative Machine Learning: Memory, Knowledge, and Their Interactions</x:v>
      </x:c>
      <x:c r="C387" s="25" t="n">
        <x:v>2025</x:v>
      </x:c>
      <x:c r="D387" s="25" t="str">
        <x:v>Pengchao Han; Xi Huang; Yi Fang; Guojun Han</x:v>
      </x:c>
      <x:c r="E387" s="25" t="str">
        <x:v>IEEE Transactions on Network Science and Engineering</x:v>
      </x:c>
      <x:c r="F387" s="25" t="str">
        <x:v>10.1109/tnse.2025.3572362</x:v>
      </x:c>
      <x:c r="G387" s="25" t="str">
        <x:v>https://doi.org/10.1109/tnse.2025.3572362</x:v>
      </x:c>
      <x:c r="H387" s="25" t="str">
        <x:v>OpenAlex</x:v>
      </x:c>
      <x:c r="I387" s="25" t="str">
        <x:v>C5_agent_memory</x:v>
      </x:c>
      <x:c r="J387" s="25" t="str">
        <x:v>Exclude</x:v>
      </x:c>
      <x:c r="K387" s="25" t="str">
        <x:v>Exclude: adjacent/redundant or insufficiently theory-generative for DC1</x:v>
      </x:c>
    </x:row>
    <x:row r="388">
      <x:c r="A388" s="20" t="str">
        <x:v>R0384</x:v>
      </x:c>
      <x:c r="B388" s="25" t="str">
        <x:v>Thumble: One-Handed 3D Object Manipulation Using a Thimble-Shaped Wearable Device in Virtual Reality</x:v>
      </x:c>
      <x:c r="C388" s="25" t="n">
        <x:v>2022</x:v>
      </x:c>
      <x:c r="D388" s="25" t="str">
        <x:v>Changsung Lim; Jina Kim; Myung Jin Kim</x:v>
      </x:c>
      <x:c r="E388" s="25" t="str">
        <x:v>Adjunct Proceedings of the 35th Annual ACM Symposium on User Interface Software and Technology</x:v>
      </x:c>
      <x:c r="F388" s="25" t="str">
        <x:v>10.1145/3526114.3558703</x:v>
      </x:c>
      <x:c r="G388" s="25" t="str">
        <x:v>https://doi.org/10.1145/3526114.3558703</x:v>
      </x:c>
      <x:c r="H388" s="25" t="str">
        <x:v>Crossref</x:v>
      </x:c>
      <x:c r="I388" s="25" t="str">
        <x:v>C1_3D_mental_models</x:v>
      </x:c>
      <x:c r="J388" s="25" t="str">
        <x:v>Exclude</x:v>
      </x:c>
      <x:c r="K388" s="25" t="str">
        <x:v>Exclude: adjacent/redundant or insufficiently theory-generative for DC1</x:v>
      </x:c>
    </x:row>
    <x:row r="389">
      <x:c r="A389" s="20" t="str">
        <x:v>R0385</x:v>
      </x:c>
      <x:c r="B389" s="25" t="str">
        <x:v>A Survey on Large Language Model-Based Game Agents</x:v>
      </x:c>
      <x:c r="C389" s="25" t="n">
        <x:v>2024</x:v>
      </x:c>
      <x:c r="D389" s="25" t="str">
        <x:v>Sihao Hu; Tiansheng Huang; Gaowen Liu; Ramana Rao Kompella; Fatih İlhan; Selim Furkan Tekin; Xu, Yichang; Yahn, Zachary; Ling Liu</x:v>
      </x:c>
      <x:c r="E389" s="25" t="str">
        <x:v>arXiv (Cornell University)</x:v>
      </x:c>
      <x:c r="F389" s="25" t="str">
        <x:v>10.48550/arxiv.2404.02039</x:v>
      </x:c>
      <x:c r="G389" s="25" t="str">
        <x:v>https://arxiv.org/abs/2404.02039</x:v>
      </x:c>
      <x:c r="H389" s="25" t="str">
        <x:v>OpenAlex</x:v>
      </x:c>
      <x:c r="I389" s="25" t="str">
        <x:v>C5_agent_memory</x:v>
      </x:c>
      <x:c r="J389" s="25" t="str">
        <x:v>Exclude</x:v>
      </x:c>
      <x:c r="K389" s="25" t="str">
        <x:v>Exclude: adjacent/redundant or insufficiently theory-generative for DC1</x:v>
      </x:c>
    </x:row>
    <x:row r="390">
      <x:c r="A390" s="20" t="str">
        <x:v>R0386</x:v>
      </x:c>
      <x:c r="B390" s="25" t="str">
        <x:v>A direct manipulation interface for time navigation in scientific visualizations</x:v>
      </x:c>
      <x:c r="C390" s="25" t="n">
        <x:v>2009</x:v>
      </x:c>
      <x:c r="D390" s="25" t="str">
        <x:v>Marc Wolter; Bernd Hentschel; Irene Tedjo-Palczynski; Torsten Kuhlen</x:v>
      </x:c>
      <x:c r="E390" s="25" t="str">
        <x:v>2009 IEEE Symposium on 3D User Interfaces</x:v>
      </x:c>
      <x:c r="F390" s="25" t="str">
        <x:v>10.1109/3dui.2009.4811199</x:v>
      </x:c>
      <x:c r="G390" s="25" t="str">
        <x:v>https://doi.org/10.1109/3dui.2009.4811199</x:v>
      </x:c>
      <x:c r="H390" s="25" t="str">
        <x:v>Crossref</x:v>
      </x:c>
      <x:c r="I390" s="25" t="str">
        <x:v>C1_3D_mental_models</x:v>
      </x:c>
      <x:c r="J390" s="25" t="str">
        <x:v>Exclude</x:v>
      </x:c>
      <x:c r="K390" s="25" t="str">
        <x:v>Exclude: adjacent/redundant or insufficiently theory-generative for DC1</x:v>
      </x:c>
    </x:row>
    <x:row r="391">
      <x:c r="A391" s="20" t="str">
        <x:v>R0387</x:v>
      </x:c>
      <x:c r="B391" s="25" t="str">
        <x:v>AI takeover and human disempowerment</x:v>
      </x:c>
      <x:c r="C391" s="25" t="n">
        <x:v>2024</x:v>
      </x:c>
      <x:c r="D391" s="25" t="str">
        <x:v>Adam Bales</x:v>
      </x:c>
      <x:c r="E391" s="25" t="str">
        <x:v>The Philosophical Quarterly</x:v>
      </x:c>
      <x:c r="F391" s="25" t="str">
        <x:v>10.1093/pq/pqae034</x:v>
      </x:c>
      <x:c r="G391" s="25" t="str">
        <x:v>https://doi.org/10.1093/pq/pqae034</x:v>
      </x:c>
      <x:c r="H391" s="25" t="str">
        <x:v>Crossref</x:v>
      </x:c>
      <x:c r="I391" s="25" t="str">
        <x:v>C9_human_agent_handoff</x:v>
      </x:c>
      <x:c r="J391" s="25" t="str">
        <x:v>Exclude</x:v>
      </x:c>
      <x:c r="K391" s="25" t="str">
        <x:v>Exclude: topic mismatch</x:v>
      </x:c>
    </x:row>
    <x:row r="392">
      <x:c r="A392" s="20" t="str">
        <x:v>R0388</x:v>
      </x:c>
      <x:c r="B392" s="25" t="str">
        <x:v>Agentic AI in Healthcare and Medicine: A Seven-Dimensional Taxonomy for Empirical Evaluation of LLM-Based Agents</x:v>
      </x:c>
      <x:c r="C392" s="25" t="n">
        <x:v>2026</x:v>
      </x:c>
      <x:c r="D392" s="25" t="str">
        <x:v>Shubham Vatsal; Harsh Dubey; Aditi Singh</x:v>
      </x:c>
      <x:c r="E392" s="25" t="str">
        <x:v>IEEE Access</x:v>
      </x:c>
      <x:c r="F392" s="25" t="str">
        <x:v>10.1109/access.2026.3651218</x:v>
      </x:c>
      <x:c r="G392" s="25" t="str">
        <x:v>https://doi.org/10.1109/access.2026.3651218</x:v>
      </x:c>
      <x:c r="H392" s="25" t="str">
        <x:v>OpenAlex</x:v>
      </x:c>
      <x:c r="I392" s="25" t="str">
        <x:v>C5_agent_memory</x:v>
      </x:c>
      <x:c r="J392" s="25" t="str">
        <x:v>Exclude</x:v>
      </x:c>
      <x:c r="K392" s="25" t="str">
        <x:v>Exclude: adjacent/redundant or insufficiently theory-generative for DC1</x:v>
      </x:c>
    </x:row>
    <x:row r="393">
      <x:c r="A393" s="20" t="str">
        <x:v>R0389</x:v>
      </x:c>
      <x:c r="B393" s="25" t="str">
        <x:v>Complex QA and language models hybrid architectures, Survey</x:v>
      </x:c>
      <x:c r="C393" s="25" t="n">
        <x:v>2023</x:v>
      </x:c>
      <x:c r="D393" s="25" t="str">
        <x:v>Xavier Daull; Patrice Bellot; Emmanuel Bruno; Vincent Martin; Élisabeth Murisasco</x:v>
      </x:c>
      <x:c r="E393" s="25" t="str">
        <x:v>arXiv (Cornell University)</x:v>
      </x:c>
      <x:c r="F393" s="25" t="str">
        <x:v>10.48550/arxiv.2302.09051</x:v>
      </x:c>
      <x:c r="G393" s="25" t="str">
        <x:v>http://arxiv.org/abs/2302.09051</x:v>
      </x:c>
      <x:c r="H393" s="25" t="str">
        <x:v>OpenAlex</x:v>
      </x:c>
      <x:c r="I393" s="25" t="str">
        <x:v>C5_agent_memory</x:v>
      </x:c>
      <x:c r="J393" s="25" t="str">
        <x:v>Exclude</x:v>
      </x:c>
      <x:c r="K393" s="25" t="str">
        <x:v>Exclude: topic mismatch</x:v>
      </x:c>
    </x:row>
    <x:row r="394">
      <x:c r="A394" s="20" t="str">
        <x:v>R0390</x:v>
      </x:c>
      <x:c r="B394" s="25" t="str">
        <x:v>Direct 3D object manipulation on a collaborative stereoscopic display</x:v>
      </x:c>
      <x:c r="C394" s="25" t="n">
        <x:v>2013</x:v>
      </x:c>
      <x:c r="D394" s="25" t="str">
        <x:v>Kasım Özacar; Kazuki Takashima; Yoshifumi Kitamura</x:v>
      </x:c>
      <x:c r="E394" s="25" t="str">
        <x:v>Proceedings of the 1st symposium on Spatial user interaction</x:v>
      </x:c>
      <x:c r="F394" s="25" t="str">
        <x:v>10.1145/2491367.2491374</x:v>
      </x:c>
      <x:c r="G394" s="25" t="str">
        <x:v>https://doi.org/10.1145/2491367.2491374</x:v>
      </x:c>
      <x:c r="H394" s="25" t="str">
        <x:v>Crossref</x:v>
      </x:c>
      <x:c r="I394" s="25" t="str">
        <x:v>C1_3D_mental_models</x:v>
      </x:c>
      <x:c r="J394" s="25" t="str">
        <x:v>Exclude</x:v>
      </x:c>
      <x:c r="K394" s="25" t="str">
        <x:v>Exclude: adjacent/redundant or insufficiently theory-generative for DC1</x:v>
      </x:c>
    </x:row>
    <x:row r="395">
      <x:c r="A395" s="20" t="str">
        <x:v>R0391</x:v>
      </x:c>
      <x:c r="B395" s="25" t="str">
        <x:v>Enhancing memory retrieval in generative agents through LLM-trained cross attention networks</x:v>
      </x:c>
      <x:c r="C395" s="25" t="n">
        <x:v>2025</x:v>
      </x:c>
      <x:c r="D395" s="25" t="str">
        <x:v>Chuanyang Hong; Qi He</x:v>
      </x:c>
      <x:c r="E395" s="25" t="str">
        <x:v>Frontiers in Psychology</x:v>
      </x:c>
      <x:c r="F395" s="25" t="str">
        <x:v>10.3389/fpsyg.2025.1591618</x:v>
      </x:c>
      <x:c r="G395" s="25" t="str">
        <x:v>https://doi.org/10.3389/fpsyg.2025.1591618</x:v>
      </x:c>
      <x:c r="H395" s="25" t="str">
        <x:v>OpenAlex</x:v>
      </x:c>
      <x:c r="I395" s="25" t="str">
        <x:v>C5_agent_memory</x:v>
      </x:c>
      <x:c r="J395" s="25" t="str">
        <x:v>Exclude</x:v>
      </x:c>
      <x:c r="K395" s="25" t="str">
        <x:v>Exclude: adjacent/redundant or insufficiently theory-generative for DC1</x:v>
      </x:c>
    </x:row>
    <x:row r="396">
      <x:c r="A396" s="20" t="str">
        <x:v>R0392</x:v>
      </x:c>
      <x:c r="B396" s="25" t="str">
        <x:v>Free-convection flow about a wedge under mixed thermal boundary conditions and a magnetic field</x:v>
      </x:c>
      <x:c r="C396" s="25" t="n">
        <x:v>2004</x:v>
      </x:c>
      <x:c r="D396" s="25" t="str">
        <x:v>M. C. Ece</x:v>
      </x:c>
      <x:c r="E396" s="25" t="str">
        <x:v>Heat and Mass Transfer</x:v>
      </x:c>
      <x:c r="F396" s="25" t="str">
        <x:v>10.1007/s00231-004-0531-7</x:v>
      </x:c>
      <x:c r="G396" s="25" t="str">
        <x:v>https://doi.org/10.1007/s00231-004-0531-7</x:v>
      </x:c>
      <x:c r="H396" s="25" t="str">
        <x:v>Crossref</x:v>
      </x:c>
      <x:c r="I396" s="25" t="str">
        <x:v>C9_human_agent_handoff</x:v>
      </x:c>
      <x:c r="J396" s="25" t="str">
        <x:v>Exclude</x:v>
      </x:c>
      <x:c r="K396" s="25" t="str">
        <x:v>Exclude: topic mismatch</x:v>
      </x:c>
    </x:row>
    <x:row r="397">
      <x:c r="A397" s="20" t="str">
        <x:v>R0393</x:v>
      </x:c>
      <x:c r="B397" s="25" t="str">
        <x:v>Sculpt-to-Image: Exploring Clay-based Sculpting to Support Human-AI-Co-Creation of Images</x:v>
      </x:c>
      <x:c r="C397" s="25" t="n">
        <x:v>2025</x:v>
      </x:c>
      <x:c r="D397" s="25" t="str">
        <x:v>Lisa Hesselbarth; Nina Wenig; Tanja Döring; Rainer Malaka</x:v>
      </x:c>
      <x:c r="E397" s="25" t="str">
        <x:v>Proceedings of the 2025 Conference on Creativity and Cognition</x:v>
      </x:c>
      <x:c r="F397" s="25" t="str">
        <x:v>10.1145/3698061.3734408</x:v>
      </x:c>
      <x:c r="G397" s="25" t="str">
        <x:v>https://doi.org/10.1145/3698061.3734408</x:v>
      </x:c>
      <x:c r="H397" s="25" t="str">
        <x:v>Crossref</x:v>
      </x:c>
      <x:c r="I397" s="25" t="str">
        <x:v>C3_mixed_initiative_cocreation</x:v>
      </x:c>
      <x:c r="J397" s="25" t="str">
        <x:v>Exclude</x:v>
      </x:c>
      <x:c r="K397" s="25" t="str">
        <x:v>Exclude: topic mismatch</x:v>
      </x:c>
    </x:row>
    <x:row r="398">
      <x:c r="A398" s="20" t="str">
        <x:v>R0394</x:v>
      </x:c>
      <x:c r="B398" s="25" t="str">
        <x:v>Spatial user interface : augmenting human sensibilities in a domestic kitchen</x:v>
      </x:c>
      <x:c r="C398" s="25" t="n">
        <x:v>2005</x:v>
      </x:c>
      <x:c r="D398" s="25" t="str">
        <x:v>Jackie Chia-Hsun Lee</x:v>
      </x:c>
      <x:c r="E398" s="25" t="str">
        <x:v>DSpace@MIT (Massachusetts Institute of Technology)</x:v>
      </x:c>
      <x:c r="F398" s="25" t="str"/>
      <x:c r="G398" s="25" t="str">
        <x:v>http://hdl.handle.net/1721.1/33887</x:v>
      </x:c>
      <x:c r="H398" s="25" t="str">
        <x:v>OpenAlex</x:v>
      </x:c>
      <x:c r="I398" s="25" t="str">
        <x:v>C6_frontend_GUI_intent</x:v>
      </x:c>
      <x:c r="J398" s="25" t="str">
        <x:v>Exclude</x:v>
      </x:c>
      <x:c r="K398" s="25" t="str">
        <x:v>Exclude: topic mismatch</x:v>
      </x:c>
    </x:row>
    <x:row r="399">
      <x:c r="A399" s="20" t="str">
        <x:v>R0395</x:v>
      </x:c>
      <x:c r="B399" s="25" t="str">
        <x:v>Towards Scientific Intelligence: A Survey of LLM-based Scientific Agents</x:v>
      </x:c>
      <x:c r="C399" s="25" t="n">
        <x:v>2025</x:v>
      </x:c>
      <x:c r="D399" s="25" t="str">
        <x:v>Shengwei Ren; Can Xie; Jian Pu; Ren, Zhenjiang; Leng, Chunlin; Jiajun Zhang</x:v>
      </x:c>
      <x:c r="E399" s="25" t="str">
        <x:v>arXiv (Cornell University)</x:v>
      </x:c>
      <x:c r="F399" s="25" t="str">
        <x:v>10.48550/arxiv.2503.24047</x:v>
      </x:c>
      <x:c r="G399" s="25" t="str">
        <x:v>http://arxiv.org/abs/2503.24047</x:v>
      </x:c>
      <x:c r="H399" s="25" t="str">
        <x:v>OpenAlex</x:v>
      </x:c>
      <x:c r="I399" s="25" t="str">
        <x:v>C5_agent_memory</x:v>
      </x:c>
      <x:c r="J399" s="25" t="str">
        <x:v>Exclude</x:v>
      </x:c>
      <x:c r="K399" s="25" t="str">
        <x:v>Exclude: topic mismatch</x:v>
      </x:c>
    </x:row>
    <x:row r="400">
      <x:c r="A400" s="20" t="str">
        <x:v>R0396</x:v>
      </x:c>
      <x:c r="B400" s="25" t="str">
        <x:v>A Negotiation-Theoretic Framework for Control Authority Transfer in Mixed-Initiative Robotic Systems</x:v>
      </x:c>
      <x:c r="C400" s="25" t="n">
        <x:v>2022</x:v>
      </x:c>
      <x:c r="D400" s="25" t="str">
        <x:v>Simon Rothfus; Manolis Chiou; Jairo Inga; Soren Hohmann; Rustam Stolkin</x:v>
      </x:c>
      <x:c r="E400" s="25" t="str">
        <x:v>2022 IEEE International Conference on Systems, Man, and Cybernetics (SMC)</x:v>
      </x:c>
      <x:c r="F400" s="25" t="str">
        <x:v>10.1109/smc53654.2022.9945196</x:v>
      </x:c>
      <x:c r="G400" s="25" t="str">
        <x:v>https://doi.org/10.1109/smc53654.2022.9945196</x:v>
      </x:c>
      <x:c r="H400" s="25" t="str">
        <x:v>Crossref</x:v>
      </x:c>
      <x:c r="I400" s="25" t="str">
        <x:v>C9_human_agent_handoff</x:v>
      </x:c>
      <x:c r="J400" s="25" t="str">
        <x:v>Include</x:v>
      </x:c>
      <x:c r="K400" s="25" t="str">
        <x:v>Included in focused synthesis</x:v>
      </x:c>
    </x:row>
    <x:row r="401">
      <x:c r="A401" s="20" t="str">
        <x:v>R0397</x:v>
      </x:c>
      <x:c r="B401" s="25" t="str">
        <x:v>Flight deck human-automation issue detection via intent inference</x:v>
      </x:c>
      <x:c r="C401" s="25" t="n">
        <x:v>2014</x:v>
      </x:c>
      <x:c r="D401" s="25" t="str">
        <x:v>Sangjin Lee; Inseok Hwang; Kenneth Leiden</x:v>
      </x:c>
      <x:c r="E401" s="25" t="str">
        <x:v>Proceedings of the International Conference on Human-Computer Interaction in Aerospace</x:v>
      </x:c>
      <x:c r="F401" s="25" t="str">
        <x:v>10.1145/2669592.2669690</x:v>
      </x:c>
      <x:c r="G401" s="25" t="str">
        <x:v>https://doi.org/10.1145/2669592.2669690</x:v>
      </x:c>
      <x:c r="H401" s="25" t="str">
        <x:v>Crossref</x:v>
      </x:c>
      <x:c r="I401" s="25" t="str">
        <x:v>C2_interaction_signals; C4_uncertainty_shared_autonomy</x:v>
      </x:c>
      <x:c r="J401" s="25" t="str">
        <x:v>Exclude</x:v>
      </x:c>
      <x:c r="K401" s="25" t="str">
        <x:v>Exclude: adjacent/redundant or insufficiently theory-generative for DC1</x:v>
      </x:c>
    </x:row>
    <x:row r="402">
      <x:c r="A402" s="20" t="str">
        <x:v>R0398</x:v>
      </x:c>
      <x:c r="B402" s="25" t="str">
        <x:v>Long Term Memory: The Foundation of AI Self-Evolution</x:v>
      </x:c>
      <x:c r="C402" s="25" t="n">
        <x:v>2024</x:v>
      </x:c>
      <x:c r="D402" s="25" t="str">
        <x:v>Xun Jiang; Feng Li; Han Zhao; Qiu, Jiahao; Jiaying Wang; Jun Shao; Shihao Xu; Shu Zhang; Weiling Chen; Tang, Xavier; Yize Chen; Mengyue Wu; Weizhi Ma; Mengdi Wang; Tianqiao Chen</x:v>
      </x:c>
      <x:c r="E402" s="25" t="str">
        <x:v>arXiv (Cornell University)</x:v>
      </x:c>
      <x:c r="F402" s="25" t="str">
        <x:v>10.48550/arxiv.2410.15665</x:v>
      </x:c>
      <x:c r="G402" s="25" t="str">
        <x:v>http://arxiv.org/abs/2410.15665</x:v>
      </x:c>
      <x:c r="H402" s="25" t="str">
        <x:v>OpenAlex</x:v>
      </x:c>
      <x:c r="I402" s="25" t="str">
        <x:v>C5_agent_memory</x:v>
      </x:c>
      <x:c r="J402" s="25" t="str">
        <x:v>Exclude</x:v>
      </x:c>
      <x:c r="K402" s="25" t="str">
        <x:v>Exclude: adjacent/redundant or insufficiently theory-generative for DC1</x:v>
      </x:c>
    </x:row>
    <x:row r="403">
      <x:c r="A403" s="20" t="str">
        <x:v>R0399</x:v>
      </x:c>
      <x:c r="B403" s="25" t="str">
        <x:v>Procedural Memory Is Not All You Need</x:v>
      </x:c>
      <x:c r="C403" s="25" t="n">
        <x:v>2025</x:v>
      </x:c>
      <x:c r="D403" s="25" t="str">
        <x:v>Schaun Wheeler; Olivier Jeunen</x:v>
      </x:c>
      <x:c r="E403" s="25" t="str"/>
      <x:c r="F403" s="25" t="str">
        <x:v>10.1145/3708319.3734172</x:v>
      </x:c>
      <x:c r="G403" s="25" t="str">
        <x:v>https://doi.org/10.1145/3708319.3734172</x:v>
      </x:c>
      <x:c r="H403" s="25" t="str">
        <x:v>OpenAlex</x:v>
      </x:c>
      <x:c r="I403" s="25" t="str">
        <x:v>C5_agent_memory</x:v>
      </x:c>
      <x:c r="J403" s="25" t="str">
        <x:v>Exclude</x:v>
      </x:c>
      <x:c r="K403" s="25" t="str">
        <x:v>Exclude: adjacent/redundant or insufficiently theory-generative for DC1</x:v>
      </x:c>
    </x:row>
    <x:row r="404">
      <x:c r="A404" s="20" t="str">
        <x:v>R0400</x:v>
      </x:c>
      <x:c r="B404" s="25" t="str">
        <x:v>Semantically Aligned Task Decomposition in Multi-Agent Reinforcement Learning</x:v>
      </x:c>
      <x:c r="C404" s="25" t="n">
        <x:v>2023</x:v>
      </x:c>
      <x:c r="D404" s="25" t="str">
        <x:v>Wenhao Li; Dan Qiao; Baoxiang Wang; Xiangfeng Wang; Bo Jin; Hongyuan Zha</x:v>
      </x:c>
      <x:c r="E404" s="25" t="str">
        <x:v>arXiv (Cornell University)</x:v>
      </x:c>
      <x:c r="F404" s="25" t="str">
        <x:v>10.48550/arxiv.2305.10865</x:v>
      </x:c>
      <x:c r="G404" s="25" t="str">
        <x:v>http://arxiv.org/abs/2305.10865</x:v>
      </x:c>
      <x:c r="H404" s="25" t="str">
        <x:v>OpenAlex</x:v>
      </x:c>
      <x:c r="I404" s="25" t="str">
        <x:v>C5_agent_memory</x:v>
      </x:c>
      <x:c r="J404" s="25" t="str">
        <x:v>Exclude</x:v>
      </x:c>
      <x:c r="K404" s="25" t="str">
        <x:v>Exclude: topic mismatch</x:v>
      </x:c>
    </x:row>
    <x:row r="405">
      <x:c r="A405" s="20" t="str">
        <x:v>R0401</x:v>
      </x:c>
      <x:c r="B405" s="25" t="str">
        <x:v>The Mosaic of Human-AI Co-Creation: Emerging human-technology relationships in a co-design process with generative AI</x:v>
      </x:c>
      <x:c r="C405" s="25" t="n">
        <x:v>2023</x:v>
      </x:c>
      <x:c r="D405" s="25" t="str">
        <x:v>Henriikka Vartiainen; Päivikki Liukkonen; Matti Tedre</x:v>
      </x:c>
      <x:c r="E405" s="25" t="str"/>
      <x:c r="F405" s="25" t="str">
        <x:v>10.35542/osf.io/g5fb8</x:v>
      </x:c>
      <x:c r="G405" s="25" t="str">
        <x:v>https://doi.org/10.35542/osf.io/g5fb8</x:v>
      </x:c>
      <x:c r="H405" s="25" t="str">
        <x:v>Crossref</x:v>
      </x:c>
      <x:c r="I405" s="25" t="str">
        <x:v>C3_mixed_initiative_cocreation; C7_creative_agency</x:v>
      </x:c>
      <x:c r="J405" s="25" t="str">
        <x:v>Exclude</x:v>
      </x:c>
      <x:c r="K405" s="25" t="str">
        <x:v>Exclude: topic mismatch</x:v>
      </x:c>
    </x:row>
    <x:row r="406">
      <x:c r="A406" s="20" t="str">
        <x:v>R0402</x:v>
      </x:c>
      <x:c r="B406" s="25" t="str">
        <x:v>Towards Aligning Personalized AI Agents with Users' Privacy Preference</x:v>
      </x:c>
      <x:c r="C406" s="25" t="n">
        <x:v>2025</x:v>
      </x:c>
      <x:c r="D406" s="25" t="str">
        <x:v>Shuning Zhang; Ying Ma; Jingruo Chen; Simin Li; Xin Yi; Hewu Li</x:v>
      </x:c>
      <x:c r="E406" s="25" t="str"/>
      <x:c r="F406" s="25" t="str">
        <x:v>10.1145/3733816.3760752</x:v>
      </x:c>
      <x:c r="G406" s="25" t="str">
        <x:v>https://doi.org/10.1145/3733816.3760752</x:v>
      </x:c>
      <x:c r="H406" s="25" t="str">
        <x:v>OpenAlex</x:v>
      </x:c>
      <x:c r="I406" s="25" t="str">
        <x:v>C6_frontend_GUI_intent</x:v>
      </x:c>
      <x:c r="J406" s="25" t="str">
        <x:v>Exclude</x:v>
      </x:c>
      <x:c r="K406" s="25" t="str">
        <x:v>Exclude: topic mismatch</x:v>
      </x:c>
    </x:row>
    <x:row r="407">
      <x:c r="A407" s="20" t="str">
        <x:v>R0403</x:v>
      </x:c>
      <x:c r="B407" s="25" t="str">
        <x:v>User Intent Inference for Web Search and Conversational Agents</x:v>
      </x:c>
      <x:c r="C407" s="25" t="n">
        <x:v>2020</x:v>
      </x:c>
      <x:c r="D407" s="25" t="str">
        <x:v>Ali Ahmadvand</x:v>
      </x:c>
      <x:c r="E407" s="25" t="str">
        <x:v>Proceedings of the 13th International Conference on Web Search and Data Mining</x:v>
      </x:c>
      <x:c r="F407" s="25" t="str">
        <x:v>10.1145/3336191.3372187</x:v>
      </x:c>
      <x:c r="G407" s="25" t="str">
        <x:v>https://doi.org/10.1145/3336191.3372187</x:v>
      </x:c>
      <x:c r="H407" s="25" t="str">
        <x:v>Crossref</x:v>
      </x:c>
      <x:c r="I407" s="25" t="str">
        <x:v>C2_interaction_signals</x:v>
      </x:c>
      <x:c r="J407" s="25" t="str">
        <x:v>Exclude</x:v>
      </x:c>
      <x:c r="K407" s="25" t="str">
        <x:v>Exclude: adjacent/redundant or insufficiently theory-generative for DC1</x:v>
      </x:c>
    </x:row>
    <x:row r="408">
      <x:c r="A408" s="20" t="str">
        <x:v>R0404</x:v>
      </x:c>
      <x:c r="B408" s="25" t="str">
        <x:v>ACCOUNTING FOR EPISODIC, SEMANTIC AND PROCEDURAL MEMORY IN THE RECOMMENDATION ARCHITECTURE COGNITIVE MODEL</x:v>
      </x:c>
      <x:c r="C408" s="25" t="n">
        <x:v>2005</x:v>
      </x:c>
      <x:c r="D408" s="25" t="str">
        <x:v>L. ANDREW COWARD</x:v>
      </x:c>
      <x:c r="E408" s="25" t="str">
        <x:v>Modeling Language, Cognition and Action</x:v>
      </x:c>
      <x:c r="F408" s="25" t="str">
        <x:v>10.1142/9789812701886_0032</x:v>
      </x:c>
      <x:c r="G408" s="25" t="str">
        <x:v>https://doi.org/10.1142/9789812701886_0032</x:v>
      </x:c>
      <x:c r="H408" s="25" t="str">
        <x:v>Crossref</x:v>
      </x:c>
      <x:c r="I408" s="25" t="str">
        <x:v>C5_agent_memory</x:v>
      </x:c>
      <x:c r="J408" s="25" t="str">
        <x:v>Exclude</x:v>
      </x:c>
      <x:c r="K408" s="25" t="str">
        <x:v>Exclude: adjacent/redundant or insufficiently theory-generative for DC1</x:v>
      </x:c>
    </x:row>
    <x:row r="409">
      <x:c r="A409" s="20" t="str">
        <x:v>R0405</x:v>
      </x:c>
      <x:c r="B409" s="25" t="str">
        <x:v>AriGraph: Learning Knowledge Graph World Models with Episodic Memory for LLM Agents</x:v>
      </x:c>
      <x:c r="C409" s="25" t="n">
        <x:v>2024</x:v>
      </x:c>
      <x:c r="D409" s="25" t="str">
        <x:v>Petr Anokhin; Nikita Semenov; Artyom Sorokin; Dmitry Evseev; Kravchenko, Andrey; Mikhail Burtsev; Evgeny Burnaev</x:v>
      </x:c>
      <x:c r="E409" s="25" t="str">
        <x:v>arXiv (Cornell University)</x:v>
      </x:c>
      <x:c r="F409" s="25" t="str">
        <x:v>10.48550/arxiv.2407.04363</x:v>
      </x:c>
      <x:c r="G409" s="25" t="str">
        <x:v>http://arxiv.org/abs/2407.04363</x:v>
      </x:c>
      <x:c r="H409" s="25" t="str">
        <x:v>OpenAlex</x:v>
      </x:c>
      <x:c r="I409" s="25" t="str">
        <x:v>C5_agent_memory</x:v>
      </x:c>
      <x:c r="J409" s="25" t="str">
        <x:v>Exclude</x:v>
      </x:c>
      <x:c r="K409" s="25" t="str">
        <x:v>Exclude: adjacent/redundant or insufficiently theory-generative for DC1</x:v>
      </x:c>
    </x:row>
    <x:row r="410">
      <x:c r="A410" s="20" t="str">
        <x:v>R0406</x:v>
      </x:c>
      <x:c r="B410" s="25" t="str">
        <x:v>Direct Manipulation User Interface</x:v>
      </x:c>
      <x:c r="C410" s="25" t="n">
        <x:v>1992</x:v>
      </x:c>
      <x:c r="D410" s="25" t="str">
        <x:v>Claus Görner; Paulus Vossen; Jürgen Ziegler</x:v>
      </x:c>
      <x:c r="E410" s="25" t="str">
        <x:v>Human Factors in Information Technology</x:v>
      </x:c>
      <x:c r="F410" s="25" t="str">
        <x:v>10.1016/b978-0-444-89301-7.50014-9</x:v>
      </x:c>
      <x:c r="G410" s="25" t="str">
        <x:v>https://doi.org/10.1016/b978-0-444-89301-7.50014-9</x:v>
      </x:c>
      <x:c r="H410" s="25" t="str">
        <x:v>Crossref</x:v>
      </x:c>
      <x:c r="I410" s="25" t="str">
        <x:v>C1_3D_mental_models</x:v>
      </x:c>
      <x:c r="J410" s="25" t="str">
        <x:v>Exclude</x:v>
      </x:c>
      <x:c r="K410" s="25" t="str">
        <x:v>Exclude: adjacent/redundant or insufficiently theory-generative for DC1</x:v>
      </x:c>
    </x:row>
    <x:row r="411">
      <x:c r="A411" s="20" t="str">
        <x:v>R0407</x:v>
      </x:c>
      <x:c r="B411" s="25" t="str">
        <x:v>Identifying the impact of Human-AI co-creation on students' creativity development: a conceptual framework</x:v>
      </x:c>
      <x:c r="C411" s="25" t="n">
        <x:v>2023</x:v>
      </x:c>
      <x:c r="D411" s="25" t="str">
        <x:v>Jinping Zhong; Yunxiang Zheng</x:v>
      </x:c>
      <x:c r="E411" s="25" t="str">
        <x:v>2023 3rd International Conference on Educational Technology (ICET)</x:v>
      </x:c>
      <x:c r="F411" s="25" t="str">
        <x:v>10.1109/icet59358.2023.10424147</x:v>
      </x:c>
      <x:c r="G411" s="25" t="str">
        <x:v>https://doi.org/10.1109/icet59358.2023.10424147</x:v>
      </x:c>
      <x:c r="H411" s="25" t="str">
        <x:v>Crossref</x:v>
      </x:c>
      <x:c r="I411" s="25" t="str">
        <x:v>C3_mixed_initiative_cocreation</x:v>
      </x:c>
      <x:c r="J411" s="25" t="str">
        <x:v>Exclude</x:v>
      </x:c>
      <x:c r="K411" s="25" t="str">
        <x:v>Exclude: adjacent/redundant or insufficiently theory-generative for DC1</x:v>
      </x:c>
    </x:row>
    <x:row r="412">
      <x:c r="A412" s="20" t="str">
        <x:v>R0408</x:v>
      </x:c>
      <x:c r="B412" s="25" t="str">
        <x:v>On adiabatic-isothermal mixed boundary conditions in heat transfer</x:v>
      </x:c>
      <x:c r="C412" s="25" t="n">
        <x:v>1994</x:v>
      </x:c>
      <x:c r="D412" s="25" t="str">
        <x:v>R. Ben Yedder; E. Bilgen</x:v>
      </x:c>
      <x:c r="E412" s="25" t="str">
        <x:v>Wärme- und Stoffübertragung</x:v>
      </x:c>
      <x:c r="F412" s="25" t="str">
        <x:v>10.1007/bf01584048</x:v>
      </x:c>
      <x:c r="G412" s="25" t="str">
        <x:v>https://doi.org/10.1007/bf01584048</x:v>
      </x:c>
      <x:c r="H412" s="25" t="str">
        <x:v>Crossref</x:v>
      </x:c>
      <x:c r="I412" s="25" t="str">
        <x:v>C9_human_agent_handoff</x:v>
      </x:c>
      <x:c r="J412" s="25" t="str">
        <x:v>Exclude</x:v>
      </x:c>
      <x:c r="K412" s="25" t="str">
        <x:v>Exclude: topic mismatch</x:v>
      </x:c>
    </x:row>
    <x:row r="413">
      <x:c r="A413" s="20" t="str">
        <x:v>R0409</x:v>
      </x:c>
      <x:c r="B413" s="25" t="str">
        <x:v>T4T: Tangible interface for tuning 3D object manipulation tools</x:v>
      </x:c>
      <x:c r="C413" s="25" t="n">
        <x:v>2017</x:v>
      </x:c>
      <x:c r="D413" s="25" t="str">
        <x:v>Alberto Cannavo; Fabio Cermelli; Vincenzo Chiaramida; Giovanni Ciccone; Fabrizio Lamberti; Paolo Montuschi; Gianluca Paravati</x:v>
      </x:c>
      <x:c r="E413" s="25" t="str">
        <x:v>2017 IEEE Symposium on 3D User Interfaces (3DUI)</x:v>
      </x:c>
      <x:c r="F413" s="25" t="str">
        <x:v>10.1109/3dui.2017.7893374</x:v>
      </x:c>
      <x:c r="G413" s="25" t="str">
        <x:v>https://doi.org/10.1109/3dui.2017.7893374</x:v>
      </x:c>
      <x:c r="H413" s="25" t="str">
        <x:v>Crossref</x:v>
      </x:c>
      <x:c r="I413" s="25" t="str">
        <x:v>C1_3D_mental_models</x:v>
      </x:c>
      <x:c r="J413" s="25" t="str">
        <x:v>Exclude</x:v>
      </x:c>
      <x:c r="K413" s="25" t="str">
        <x:v>Exclude: adjacent/redundant or insufficiently theory-generative for DC1</x:v>
      </x:c>
    </x:row>
    <x:row r="414">
      <x:c r="A414" s="20" t="str">
        <x:v>R0410</x:v>
      </x:c>
      <x:c r="B414" s="25" t="str">
        <x:v>Tell Me What I Missed: Interacting with GPT during Recalling of One-Time Witnessed Events</x:v>
      </x:c>
      <x:c r="C414" s="25" t="n">
        <x:v>2026</x:v>
      </x:c>
      <x:c r="D414" s="25" t="str">
        <x:v>Suifang Zhou; Qi Gong; Ximing Shen; Ray Lc</x:v>
      </x:c>
      <x:c r="E414" s="25" t="str"/>
      <x:c r="F414" s="25" t="str">
        <x:v>10.1145/3772318.3791863</x:v>
      </x:c>
      <x:c r="G414" s="25" t="str">
        <x:v>https://doi.org/10.1145/3772318.3791863</x:v>
      </x:c>
      <x:c r="H414" s="25" t="str">
        <x:v>OpenAlex</x:v>
      </x:c>
      <x:c r="I414" s="25" t="str">
        <x:v>C5_agent_memory</x:v>
      </x:c>
      <x:c r="J414" s="25" t="str">
        <x:v>Exclude</x:v>
      </x:c>
      <x:c r="K414" s="25" t="str">
        <x:v>Exclude: adjacent/redundant or insufficiently theory-generative for DC1</x:v>
      </x:c>
    </x:row>
    <x:row r="415">
      <x:c r="A415" s="20" t="str">
        <x:v>R0411</x:v>
      </x:c>
      <x:c r="B415" s="25" t="str">
        <x:v>Toward Zero-Shot User Intent Recognition in Shared Autonomy</x:v>
      </x:c>
      <x:c r="C415" s="25" t="n">
        <x:v>2025</x:v>
      </x:c>
      <x:c r="D415" s="25" t="str">
        <x:v>Atharv Belsare; Zohre Karimi; Connor Mattson; Daniel S. Brown</x:v>
      </x:c>
      <x:c r="E415" s="25" t="str">
        <x:v>2025 20th ACM/IEEE International Conference on Human-Robot Interaction (HRI)</x:v>
      </x:c>
      <x:c r="F415" s="25" t="str">
        <x:v>10.1109/hri61500.2025.10973985</x:v>
      </x:c>
      <x:c r="G415" s="25" t="str">
        <x:v>https://doi.org/10.1109/hri61500.2025.10973985</x:v>
      </x:c>
      <x:c r="H415" s="25" t="str">
        <x:v>Crossref</x:v>
      </x:c>
      <x:c r="I415" s="25" t="str">
        <x:v>C4_uncertainty_shared_autonomy</x:v>
      </x:c>
      <x:c r="J415" s="25" t="str">
        <x:v>Exclude</x:v>
      </x:c>
      <x:c r="K415" s="25" t="str">
        <x:v>Exclude: adjacent/redundant or insufficiently theory-generative for DC1</x:v>
      </x:c>
    </x:row>
    <x:row r="416">
      <x:c r="A416" s="20" t="str">
        <x:v>R0412</x:v>
      </x:c>
      <x:c r="B416" s="25" t="str">
        <x:v>Truly Self-Improving Agents Require Intrinsic Metacognitive Learning</x:v>
      </x:c>
      <x:c r="C416" s="25" t="n">
        <x:v>2025</x:v>
      </x:c>
      <x:c r="D416" s="25" t="str">
        <x:v>Tennison Liu; Mihaela van der Schaar</x:v>
      </x:c>
      <x:c r="E416" s="25" t="str">
        <x:v>arXiv (Cornell University)</x:v>
      </x:c>
      <x:c r="F416" s="25" t="str">
        <x:v>10.48550/arxiv.2506.05109</x:v>
      </x:c>
      <x:c r="G416" s="25" t="str">
        <x:v>http://arxiv.org/abs/2506.05109</x:v>
      </x:c>
      <x:c r="H416" s="25" t="str">
        <x:v>OpenAlex</x:v>
      </x:c>
      <x:c r="I416" s="25" t="str">
        <x:v>C5_agent_memory</x:v>
      </x:c>
      <x:c r="J416" s="25" t="str">
        <x:v>Exclude</x:v>
      </x:c>
      <x:c r="K416" s="25" t="str">
        <x:v>Exclude: topic mismatch</x:v>
      </x:c>
    </x:row>
    <x:row r="417">
      <x:c r="A417" s="20" t="str">
        <x:v>R0413</x:v>
      </x:c>
      <x:c r="B417" s="25" t="str">
        <x:v>Vision-based 3D direct manipulation interface for smart interaction</x:v>
      </x:c>
      <x:c r="C417" s="25" t="str"/>
      <x:c r="D417" s="25" t="str">
        <x:v>S. Yonemoto; R. Taniguchi</x:v>
      </x:c>
      <x:c r="E417" s="25" t="str">
        <x:v>Object recognition supported by user interaction for service robots</x:v>
      </x:c>
      <x:c r="F417" s="25" t="str">
        <x:v>10.1109/icpr.2002.1048387</x:v>
      </x:c>
      <x:c r="G417" s="25" t="str">
        <x:v>https://doi.org/10.1109/icpr.2002.1048387</x:v>
      </x:c>
      <x:c r="H417" s="25" t="str">
        <x:v>Crossref</x:v>
      </x:c>
      <x:c r="I417" s="25" t="str">
        <x:v>C1_3D_mental_models</x:v>
      </x:c>
      <x:c r="J417" s="25" t="str">
        <x:v>Exclude</x:v>
      </x:c>
      <x:c r="K417" s="25" t="str">
        <x:v>Exclude: adjacent/redundant or insufficiently theory-generative for DC1</x:v>
      </x:c>
    </x:row>
    <x:row r="418">
      <x:c r="A418" s="20" t="str">
        <x:v>R0414</x:v>
      </x:c>
      <x:c r="B418" s="25" t="str">
        <x:v>Working Memory Identifies Reasoning Limits in Language Models</x:v>
      </x:c>
      <x:c r="C418" s="25" t="n">
        <x:v>2024</x:v>
      </x:c>
      <x:c r="D418" s="25" t="str">
        <x:v>Chunhui Zhang; Yiren Jian; Zhongyu Ouyang; Soroush Vosoughi</x:v>
      </x:c>
      <x:c r="E418" s="25" t="str"/>
      <x:c r="F418" s="25" t="str">
        <x:v>10.18653/v1/2024.emnlp-main.938</x:v>
      </x:c>
      <x:c r="G418" s="25" t="str">
        <x:v>https://doi.org/10.18653/v1/2024.emnlp-main.938</x:v>
      </x:c>
      <x:c r="H418" s="25" t="str">
        <x:v>OpenAlex</x:v>
      </x:c>
      <x:c r="I418" s="25" t="str">
        <x:v>C5_agent_memory</x:v>
      </x:c>
      <x:c r="J418" s="25" t="str">
        <x:v>Exclude</x:v>
      </x:c>
      <x:c r="K418" s="25" t="str">
        <x:v>Exclude: adjacent/redundant or insufficiently theory-generative for DC1</x:v>
      </x:c>
    </x:row>
    <x:row r="419">
      <x:c r="A419" s="20" t="str">
        <x:v>R0415</x:v>
      </x:c>
      <x:c r="B419" s="25" t="str">
        <x:v>A Hierarchical Variable Autonomy Mixed-Initiative Framework for Human-Robot Teaming in Mobile Robotics</x:v>
      </x:c>
      <x:c r="C419" s="25" t="n">
        <x:v>2022</x:v>
      </x:c>
      <x:c r="D419" s="25" t="str">
        <x:v>Dimitris Panagopoulos; Giannis Petousakis; Aniketh Ramesh; Tianshu Ruan; Grigoris Nikolaou; Rustam Stolkin; Manolis Chiou</x:v>
      </x:c>
      <x:c r="E419" s="25" t="str">
        <x:v>2022 IEEE 3rd International Conference on Human-Machine Systems (ICHMS)</x:v>
      </x:c>
      <x:c r="F419" s="25" t="str">
        <x:v>10.1109/ichms56717.2022.9980686</x:v>
      </x:c>
      <x:c r="G419" s="25" t="str">
        <x:v>https://doi.org/10.1109/ichms56717.2022.9980686</x:v>
      </x:c>
      <x:c r="H419" s="25" t="str">
        <x:v>Crossref</x:v>
      </x:c>
      <x:c r="I419" s="25" t="str">
        <x:v>C9_human_agent_handoff</x:v>
      </x:c>
      <x:c r="J419" s="25" t="str">
        <x:v>Include</x:v>
      </x:c>
      <x:c r="K419" s="25" t="str">
        <x:v>Included in focused synthesis</x:v>
      </x:c>
    </x:row>
    <x:row r="420">
      <x:c r="A420" s="20" t="str">
        <x:v>R0416</x:v>
      </x:c>
      <x:c r="B420" s="25" t="str">
        <x:v>Blended Memory: The Changing Balance of Technologically-Mediated Semantic and Episodic Memory</x:v>
      </x:c>
      <x:c r="C420" s="25" t="n">
        <x:v>2011</x:v>
      </x:c>
      <x:c r="D420" s="25" t="str">
        <x:v>Tim Fawns</x:v>
      </x:c>
      <x:c r="E420" s="25" t="str">
        <x:v>Navigating Landscapes of Mediated Memory</x:v>
      </x:c>
      <x:c r="F420" s="25" t="str">
        <x:v>10.1163/9781848880900_013</x:v>
      </x:c>
      <x:c r="G420" s="25" t="str">
        <x:v>https://doi.org/10.1163/9781848880900_013</x:v>
      </x:c>
      <x:c r="H420" s="25" t="str">
        <x:v>Crossref</x:v>
      </x:c>
      <x:c r="I420" s="25" t="str">
        <x:v>C5_agent_memory</x:v>
      </x:c>
      <x:c r="J420" s="25" t="str">
        <x:v>Exclude</x:v>
      </x:c>
      <x:c r="K420" s="25" t="str">
        <x:v>Exclude: adjacent/redundant or insufficiently theory-generative for DC1</x:v>
      </x:c>
    </x:row>
    <x:row r="421">
      <x:c r="A421" s="20" t="str">
        <x:v>R0417</x:v>
      </x:c>
      <x:c r="B421" s="25" t="str">
        <x:v>Can A Cognitive Architecture Fundamentally Enhance LLMs? Or Vice Versa?</x:v>
      </x:c>
      <x:c r="C421" s="25" t="n">
        <x:v>2024</x:v>
      </x:c>
      <x:c r="D421" s="25" t="str">
        <x:v>Ron Sun</x:v>
      </x:c>
      <x:c r="E421" s="25" t="str">
        <x:v>arXiv (Cornell University)</x:v>
      </x:c>
      <x:c r="F421" s="25" t="str">
        <x:v>10.48550/arxiv.2401.10444</x:v>
      </x:c>
      <x:c r="G421" s="25" t="str">
        <x:v>http://arxiv.org/abs/2401.10444</x:v>
      </x:c>
      <x:c r="H421" s="25" t="str">
        <x:v>OpenAlex</x:v>
      </x:c>
      <x:c r="I421" s="25" t="str">
        <x:v>C5_agent_memory</x:v>
      </x:c>
      <x:c r="J421" s="25" t="str">
        <x:v>Exclude</x:v>
      </x:c>
      <x:c r="K421" s="25" t="str">
        <x:v>Exclude: adjacent/redundant or insufficiently theory-generative for DC1</x:v>
      </x:c>
    </x:row>
    <x:row r="422">
      <x:c r="A422" s="20" t="str">
        <x:v>R0418</x:v>
      </x:c>
      <x:c r="B422" s="25" t="str">
        <x:v>Digital Creativity Support: designing AI to augment human creativity</x:v>
      </x:c>
      <x:c r="C422" s="25" t="n">
        <x:v>2019</x:v>
      </x:c>
      <x:c r="D422" s="25" t="str">
        <x:v>Neil Maiden</x:v>
      </x:c>
      <x:c r="E422" s="25" t="str">
        <x:v>The Human Position in an Artificial World: Creativity, Ethics and AI in Knowledge Organization</x:v>
      </x:c>
      <x:c r="F422" s="25" t="str">
        <x:v>10.5771/9783956505508-145</x:v>
      </x:c>
      <x:c r="G422" s="25" t="str">
        <x:v>https://doi.org/10.5771/9783956505508-145</x:v>
      </x:c>
      <x:c r="H422" s="25" t="str">
        <x:v>Crossref</x:v>
      </x:c>
      <x:c r="I422" s="25" t="str">
        <x:v>C3_mixed_initiative_cocreation</x:v>
      </x:c>
      <x:c r="J422" s="25" t="str">
        <x:v>Exclude</x:v>
      </x:c>
      <x:c r="K422" s="25" t="str">
        <x:v>Exclude: adjacent/redundant or insufficiently theory-generative for DC1</x:v>
      </x:c>
    </x:row>
    <x:row r="423">
      <x:c r="A423" s="20" t="str">
        <x:v>R0419</x:v>
      </x:c>
      <x:c r="B423" s="25" t="str">
        <x:v>Evaluation of the Choice of LLM in a Multi-Agent Solution for GUI-Test Generation</x:v>
      </x:c>
      <x:c r="C423" s="25" t="n">
        <x:v>2025</x:v>
      </x:c>
      <x:c r="D423" s="25" t="str">
        <x:v>Stevan Tomic; Emil Alégroth; Maycel Isaac</x:v>
      </x:c>
      <x:c r="E423" s="25" t="str"/>
      <x:c r="F423" s="25" t="str">
        <x:v>10.1109/icst62969.2025.10989038</x:v>
      </x:c>
      <x:c r="G423" s="25" t="str">
        <x:v>https://doi.org/10.1109/icst62969.2025.10989038</x:v>
      </x:c>
      <x:c r="H423" s="25" t="str">
        <x:v>OpenAlex</x:v>
      </x:c>
      <x:c r="I423" s="25" t="str">
        <x:v>C6_frontend_GUI_intent</x:v>
      </x:c>
      <x:c r="J423" s="25" t="str">
        <x:v>Exclude</x:v>
      </x:c>
      <x:c r="K423" s="25" t="str">
        <x:v>Exclude: topic mismatch</x:v>
      </x:c>
    </x:row>
    <x:row r="424">
      <x:c r="A424" s="20" t="str">
        <x:v>R0420</x:v>
      </x:c>
      <x:c r="B424" s="25" t="str">
        <x:v>HoloLeap</x:v>
      </x:c>
      <x:c r="C424" s="25" t="n">
        <x:v>2014</x:v>
      </x:c>
      <x:c r="D424" s="25" t="str">
        <x:v>Vamsi Kiran Adihikarla; Paweł Wozniak; Robert Teather</x:v>
      </x:c>
      <x:c r="E424" s="25" t="str">
        <x:v>Proceedings of the 2nd ACM symposium on Spatial user interaction</x:v>
      </x:c>
      <x:c r="F424" s="25" t="str">
        <x:v>10.1145/2659766.2661223</x:v>
      </x:c>
      <x:c r="G424" s="25" t="str">
        <x:v>https://doi.org/10.1145/2659766.2661223</x:v>
      </x:c>
      <x:c r="H424" s="25" t="str">
        <x:v>Crossref</x:v>
      </x:c>
      <x:c r="I424" s="25" t="str">
        <x:v>C1_3D_mental_models</x:v>
      </x:c>
      <x:c r="J424" s="25" t="str">
        <x:v>Exclude</x:v>
      </x:c>
      <x:c r="K424" s="25" t="str">
        <x:v>Exclude: topic mismatch</x:v>
      </x:c>
    </x:row>
    <x:row r="425">
      <x:c r="A425" s="20" t="str">
        <x:v>R0421</x:v>
      </x:c>
      <x:c r="B425" s="25" t="str">
        <x:v>Large Language Model (LLM) for Telecommunications: A Comprehensive Survey on Principles, Key Techniques, and Opportunities</x:v>
      </x:c>
      <x:c r="C425" s="25" t="n">
        <x:v>2024</x:v>
      </x:c>
      <x:c r="D425" s="25" t="str">
        <x:v>Hao Zhou; Chengming Hu; Ye Yuan; Yufei Cui; Yili Jin; Can Chen; Haolun Wu; Dun Yuan; Li Jiang; Di Wu; Xue Liu; Charlie Zhang; Xianbin Wang; Jiangchuan Liu</x:v>
      </x:c>
      <x:c r="E425" s="25" t="str">
        <x:v>arXiv (Cornell University)</x:v>
      </x:c>
      <x:c r="F425" s="25" t="str">
        <x:v>10.48550/arxiv.2405.10825</x:v>
      </x:c>
      <x:c r="G425" s="25" t="str">
        <x:v>http://arxiv.org/abs/2405.10825</x:v>
      </x:c>
      <x:c r="H425" s="25" t="str">
        <x:v>OpenAlex</x:v>
      </x:c>
      <x:c r="I425" s="25" t="str">
        <x:v>C5_agent_memory</x:v>
      </x:c>
      <x:c r="J425" s="25" t="str">
        <x:v>Exclude</x:v>
      </x:c>
      <x:c r="K425" s="25" t="str">
        <x:v>Exclude: adjacent/redundant or insufficiently theory-generative for DC1</x:v>
      </x:c>
    </x:row>
    <x:row r="426">
      <x:c r="A426" s="20" t="str">
        <x:v>R0422</x:v>
      </x:c>
      <x:c r="B426" s="25" t="str">
        <x:v>Metagent-P: A Neuro-Symbolic Planning Agent with Metacognition for Open Worlds</x:v>
      </x:c>
      <x:c r="C426" s="25" t="n">
        <x:v>2025</x:v>
      </x:c>
      <x:c r="D426" s="25" t="str">
        <x:v>YanfangZhou YanfangZhou; Yuntao Liu; Xiaodong Li; Yongqiang Zhao; Xintong Wang; Jinlong Tian; Zhenyu Li; Xinhai Xu</x:v>
      </x:c>
      <x:c r="E426" s="25" t="str"/>
      <x:c r="F426" s="25" t="str">
        <x:v>10.18653/v1/2025.findings-acl.1169</x:v>
      </x:c>
      <x:c r="G426" s="25" t="str">
        <x:v>https://doi.org/10.18653/v1/2025.findings-acl.1169</x:v>
      </x:c>
      <x:c r="H426" s="25" t="str">
        <x:v>OpenAlex</x:v>
      </x:c>
      <x:c r="I426" s="25" t="str">
        <x:v>C5_agent_memory</x:v>
      </x:c>
      <x:c r="J426" s="25" t="str">
        <x:v>Exclude</x:v>
      </x:c>
      <x:c r="K426" s="25" t="str">
        <x:v>Exclude: adjacent/redundant or insufficiently theory-generative for DC1</x:v>
      </x:c>
    </x:row>
    <x:row r="427">
      <x:c r="A427" s="20" t="str">
        <x:v>R0423</x:v>
      </x:c>
      <x:c r="B427" s="25" t="str">
        <x:v>Minimizing user cost for shared autonomy</x:v>
      </x:c>
      <x:c r="C427" s="25" t="n">
        <x:v>2016</x:v>
      </x:c>
      <x:c r="D427" s="25" t="str">
        <x:v>Shervin Javdani; J. Andrew Bagnell; Siddhartha S. Srinivasa</x:v>
      </x:c>
      <x:c r="E427" s="25" t="str">
        <x:v>2016 11th ACM/IEEE International Conference on Human-Robot Interaction (HRI)</x:v>
      </x:c>
      <x:c r="F427" s="25" t="str">
        <x:v>10.1109/hri.2016.7451886</x:v>
      </x:c>
      <x:c r="G427" s="25" t="str">
        <x:v>https://doi.org/10.1109/hri.2016.7451886</x:v>
      </x:c>
      <x:c r="H427" s="25" t="str">
        <x:v>Crossref</x:v>
      </x:c>
      <x:c r="I427" s="25" t="str">
        <x:v>C4_uncertainty_shared_autonomy</x:v>
      </x:c>
      <x:c r="J427" s="25" t="str">
        <x:v>Exclude</x:v>
      </x:c>
      <x:c r="K427" s="25" t="str">
        <x:v>Exclude: adjacent/redundant or insufficiently theory-generative for DC1</x:v>
      </x:c>
    </x:row>
    <x:row r="428">
      <x:c r="A428" s="20" t="str">
        <x:v>R0424</x:v>
      </x:c>
      <x:c r="B428" s="25" t="str">
        <x:v>Towards a Multimodal and Context-Aware Framework for Human Navigational Intent Inference</x:v>
      </x:c>
      <x:c r="C428" s="25" t="n">
        <x:v>2020</x:v>
      </x:c>
      <x:c r="D428" s="25" t="str">
        <x:v>Zhitian Zhang</x:v>
      </x:c>
      <x:c r="E428" s="25" t="str">
        <x:v>Proceedings of the 2020 International Conference on Multimodal Interaction</x:v>
      </x:c>
      <x:c r="F428" s="25" t="str">
        <x:v>10.1145/3382507.3421156</x:v>
      </x:c>
      <x:c r="G428" s="25" t="str">
        <x:v>https://doi.org/10.1145/3382507.3421156</x:v>
      </x:c>
      <x:c r="H428" s="25" t="str">
        <x:v>Crossref</x:v>
      </x:c>
      <x:c r="I428" s="25" t="str">
        <x:v>C2_interaction_signals; C4_uncertainty_shared_autonomy</x:v>
      </x:c>
      <x:c r="J428" s="25" t="str">
        <x:v>Exclude</x:v>
      </x:c>
      <x:c r="K428" s="25" t="str">
        <x:v>Exclude: adjacent/redundant or insufficiently theory-generative for DC1</x:v>
      </x:c>
    </x:row>
    <x:row r="429">
      <x:c r="A429" s="20" t="str">
        <x:v>R0425</x:v>
      </x:c>
      <x:c r="B429" s="25" t="str">
        <x:v>A Graphical User Interface (GUI) Testing Methodology</x:v>
      </x:c>
      <x:c r="C429" s="25" t="str"/>
      <x:c r="D429" s="25" t="str">
        <x:v>Zafar Singhera; Ellis Horowitz; Abad Shah</x:v>
      </x:c>
      <x:c r="E429" s="25" t="str">
        <x:v>Human Computer Interaction</x:v>
      </x:c>
      <x:c r="F429" s="25" t="str">
        <x:v>10.4018/9781878289919.ch044</x:v>
      </x:c>
      <x:c r="G429" s="25" t="str">
        <x:v>https://doi.org/10.4018/9781878289919.ch044</x:v>
      </x:c>
      <x:c r="H429" s="25" t="str">
        <x:v>Crossref</x:v>
      </x:c>
      <x:c r="I429" s="25" t="str">
        <x:v>C6_frontend_GUI_intent</x:v>
      </x:c>
      <x:c r="J429" s="25" t="str">
        <x:v>Exclude</x:v>
      </x:c>
      <x:c r="K429" s="25" t="str">
        <x:v>Exclude: topic mismatch</x:v>
      </x:c>
    </x:row>
    <x:row r="430">
      <x:c r="A430" s="20" t="str">
        <x:v>R0426</x:v>
      </x:c>
      <x:c r="B430" s="25" t="str">
        <x:v>A Negotiation-Theoretic Framework for Control Authority Transfer in Mixed-Initiative Robotic Systems</x:v>
      </x:c>
      <x:c r="C430" s="25" t="n">
        <x:v>2022</x:v>
      </x:c>
      <x:c r="D430" s="25" t="str">
        <x:v>Simon Rothfuß; Manolis Chiou; Jairo Inga; Sören Hohmann; Rustam Stolkin</x:v>
      </x:c>
      <x:c r="E430" s="25" t="str"/>
      <x:c r="F430" s="25" t="str">
        <x:v>10.36227/techrxiv.20306529.v1</x:v>
      </x:c>
      <x:c r="G430" s="25" t="str">
        <x:v>https://doi.org/10.36227/techrxiv.20306529.v1</x:v>
      </x:c>
      <x:c r="H430" s="25" t="str">
        <x:v>Crossref</x:v>
      </x:c>
      <x:c r="I430" s="25" t="str">
        <x:v>C9_human_agent_handoff</x:v>
      </x:c>
      <x:c r="J430" s="25" t="str">
        <x:v>Exclude</x:v>
      </x:c>
      <x:c r="K430" s="25" t="str">
        <x:v>Exclude: adjacent/redundant or insufficiently theory-generative for DC1</x:v>
      </x:c>
    </x:row>
    <x:row r="431">
      <x:c r="A431" s="20" t="str">
        <x:v>R0427</x:v>
      </x:c>
      <x:c r="B431" s="25" t="str">
        <x:v>AI Creativity and Human Enhancement</x:v>
      </x:c>
      <x:c r="C431" s="25" t="n">
        <x:v>2024</x:v>
      </x:c>
      <x:c r="D431" s="25" t="str">
        <x:v>Kristina Khutsishvili</x:v>
      </x:c>
      <x:c r="E431" s="25" t="str">
        <x:v>Artificial Intelligence, Co-Creation and Creativity</x:v>
      </x:c>
      <x:c r="F431" s="25" t="str">
        <x:v>10.4324/9781003453901-14</x:v>
      </x:c>
      <x:c r="G431" s="25" t="str">
        <x:v>https://doi.org/10.4324/9781003453901-14</x:v>
      </x:c>
      <x:c r="H431" s="25" t="str">
        <x:v>Crossref</x:v>
      </x:c>
      <x:c r="I431" s="25" t="str">
        <x:v>C3_mixed_initiative_cocreation</x:v>
      </x:c>
      <x:c r="J431" s="25" t="str">
        <x:v>Exclude</x:v>
      </x:c>
      <x:c r="K431" s="25" t="str">
        <x:v>Exclude: adjacent/redundant or insufficiently theory-generative for DC1</x:v>
      </x:c>
    </x:row>
    <x:row r="432">
      <x:c r="A432" s="20" t="str">
        <x:v>R0428</x:v>
      </x:c>
      <x:c r="B432" s="25" t="str">
        <x:v>AI and Creativity in Marketing</x:v>
      </x:c>
      <x:c r="C432" s="25" t="n">
        <x:v>2024</x:v>
      </x:c>
      <x:c r="D432" s="25" t="str">
        <x:v>Pasha Abkenar; Francisco Tigre Moura; Clare Hindley</x:v>
      </x:c>
      <x:c r="E432" s="25" t="str">
        <x:v>Artificial Intelligence, Co-Creation and Creativity</x:v>
      </x:c>
      <x:c r="F432" s="25" t="str">
        <x:v>10.4324/9781003453901-11</x:v>
      </x:c>
      <x:c r="G432" s="25" t="str">
        <x:v>https://doi.org/10.4324/9781003453901-11</x:v>
      </x:c>
      <x:c r="H432" s="25" t="str">
        <x:v>Crossref</x:v>
      </x:c>
      <x:c r="I432" s="25" t="str">
        <x:v>C3_mixed_initiative_cocreation</x:v>
      </x:c>
      <x:c r="J432" s="25" t="str">
        <x:v>Exclude</x:v>
      </x:c>
      <x:c r="K432" s="25" t="str">
        <x:v>Exclude: domain-specific signal model without transferable HCI theory</x:v>
      </x:c>
    </x:row>
    <x:row r="433">
      <x:c r="A433" s="20" t="str">
        <x:v>R0429</x:v>
      </x:c>
      <x:c r="B433" s="25" t="str">
        <x:v>Agentic Lab: An Agentic-physical AI system for cell and organoid experimentation and manufacturing</x:v>
      </x:c>
      <x:c r="C433" s="25" t="n">
        <x:v>2025</x:v>
      </x:c>
      <x:c r="D433" s="25" t="str">
        <x:v>Wenbo Wang; Simran Swain; Jaeyong Lee; Zuwan Lin; Bradley Canales; Almir Aljović; Yaxuan Liu; Qiang Li; Arnau Marin‐Llobet; Mai Liu; Zihan Gao; Liu Ren; Juan R. Alvarez‐Dominguez; Jia Liu</x:v>
      </x:c>
      <x:c r="E433" s="25" t="str">
        <x:v>bioRxiv (Cold Spring Harbor Laboratory)</x:v>
      </x:c>
      <x:c r="F433" s="25" t="str">
        <x:v>10.1101/2025.11.11.686354</x:v>
      </x:c>
      <x:c r="G433" s="25" t="str">
        <x:v>https://doi.org/10.1101/2025.11.11.686354</x:v>
      </x:c>
      <x:c r="H433" s="25" t="str">
        <x:v>OpenAlex</x:v>
      </x:c>
      <x:c r="I433" s="25" t="str">
        <x:v>C5_agent_memory</x:v>
      </x:c>
      <x:c r="J433" s="25" t="str">
        <x:v>Exclude</x:v>
      </x:c>
      <x:c r="K433" s="25" t="str">
        <x:v>Exclude: adjacent/redundant or insufficiently theory-generative for DC1</x:v>
      </x:c>
    </x:row>
    <x:row r="434">
      <x:c r="A434" s="20" t="str">
        <x:v>R0430</x:v>
      </x:c>
      <x:c r="B434" s="25" t="str">
        <x:v>Autonomous Large Language Model Agents Enabling Intent-Driven Mobile GUI Testing</x:v>
      </x:c>
      <x:c r="C434" s="25" t="n">
        <x:v>2023</x:v>
      </x:c>
      <x:c r="D434" s="25" t="str">
        <x:v>Juyeon Yoon; Robert Feldt; Shin Yoo</x:v>
      </x:c>
      <x:c r="E434" s="25" t="str">
        <x:v>arXiv (Cornell University)</x:v>
      </x:c>
      <x:c r="F434" s="25" t="str">
        <x:v>10.48550/arxiv.2311.08649</x:v>
      </x:c>
      <x:c r="G434" s="25" t="str">
        <x:v>http://arxiv.org/abs/2311.08649</x:v>
      </x:c>
      <x:c r="H434" s="25" t="str">
        <x:v>OpenAlex</x:v>
      </x:c>
      <x:c r="I434" s="25" t="str">
        <x:v>C6_frontend_GUI_intent</x:v>
      </x:c>
      <x:c r="J434" s="25" t="str">
        <x:v>Exclude</x:v>
      </x:c>
      <x:c r="K434" s="25" t="str">
        <x:v>Exclude: adjacent/redundant or insufficiently theory-generative for DC1</x:v>
      </x:c>
    </x:row>
    <x:row r="435">
      <x:c r="A435" s="20" t="str">
        <x:v>R0431</x:v>
      </x:c>
      <x:c r="B435" s="25" t="str">
        <x:v>Bing dialog model</x:v>
      </x:c>
      <x:c r="C435" s="25" t="n">
        <x:v>2011</x:v>
      </x:c>
      <x:c r="D435" s="25" t="str">
        <x:v>Harry Shum</x:v>
      </x:c>
      <x:c r="E435" s="25" t="str">
        <x:v>Proceedings of the fourth ACM international conference on Web search and data mining</x:v>
      </x:c>
      <x:c r="F435" s="25" t="str">
        <x:v>10.1145/1935826.1935852</x:v>
      </x:c>
      <x:c r="G435" s="25" t="str">
        <x:v>https://doi.org/10.1145/1935826.1935852</x:v>
      </x:c>
      <x:c r="H435" s="25" t="str">
        <x:v>Crossref</x:v>
      </x:c>
      <x:c r="I435" s="25" t="str">
        <x:v>C2_interaction_signals</x:v>
      </x:c>
      <x:c r="J435" s="25" t="str">
        <x:v>Exclude</x:v>
      </x:c>
      <x:c r="K435" s="25" t="str">
        <x:v>Exclude: topic mismatch</x:v>
      </x:c>
    </x:row>
    <x:row r="436">
      <x:c r="A436" s="20" t="str">
        <x:v>R0432</x:v>
      </x:c>
      <x:c r="B436" s="25" t="str">
        <x:v>Comparing User Responses to Limited and Flexible Interaction in a Conversational Interface</x:v>
      </x:c>
      <x:c r="C436" s="25" t="n">
        <x:v>2018</x:v>
      </x:c>
      <x:c r="D436" s="25" t="str">
        <x:v>Dilyana Savcheva; Mary Ellen Foster</x:v>
      </x:c>
      <x:c r="E436" s="25" t="str">
        <x:v>Proceedings of the 6th International Conference on Human-Agent Interaction</x:v>
      </x:c>
      <x:c r="F436" s="25" t="str">
        <x:v>10.1145/3284432.3287189</x:v>
      </x:c>
      <x:c r="G436" s="25" t="str">
        <x:v>https://doi.org/10.1145/3284432.3287189</x:v>
      </x:c>
      <x:c r="H436" s="25" t="str">
        <x:v>Crossref</x:v>
      </x:c>
      <x:c r="I436" s="25" t="str">
        <x:v>C6_frontend_GUI_intent</x:v>
      </x:c>
      <x:c r="J436" s="25" t="str">
        <x:v>Exclude</x:v>
      </x:c>
      <x:c r="K436" s="25" t="str">
        <x:v>Exclude: topic mismatch</x:v>
      </x:c>
    </x:row>
    <x:row r="437">
      <x:c r="A437" s="20" t="str">
        <x:v>R0433</x:v>
      </x:c>
      <x:c r="B437" s="25" t="str">
        <x:v>Creative AI-agency: How AI elicits human creative potential</x:v>
      </x:c>
      <x:c r="C437" s="25" t="n">
        <x:v>2026</x:v>
      </x:c>
      <x:c r="D437" s="25" t="str">
        <x:v>Aleksandra Zielińska; Maciej Karwowski</x:v>
      </x:c>
      <x:c r="E437" s="25" t="str">
        <x:v>Generative Artificial Intelligence and Creativity</x:v>
      </x:c>
      <x:c r="F437" s="25" t="str">
        <x:v>10.1016/b978-0-443-34073-4.00007-1</x:v>
      </x:c>
      <x:c r="G437" s="25" t="str">
        <x:v>https://doi.org/10.1016/b978-0-443-34073-4.00007-1</x:v>
      </x:c>
      <x:c r="H437" s="25" t="str">
        <x:v>Crossref</x:v>
      </x:c>
      <x:c r="I437" s="25" t="str">
        <x:v>C7_creative_agency</x:v>
      </x:c>
      <x:c r="J437" s="25" t="str">
        <x:v>Exclude</x:v>
      </x:c>
      <x:c r="K437" s="25" t="str">
        <x:v>Exclude: adjacent/redundant or insufficiently theory-generative for DC1</x:v>
      </x:c>
    </x:row>
    <x:row r="438">
      <x:c r="A438" s="20" t="str">
        <x:v>R0434</x:v>
      </x:c>
      <x:c r="B438" s="25" t="str">
        <x:v>Distinguishing Autonomous AI Agents from Collaborative Agentic Systems: A Comprehensive Framework for Understanding Modern Intelligent Architectures</x:v>
      </x:c>
      <x:c r="C438" s="25" t="n">
        <x:v>2025</x:v>
      </x:c>
      <x:c r="D438" s="25" t="str">
        <x:v>Bansod, Prashik Buddhaghosh</x:v>
      </x:c>
      <x:c r="E438" s="25" t="str">
        <x:v>arXiv (Cornell University)</x:v>
      </x:c>
      <x:c r="F438" s="25" t="str">
        <x:v>10.48550/arxiv.2506.01438</x:v>
      </x:c>
      <x:c r="G438" s="25" t="str">
        <x:v>http://arxiv.org/abs/2506.01438</x:v>
      </x:c>
      <x:c r="H438" s="25" t="str">
        <x:v>OpenAlex</x:v>
      </x:c>
      <x:c r="I438" s="25" t="str">
        <x:v>C5_agent_memory</x:v>
      </x:c>
      <x:c r="J438" s="25" t="str">
        <x:v>Exclude</x:v>
      </x:c>
      <x:c r="K438" s="25" t="str">
        <x:v>Exclude: adjacent/redundant or insufficiently theory-generative for DC1</x:v>
      </x:c>
    </x:row>
    <x:row r="439">
      <x:c r="A439" s="20" t="str">
        <x:v>R0435</x:v>
      </x:c>
      <x:c r="B439" s="25" t="str">
        <x:v>Does Utterance entails Intent?: Evaluating Natural Language Inference Based Setup for Few-Shot Intent Detection</x:v>
      </x:c>
      <x:c r="C439" s="25" t="n">
        <x:v>2022</x:v>
      </x:c>
      <x:c r="D439" s="25" t="str">
        <x:v>Ayush Kumar; Vijit Malik; Jithendra Vepa</x:v>
      </x:c>
      <x:c r="E439" s="25" t="str">
        <x:v>Interspeech 2022</x:v>
      </x:c>
      <x:c r="F439" s="25" t="str">
        <x:v>10.21437/interspeech.2022-10794</x:v>
      </x:c>
      <x:c r="G439" s="25" t="str">
        <x:v>https://doi.org/10.21437/interspeech.2022-10794</x:v>
      </x:c>
      <x:c r="H439" s="25" t="str">
        <x:v>Crossref</x:v>
      </x:c>
      <x:c r="I439" s="25" t="str">
        <x:v>C2_interaction_signals</x:v>
      </x:c>
      <x:c r="J439" s="25" t="str">
        <x:v>Exclude</x:v>
      </x:c>
      <x:c r="K439" s="25" t="str">
        <x:v>Exclude: adjacent/redundant or insufficiently theory-generative for DC1</x:v>
      </x:c>
    </x:row>
    <x:row r="440">
      <x:c r="A440" s="20" t="str">
        <x:v>R0436</x:v>
      </x:c>
      <x:c r="B440" s="25" t="str">
        <x:v>EasyFlow: An open source, user friendly cytometry analyzer with graphic user interface (GUI)</x:v>
      </x:c>
      <x:c r="C440" s="25" t="n">
        <x:v>2023</x:v>
      </x:c>
      <x:c r="D440" s="25" t="str">
        <x:v>Yitong Ma; Yaron Antebi</x:v>
      </x:c>
      <x:c r="E440" s="25" t="str"/>
      <x:c r="F440" s="25" t="str">
        <x:v>10.1101/2023.08.07.552387</x:v>
      </x:c>
      <x:c r="G440" s="25" t="str">
        <x:v>https://doi.org/10.1101/2023.08.07.552387</x:v>
      </x:c>
      <x:c r="H440" s="25" t="str">
        <x:v>Crossref</x:v>
      </x:c>
      <x:c r="I440" s="25" t="str">
        <x:v>C6_frontend_GUI_intent</x:v>
      </x:c>
      <x:c r="J440" s="25" t="str">
        <x:v>Exclude</x:v>
      </x:c>
      <x:c r="K440" s="25" t="str">
        <x:v>Exclude: topic mismatch</x:v>
      </x:c>
    </x:row>
    <x:row r="441">
      <x:c r="A441" s="20" t="str">
        <x:v>R0437</x:v>
      </x:c>
      <x:c r="B441" s="25" t="str">
        <x:v>Episodic Memory Verbalization using Hierarchical Representations of Life-Long Robot Experience</x:v>
      </x:c>
      <x:c r="C441" s="25" t="n">
        <x:v>2024</x:v>
      </x:c>
      <x:c r="D441" s="25" t="str">
        <x:v>Leonard Bärmann; Chad DeChant; Joana Plewnia; Fabian Peller-Konrad; Daniel Bauer; Tamim Asfour; Alex Waibel</x:v>
      </x:c>
      <x:c r="E441" s="25" t="str">
        <x:v>arXiv (Cornell University)</x:v>
      </x:c>
      <x:c r="F441" s="25" t="str">
        <x:v>10.48550/arxiv.2409.17702</x:v>
      </x:c>
      <x:c r="G441" s="25" t="str">
        <x:v>http://arxiv.org/abs/2409.17702</x:v>
      </x:c>
      <x:c r="H441" s="25" t="str">
        <x:v>OpenAlex</x:v>
      </x:c>
      <x:c r="I441" s="25" t="str">
        <x:v>C5_agent_memory</x:v>
      </x:c>
      <x:c r="J441" s="25" t="str">
        <x:v>Exclude</x:v>
      </x:c>
      <x:c r="K441" s="25" t="str">
        <x:v>Exclude: adjacent/redundant or insufficiently theory-generative for DC1</x:v>
      </x:c>
    </x:row>
    <x:row r="442">
      <x:c r="A442" s="20" t="str">
        <x:v>R0438</x:v>
      </x:c>
      <x:c r="B442" s="25" t="str">
        <x:v>From Human Memory to AI Memory: A Survey on Memory Mechanisms in the Era of LLMs</x:v>
      </x:c>
      <x:c r="C442" s="25" t="n">
        <x:v>2025</x:v>
      </x:c>
      <x:c r="D442" s="25" t="str">
        <x:v>Yaxiong Wu; Sheng Liang; Chen Zhang; Yichao Wang; Yongyue Zhang; Huifeng Guo; Ruiming Tang; Yong Liu</x:v>
      </x:c>
      <x:c r="E442" s="25" t="str">
        <x:v>arXiv (Cornell University)</x:v>
      </x:c>
      <x:c r="F442" s="25" t="str">
        <x:v>10.48550/arxiv.2504.15965</x:v>
      </x:c>
      <x:c r="G442" s="25" t="str">
        <x:v>http://arxiv.org/abs/2504.15965</x:v>
      </x:c>
      <x:c r="H442" s="25" t="str">
        <x:v>OpenAlex</x:v>
      </x:c>
      <x:c r="I442" s="25" t="str">
        <x:v>C5_agent_memory</x:v>
      </x:c>
      <x:c r="J442" s="25" t="str">
        <x:v>Exclude</x:v>
      </x:c>
      <x:c r="K442" s="25" t="str">
        <x:v>Exclude: adjacent/redundant or insufficiently theory-generative for DC1</x:v>
      </x:c>
    </x:row>
    <x:row r="443">
      <x:c r="A443" s="20" t="str">
        <x:v>R0439</x:v>
      </x:c>
      <x:c r="B443" s="25" t="str">
        <x:v>GUI Agents with Foundation Models: A Comprehensive Survey</x:v>
      </x:c>
      <x:c r="C443" s="25" t="n">
        <x:v>2024</x:v>
      </x:c>
      <x:c r="D443" s="25" t="str">
        <x:v>Shuai Wang; Weiwen Liu; J. C. Chen; Zhou, Yuqi; Gan, Weinan; X. Zeng; Che, Yuhan; Shicheng Yu; Hao, Xinlong; Shao Kun; Wang, Bin; Wu, Chuhan; Y.S. Wang; Ruiming Tang; Hao, Jianye</x:v>
      </x:c>
      <x:c r="E443" s="25" t="str">
        <x:v>arXiv (Cornell University)</x:v>
      </x:c>
      <x:c r="F443" s="25" t="str">
        <x:v>10.48550/arxiv.2411.04890</x:v>
      </x:c>
      <x:c r="G443" s="25" t="str">
        <x:v>http://arxiv.org/abs/2411.04890</x:v>
      </x:c>
      <x:c r="H443" s="25" t="str">
        <x:v>OpenAlex</x:v>
      </x:c>
      <x:c r="I443" s="25" t="str">
        <x:v>C6_frontend_GUI_intent</x:v>
      </x:c>
      <x:c r="J443" s="25" t="str">
        <x:v>Exclude</x:v>
      </x:c>
      <x:c r="K443" s="25" t="str">
        <x:v>Exclude: adjacent/redundant or insufficiently theory-generative for DC1</x:v>
      </x:c>
    </x:row>
    <x:row r="444">
      <x:c r="A444" s="20" t="str">
        <x:v>R0440</x:v>
      </x:c>
      <x:c r="B444" s="25" t="str">
        <x:v>Heutagogy-based Human-AI Co-creation Practice</x:v>
      </x:c>
      <x:c r="C444" s="25" t="n">
        <x:v>2024</x:v>
      </x:c>
      <x:c r="D444" s="25" t="str">
        <x:v>Jinping Zhong; Thomas Cochrane</x:v>
      </x:c>
      <x:c r="E444" s="25" t="str">
        <x:v>ASCILITE Publications</x:v>
      </x:c>
      <x:c r="F444" s="25" t="str">
        <x:v>10.14742/apubs.2024.1083</x:v>
      </x:c>
      <x:c r="G444" s="25" t="str">
        <x:v>https://doi.org/10.14742/apubs.2024.1083</x:v>
      </x:c>
      <x:c r="H444" s="25" t="str">
        <x:v>Crossref</x:v>
      </x:c>
      <x:c r="I444" s="25" t="str">
        <x:v>C3_mixed_initiative_cocreation</x:v>
      </x:c>
      <x:c r="J444" s="25" t="str">
        <x:v>Exclude</x:v>
      </x:c>
      <x:c r="K444" s="25" t="str">
        <x:v>Exclude: adjacent/redundant or insufficiently theory-generative for DC1</x:v>
      </x:c>
    </x:row>
    <x:row r="445">
      <x:c r="A445" s="20" t="str">
        <x:v>R0441</x:v>
      </x:c>
      <x:c r="B445" s="25" t="str">
        <x:v>Human-inspired Perspectives: A Survey on AI Long-term Memory</x:v>
      </x:c>
      <x:c r="C445" s="25" t="n">
        <x:v>2024</x:v>
      </x:c>
      <x:c r="D445" s="25" t="str">
        <x:v>Zihong He; Weizhe Lin; Hao Zheng; Fan Zhang; Matt Jones; Aitchison, Laurence; Xuhai Xu; Miao Liu; Per Ola Kristensson; Junxiao Shen</x:v>
      </x:c>
      <x:c r="E445" s="25" t="str">
        <x:v>arXiv (Cornell University)</x:v>
      </x:c>
      <x:c r="F445" s="25" t="str">
        <x:v>10.48550/arxiv.2411.00489</x:v>
      </x:c>
      <x:c r="G445" s="25" t="str">
        <x:v>http://arxiv.org/abs/2411.00489</x:v>
      </x:c>
      <x:c r="H445" s="25" t="str">
        <x:v>OpenAlex</x:v>
      </x:c>
      <x:c r="I445" s="25" t="str">
        <x:v>C5_agent_memory</x:v>
      </x:c>
      <x:c r="J445" s="25" t="str">
        <x:v>Exclude</x:v>
      </x:c>
      <x:c r="K445" s="25" t="str">
        <x:v>Exclude: adjacent/redundant or insufficiently theory-generative for DC1</x:v>
      </x:c>
    </x:row>
    <x:row r="446">
      <x:c r="A446" s="20" t="str">
        <x:v>R0442</x:v>
      </x:c>
      <x:c r="B446" s="25" t="str">
        <x:v>Incremental Learning of Humanoid Robot Behavior from Natural Interaction and Large Language Models</x:v>
      </x:c>
      <x:c r="C446" s="25" t="n">
        <x:v>2023</x:v>
      </x:c>
      <x:c r="D446" s="25" t="str">
        <x:v>Leonard Bärmann; Rainer Kartmann; Fabian Peller-Konrad; Niehues, Jan; Alex Waibel; Tamim Asfour</x:v>
      </x:c>
      <x:c r="E446" s="25" t="str">
        <x:v>arXiv (Cornell University)</x:v>
      </x:c>
      <x:c r="F446" s="25" t="str">
        <x:v>10.48550/arxiv.2309.04316</x:v>
      </x:c>
      <x:c r="G446" s="25" t="str">
        <x:v>http://arxiv.org/abs/2309.04316</x:v>
      </x:c>
      <x:c r="H446" s="25" t="str">
        <x:v>OpenAlex</x:v>
      </x:c>
      <x:c r="I446" s="25" t="str">
        <x:v>C5_agent_memory</x:v>
      </x:c>
      <x:c r="J446" s="25" t="str">
        <x:v>Exclude</x:v>
      </x:c>
      <x:c r="K446" s="25" t="str">
        <x:v>Exclude: adjacent/redundant or insufficiently theory-generative for DC1</x:v>
      </x:c>
    </x:row>
    <x:row r="447">
      <x:c r="A447" s="20" t="str">
        <x:v>R0443</x:v>
      </x:c>
      <x:c r="B447" s="25" t="str">
        <x:v>LLM-Powered GUI Agents in Phone Automation: Surveying Progress and Prospects</x:v>
      </x:c>
      <x:c r="C447" s="25" t="n">
        <x:v>2025</x:v>
      </x:c>
      <x:c r="D447" s="25" t="str">
        <x:v>Guangyi Liu; Pengxiang Zhao; Liang, Yaozhen; Liang Liu; Guo, Yaxuan; Han Xiao; Weifeng Lin; Yuxiang Chai; Han, Yue; Shuai Ren; Hao Wang; Xiaoyu Liang; Wenhao Wang; Tianze Wu; Zhengxi Lu; Siheng Chen; LiLinghao; Hao Wang; Guanjing Xiong; Yong Liu; Hongsheng Li</x:v>
      </x:c>
      <x:c r="E447" s="25" t="str">
        <x:v>arXiv (Cornell University)</x:v>
      </x:c>
      <x:c r="F447" s="25" t="str">
        <x:v>10.48550/arxiv.2504.19838</x:v>
      </x:c>
      <x:c r="G447" s="25" t="str">
        <x:v>http://arxiv.org/abs/2504.19838</x:v>
      </x:c>
      <x:c r="H447" s="25" t="str">
        <x:v>OpenAlex</x:v>
      </x:c>
      <x:c r="I447" s="25" t="str">
        <x:v>C6_frontend_GUI_intent</x:v>
      </x:c>
      <x:c r="J447" s="25" t="str">
        <x:v>Exclude</x:v>
      </x:c>
      <x:c r="K447" s="25" t="str">
        <x:v>Exclude: adjacent/redundant or insufficiently theory-generative for DC1</x:v>
      </x:c>
    </x:row>
    <x:row r="448">
      <x:c r="A448" s="20" t="str">
        <x:v>R0444</x:v>
      </x:c>
      <x:c r="B448" s="25" t="str">
        <x:v>LangChain vs. LangGraph vs. LangSmith: Taxonomies of Agentic AI Toolchains for End-to-End Orchestration</x:v>
      </x:c>
      <x:c r="C448" s="25" t="n">
        <x:v>2025</x:v>
      </x:c>
      <x:c r="D448" s="25" t="str">
        <x:v>Ranjan Sapkota; Rashik Shrestha; Madhav Rijal; Manoj Karkee</x:v>
      </x:c>
      <x:c r="E448" s="25" t="str"/>
      <x:c r="F448" s="25" t="str">
        <x:v>10.36227/techrxiv.175695645.52670060/v1</x:v>
      </x:c>
      <x:c r="G448" s="25" t="str">
        <x:v>https://doi.org/10.36227/techrxiv.175695645.52670060/v1</x:v>
      </x:c>
      <x:c r="H448" s="25" t="str">
        <x:v>OpenAlex</x:v>
      </x:c>
      <x:c r="I448" s="25" t="str">
        <x:v>C5_agent_memory</x:v>
      </x:c>
      <x:c r="J448" s="25" t="str">
        <x:v>Exclude</x:v>
      </x:c>
      <x:c r="K448" s="25" t="str">
        <x:v>Exclude: adjacent/redundant or insufficiently theory-generative for DC1</x:v>
      </x:c>
    </x:row>
    <x:row r="449">
      <x:c r="A449" s="20" t="str">
        <x:v>R0445</x:v>
      </x:c>
      <x:c r="B449" s="25" t="str">
        <x:v>Large language models for artificial general intelligence (AGI): A survey of foundational principles and approaches</x:v>
      </x:c>
      <x:c r="C449" s="25" t="n">
        <x:v>2025</x:v>
      </x:c>
      <x:c r="D449" s="25" t="str">
        <x:v>Alhassan Mumuni; Fuseini Mumuni</x:v>
      </x:c>
      <x:c r="E449" s="25" t="str">
        <x:v>arXiv (Cornell University)</x:v>
      </x:c>
      <x:c r="F449" s="25" t="str">
        <x:v>10.48550/arxiv.2501.03151</x:v>
      </x:c>
      <x:c r="G449" s="25" t="str">
        <x:v>http://arxiv.org/abs/2501.03151</x:v>
      </x:c>
      <x:c r="H449" s="25" t="str">
        <x:v>OpenAlex</x:v>
      </x:c>
      <x:c r="I449" s="25" t="str">
        <x:v>C5_agent_memory</x:v>
      </x:c>
      <x:c r="J449" s="25" t="str">
        <x:v>Exclude</x:v>
      </x:c>
      <x:c r="K449" s="25" t="str">
        <x:v>Exclude: adjacent/redundant or insufficiently theory-generative for DC1</x:v>
      </x:c>
    </x:row>
    <x:row r="450">
      <x:c r="A450" s="20" t="str">
        <x:v>R0446</x:v>
      </x:c>
      <x:c r="B450" s="25" t="str">
        <x:v>Latent Organism: Embodied Co-Creation with AI</x:v>
      </x:c>
      <x:c r="C450" s="25" t="n">
        <x:v>2023</x:v>
      </x:c>
      <x:c r="D450" s="25" t="str">
        <x:v>Ninon Lizé Masclef; Adrien Chuttarsing</x:v>
      </x:c>
      <x:c r="E450" s="25" t="str">
        <x:v>Creativity and Cognition</x:v>
      </x:c>
      <x:c r="F450" s="25" t="str">
        <x:v>10.1145/3591196.3593508</x:v>
      </x:c>
      <x:c r="G450" s="25" t="str">
        <x:v>https://doi.org/10.1145/3591196.3593508</x:v>
      </x:c>
      <x:c r="H450" s="25" t="str">
        <x:v>Crossref</x:v>
      </x:c>
      <x:c r="I450" s="25" t="str">
        <x:v>C3_mixed_initiative_cocreation</x:v>
      </x:c>
      <x:c r="J450" s="25" t="str">
        <x:v>Exclude</x:v>
      </x:c>
      <x:c r="K450" s="25" t="str">
        <x:v>Exclude: topic mismatch</x:v>
      </x:c>
    </x:row>
    <x:row r="451">
      <x:c r="A451" s="20" t="str">
        <x:v>R0447</x:v>
      </x:c>
      <x:c r="B451" s="25" t="str">
        <x:v>M2PA: A Multi-Memory Planning Agent for Open Worlds Inspired by Cognitive Theory</x:v>
      </x:c>
      <x:c r="C451" s="25" t="n">
        <x:v>2025</x:v>
      </x:c>
      <x:c r="D451" s="25" t="str">
        <x:v>YanfangZhou YanfangZhou; Xiaodong Li; Yuntao Liu; Yongqiang Zhao; Xintong Wang; Zhenyu Li; Jinlong Tian; Xinhai Xu</x:v>
      </x:c>
      <x:c r="E451" s="25" t="str"/>
      <x:c r="F451" s="25" t="str">
        <x:v>10.18653/v1/2025.findings-acl.1191</x:v>
      </x:c>
      <x:c r="G451" s="25" t="str">
        <x:v>https://doi.org/10.18653/v1/2025.findings-acl.1191</x:v>
      </x:c>
      <x:c r="H451" s="25" t="str">
        <x:v>OpenAlex</x:v>
      </x:c>
      <x:c r="I451" s="25" t="str">
        <x:v>C5_agent_memory</x:v>
      </x:c>
      <x:c r="J451" s="25" t="str">
        <x:v>Exclude</x:v>
      </x:c>
      <x:c r="K451" s="25" t="str">
        <x:v>Exclude: adjacent/redundant or insufficiently theory-generative for DC1</x:v>
      </x:c>
    </x:row>
    <x:row r="452">
      <x:c r="A452" s="20" t="str">
        <x:v>R0448</x:v>
      </x:c>
      <x:c r="B452" s="25" t="str">
        <x:v>Thermal Response of Rolling Components Under Mixed Boundary Conditions: An Analytical Approach</x:v>
      </x:c>
      <x:c r="C452" s="25" t="n">
        <x:v>1993</x:v>
      </x:c>
      <x:c r="D452" s="25" t="str">
        <x:v>P. Ulysse; M. M. Khonsari</x:v>
      </x:c>
      <x:c r="E452" s="25" t="str">
        <x:v>Journal of Heat Transfer</x:v>
      </x:c>
      <x:c r="F452" s="25" t="str">
        <x:v>10.1115/1.2911380</x:v>
      </x:c>
      <x:c r="G452" s="25" t="str">
        <x:v>https://doi.org/10.1115/1.2911380</x:v>
      </x:c>
      <x:c r="H452" s="25" t="str">
        <x:v>Crossref</x:v>
      </x:c>
      <x:c r="I452" s="25" t="str">
        <x:v>C9_human_agent_handoff</x:v>
      </x:c>
      <x:c r="J452" s="25" t="str">
        <x:v>Exclude</x:v>
      </x:c>
      <x:c r="K452" s="25" t="str">
        <x:v>Exclude: topic mismatch</x:v>
      </x:c>
    </x:row>
    <x:row r="453">
      <x:c r="A453" s="20" t="str">
        <x:v>R0449</x:v>
      </x:c>
      <x:c r="B453" s="25" t="str">
        <x:v>TouchWIM: Object Manipulation in AR Spatial Design With World in Miniature and Hybrid User Interface</x:v>
      </x:c>
      <x:c r="C453" s="25" t="n">
        <x:v>2025</x:v>
      </x:c>
      <x:c r="D453" s="25" t="str">
        <x:v>Shintaro Imatani; Kensuke Tobitani; Kyo Akabane</x:v>
      </x:c>
      <x:c r="E453" s="25" t="str">
        <x:v>IEEE Access</x:v>
      </x:c>
      <x:c r="F453" s="25" t="str">
        <x:v>10.1109/access.2025.3562253</x:v>
      </x:c>
      <x:c r="G453" s="25" t="str">
        <x:v>https://doi.org/10.1109/access.2025.3562253</x:v>
      </x:c>
      <x:c r="H453" s="25" t="str">
        <x:v>Crossref</x:v>
      </x:c>
      <x:c r="I453" s="25" t="str">
        <x:v>C1_3D_mental_models</x:v>
      </x:c>
      <x:c r="J453" s="25" t="str">
        <x:v>Exclude</x:v>
      </x:c>
      <x:c r="K453" s="25" t="str">
        <x:v>Exclude: adjacent/redundant or insufficiently theory-generative for DC1</x:v>
      </x:c>
    </x:row>
    <x:row r="454">
      <x:c r="A454" s="20" t="str">
        <x:v>R0450</x:v>
      </x:c>
      <x:c r="B454" s="25" t="str">
        <x:v>A Comprehensive Survey of Agentic AI in Healthcare</x:v>
      </x:c>
      <x:c r="C454" s="25" t="n">
        <x:v>2025</x:v>
      </x:c>
      <x:c r="D454" s="25" t="str">
        <x:v>Gelei Xu; Xueyang Li; Yixiong Chen; Yuying Duan; Sean M. Wu; Alexander T. Yu; Ching-Hao Chiu; Juntong Ni; Ningzhi Tang; Toby Jia-Jun Li; Alan Yuille; Wei Jin; Yiyu Shi</x:v>
      </x:c>
      <x:c r="E454" s="25" t="str"/>
      <x:c r="F454" s="25" t="str">
        <x:v>10.36227/techrxiv.176240542.22279040/v1</x:v>
      </x:c>
      <x:c r="G454" s="25" t="str">
        <x:v>https://doi.org/10.36227/techrxiv.176240542.22279040/v1</x:v>
      </x:c>
      <x:c r="H454" s="25" t="str">
        <x:v>OpenAlex</x:v>
      </x:c>
      <x:c r="I454" s="25" t="str">
        <x:v>C5_agent_memory</x:v>
      </x:c>
      <x:c r="J454" s="25" t="str">
        <x:v>Exclude</x:v>
      </x:c>
      <x:c r="K454" s="25" t="str">
        <x:v>Exclude: adjacent/redundant or insufficiently theory-generative for DC1</x:v>
      </x:c>
    </x:row>
    <x:row r="455">
      <x:c r="A455" s="20" t="str">
        <x:v>R0451</x:v>
      </x:c>
      <x:c r="B455" s="25" t="str">
        <x:v>A Shared Autonomy Interface for Household Devices</x:v>
      </x:c>
      <x:c r="C455" s="25" t="n">
        <x:v>2015</x:v>
      </x:c>
      <x:c r="D455" s="25" t="str">
        <x:v>Matthew Rueben; William D. Smart</x:v>
      </x:c>
      <x:c r="E455" s="25" t="str">
        <x:v>Proceedings of the Tenth Annual ACM/IEEE International Conference on Human-Robot Interaction Extended Abstracts</x:v>
      </x:c>
      <x:c r="F455" s="25" t="str">
        <x:v>10.1145/2701973.2702061</x:v>
      </x:c>
      <x:c r="G455" s="25" t="str">
        <x:v>https://doi.org/10.1145/2701973.2702061</x:v>
      </x:c>
      <x:c r="H455" s="25" t="str">
        <x:v>Crossref</x:v>
      </x:c>
      <x:c r="I455" s="25" t="str">
        <x:v>C4_uncertainty_shared_autonomy</x:v>
      </x:c>
      <x:c r="J455" s="25" t="str">
        <x:v>Exclude</x:v>
      </x:c>
      <x:c r="K455" s="25" t="str">
        <x:v>Exclude: adjacent/redundant or insufficiently theory-generative for DC1</x:v>
      </x:c>
    </x:row>
    <x:row r="456">
      <x:c r="A456" s="20" t="str">
        <x:v>R0452</x:v>
      </x:c>
      <x:c r="B456" s="25" t="str">
        <x:v>Adaptation of Agentic AI: A Survey of Post-Training, Memory, and Skills</x:v>
      </x:c>
      <x:c r="C456" s="25" t="n">
        <x:v>2025</x:v>
      </x:c>
      <x:c r="D456" s="25" t="str">
        <x:v>Pengcheng Jiang; Jiacheng Lin; Shi, Zhiyi; Zifeng Wang; He Li; Yichen Wu; Ming Zhong; Peiyang Song; Qizheng Zhang; Heng Wang; Xueqiang Xu; Hanmei Xu; Pengrui Han; Dylan Zhang; Sun, Jiashuo; Chaoqi Yang; Kun Qian; Tian Wang; Changran Hu; Manling Li; Quanzheng Li; Hao Peng; Sheng Wang; Jingbo Shang; Chao Zhang; You, Jiaxuan; Liyuan Liu; Pan Lu; Yu Zhang; Heng Ji; Yejin Choi; Dawn Song; Jimeng Sun; Jiawei Han</x:v>
      </x:c>
      <x:c r="E456" s="25" t="str">
        <x:v>ArXiv.org</x:v>
      </x:c>
      <x:c r="F456" s="25" t="str">
        <x:v>10.48550/arxiv.2512.16301</x:v>
      </x:c>
      <x:c r="G456" s="25" t="str">
        <x:v>http://arxiv.org/abs/2512.16301</x:v>
      </x:c>
      <x:c r="H456" s="25" t="str">
        <x:v>OpenAlex</x:v>
      </x:c>
      <x:c r="I456" s="25" t="str">
        <x:v>C5_agent_memory</x:v>
      </x:c>
      <x:c r="J456" s="25" t="str">
        <x:v>Exclude</x:v>
      </x:c>
      <x:c r="K456" s="25" t="str">
        <x:v>Exclude: adjacent/redundant or insufficiently theory-generative for DC1</x:v>
      </x:c>
    </x:row>
    <x:row r="457">
      <x:c r="A457" s="20" t="str">
        <x:v>R0453</x:v>
      </x:c>
      <x:c r="B457" s="25" t="str">
        <x:v>Adaptive Agents for Mixed-Initiative Human-AI Collaborations</x:v>
      </x:c>
      <x:c r="C457" s="25" t="n">
        <x:v>2025</x:v>
      </x:c>
      <x:c r="D457" s="25" t="str">
        <x:v>Manisha Natarajan</x:v>
      </x:c>
      <x:c r="E457" s="25" t="str">
        <x:v>Proceedings of the AAAI Conference on Artificial Intelligence</x:v>
      </x:c>
      <x:c r="F457" s="25" t="str">
        <x:v>10.1609/aaai.v39i28.35220</x:v>
      </x:c>
      <x:c r="G457" s="25" t="str">
        <x:v>https://doi.org/10.1609/aaai.v39i28.35220</x:v>
      </x:c>
      <x:c r="H457" s="25" t="str">
        <x:v>Crossref</x:v>
      </x:c>
      <x:c r="I457" s="25" t="str">
        <x:v>C9_human_agent_handoff</x:v>
      </x:c>
      <x:c r="J457" s="25" t="str">
        <x:v>Exclude</x:v>
      </x:c>
      <x:c r="K457" s="25" t="str">
        <x:v>Exclude: adjacent/redundant or insufficiently theory-generative for DC1</x:v>
      </x:c>
    </x:row>
    <x:row r="458">
      <x:c r="A458" s="20" t="str">
        <x:v>R0454</x:v>
      </x:c>
      <x:c r="B458" s="25" t="str">
        <x:v>Adjusting the Autonomy in Mixed-initiative Systems by Reasoning about Interaction</x:v>
      </x:c>
      <x:c r="C458" s="25" t="n">
        <x:v>2003</x:v>
      </x:c>
      <x:c r="D458" s="25" t="str">
        <x:v>Robin Cohen; Michael Fleming</x:v>
      </x:c>
      <x:c r="E458" s="25" t="str">
        <x:v>Multiagent Systems, Artificial Societies, and Simulated Organizations</x:v>
      </x:c>
      <x:c r="F458" s="25" t="str">
        <x:v>10.1007/978-1-4419-9198-0_7</x:v>
      </x:c>
      <x:c r="G458" s="25" t="str">
        <x:v>https://doi.org/10.1007/978-1-4419-9198-0_7</x:v>
      </x:c>
      <x:c r="H458" s="25" t="str">
        <x:v>Crossref</x:v>
      </x:c>
      <x:c r="I458" s="25" t="str">
        <x:v>C9_human_agent_handoff</x:v>
      </x:c>
      <x:c r="J458" s="25" t="str">
        <x:v>Exclude</x:v>
      </x:c>
      <x:c r="K458" s="25" t="str">
        <x:v>Exclude: adjacent/redundant or insufficiently theory-generative for DC1</x:v>
      </x:c>
    </x:row>
    <x:row r="459">
      <x:c r="A459" s="20" t="str">
        <x:v>R0455</x:v>
      </x:c>
      <x:c r="B459" s="25" t="str">
        <x:v>Adversarial Intent Inference for Predictive Battlespace Awareness</x:v>
      </x:c>
      <x:c r="C459" s="25" t="n">
        <x:v>2005</x:v>
      </x:c>
      <x:c r="D459" s="25" t="str">
        <x:v>Jr Santos; Eugene</x:v>
      </x:c>
      <x:c r="E459" s="25" t="str"/>
      <x:c r="F459" s="25" t="str">
        <x:v>10.21236/ada442035</x:v>
      </x:c>
      <x:c r="G459" s="25" t="str">
        <x:v>https://doi.org/10.21236/ada442035</x:v>
      </x:c>
      <x:c r="H459" s="25" t="str">
        <x:v>Crossref</x:v>
      </x:c>
      <x:c r="I459" s="25" t="str">
        <x:v>C2_interaction_signals</x:v>
      </x:c>
      <x:c r="J459" s="25" t="str">
        <x:v>Exclude</x:v>
      </x:c>
      <x:c r="K459" s="25" t="str">
        <x:v>Exclude: adjacent/redundant or insufficiently theory-generative for DC1</x:v>
      </x:c>
    </x:row>
    <x:row r="460">
      <x:c r="A460" s="20" t="str">
        <x:v>R0456</x:v>
      </x:c>
      <x:c r="B460" s="25" t="str">
        <x:v>Agentic Services Computing</x:v>
      </x:c>
      <x:c r="C460" s="25" t="n">
        <x:v>2025</x:v>
      </x:c>
      <x:c r="D460" s="25" t="str">
        <x:v>Shuiguang Deng; Hailiang Zhao; Ziqi Wang; Guanjie Cheng; Peng Chen; Wenzhuo Qian; Ling, Zhiwei; Jianwei Yin; Albert Y. Zomaya; Schahram Dustdar</x:v>
      </x:c>
      <x:c r="E460" s="25" t="str">
        <x:v>arXiv (Cornell University)</x:v>
      </x:c>
      <x:c r="F460" s="25" t="str">
        <x:v>10.34726/12000</x:v>
      </x:c>
      <x:c r="G460" s="25" t="str">
        <x:v>https://arxiv.org/abs/2509.24380</x:v>
      </x:c>
      <x:c r="H460" s="25" t="str">
        <x:v>OpenAlex</x:v>
      </x:c>
      <x:c r="I460" s="25" t="str">
        <x:v>C5_agent_memory</x:v>
      </x:c>
      <x:c r="J460" s="25" t="str">
        <x:v>Exclude</x:v>
      </x:c>
      <x:c r="K460" s="25" t="str">
        <x:v>Exclude: adjacent/redundant or insufficiently theory-generative for DC1</x:v>
      </x:c>
    </x:row>
    <x:row r="461">
      <x:c r="A461" s="20" t="str">
        <x:v>R0457</x:v>
      </x:c>
      <x:c r="B461" s="25" t="str">
        <x:v>Beyond</x:v>
      </x:c>
      <x:c r="C461" s="25" t="n">
        <x:v>2010</x:v>
      </x:c>
      <x:c r="D461" s="25" t="str">
        <x:v>Jinha Lee; Surat Teerapittayanon; Hiroshi Ishii</x:v>
      </x:c>
      <x:c r="E461" s="25" t="str">
        <x:v>Adjunct proceedings of the 23nd annual ACM symposium on User interface software and technology</x:v>
      </x:c>
      <x:c r="F461" s="25" t="str">
        <x:v>10.1145/1866218.1866236</x:v>
      </x:c>
      <x:c r="G461" s="25" t="str">
        <x:v>https://doi.org/10.1145/1866218.1866236</x:v>
      </x:c>
      <x:c r="H461" s="25" t="str">
        <x:v>Crossref</x:v>
      </x:c>
      <x:c r="I461" s="25" t="str">
        <x:v>C1_3D_mental_models</x:v>
      </x:c>
      <x:c r="J461" s="25" t="str">
        <x:v>Exclude</x:v>
      </x:c>
      <x:c r="K461" s="25" t="str">
        <x:v>Exclude: topic mismatch</x:v>
      </x:c>
    </x:row>
    <x:row r="462">
      <x:c r="A462" s="20" t="str">
        <x:v>R0458</x:v>
      </x:c>
      <x:c r="B462" s="25" t="str">
        <x:v>Beyond Single-Turn: A Survey on Multi-Turn Interactions with Large Language Models</x:v>
      </x:c>
      <x:c r="C462" s="25" t="n">
        <x:v>2025</x:v>
      </x:c>
      <x:c r="D462" s="25" t="str">
        <x:v>Y. X. Li; Shen, Xiaobin; Miao, Yidi; Yao, Xinyu; Ding, Xueying; Ramayya Krishnan; Rema Padman</x:v>
      </x:c>
      <x:c r="E462" s="25" t="str">
        <x:v>arXiv (Cornell University)</x:v>
      </x:c>
      <x:c r="F462" s="25" t="str">
        <x:v>10.48550/arxiv.2504.04717</x:v>
      </x:c>
      <x:c r="G462" s="25" t="str">
        <x:v>https://arxiv.org/abs/2504.04717</x:v>
      </x:c>
      <x:c r="H462" s="25" t="str">
        <x:v>OpenAlex</x:v>
      </x:c>
      <x:c r="I462" s="25" t="str">
        <x:v>C5_agent_memory</x:v>
      </x:c>
      <x:c r="J462" s="25" t="str">
        <x:v>Exclude</x:v>
      </x:c>
      <x:c r="K462" s="25" t="str">
        <x:v>Exclude: adjacent/redundant or insufficiently theory-generative for DC1</x:v>
      </x:c>
    </x:row>
    <x:row r="463">
      <x:c r="A463" s="20" t="str">
        <x:v>R0459</x:v>
      </x:c>
      <x:c r="B463" s="25" t="str">
        <x:v>CA-VLN: Collaborative Agents in MLLM-Powered Visual-Language Navigation</x:v>
      </x:c>
      <x:c r="C463" s="25" t="n">
        <x:v>2026</x:v>
      </x:c>
      <x:c r="D463" s="25" t="str">
        <x:v>Ruolin Zhu; Shaobin Li; Zixing Zhu; Jing Jia; Min Yang</x:v>
      </x:c>
      <x:c r="E463" s="25" t="str">
        <x:v>Sensors</x:v>
      </x:c>
      <x:c r="F463" s="25" t="str">
        <x:v>10.3390/s26041254</x:v>
      </x:c>
      <x:c r="G463" s="25" t="str">
        <x:v>https://doi.org/10.3390/s26041254</x:v>
      </x:c>
      <x:c r="H463" s="25" t="str">
        <x:v>OpenAlex</x:v>
      </x:c>
      <x:c r="I463" s="25" t="str">
        <x:v>C5_agent_memory</x:v>
      </x:c>
      <x:c r="J463" s="25" t="str">
        <x:v>Exclude</x:v>
      </x:c>
      <x:c r="K463" s="25" t="str">
        <x:v>Exclude: adjacent/redundant or insufficiently theory-generative for DC1</x:v>
      </x:c>
    </x:row>
    <x:row r="464">
      <x:c r="A464" s="20" t="str">
        <x:v>R0460</x:v>
      </x:c>
      <x:c r="B464" s="25" t="str">
        <x:v>Computational Methods for Plates and Beams with Mixed Boundary Conditions</x:v>
      </x:c>
      <x:c r="C464" s="25" t="n">
        <x:v>2014</x:v>
      </x:c>
      <x:c r="D464" s="25" t="str"/>
      <x:c r="E464" s="25" t="str">
        <x:v>Asymptotic Methods in the Theory of Plates with Mixed Boundary Conditions</x:v>
      </x:c>
      <x:c r="F464" s="25" t="str">
        <x:v>10.1002/9781118725184.ch2</x:v>
      </x:c>
      <x:c r="G464" s="25" t="str">
        <x:v>https://doi.org/10.1002/9781118725184.ch2</x:v>
      </x:c>
      <x:c r="H464" s="25" t="str">
        <x:v>Crossref</x:v>
      </x:c>
      <x:c r="I464" s="25" t="str">
        <x:v>C9_human_agent_handoff</x:v>
      </x:c>
      <x:c r="J464" s="25" t="str">
        <x:v>Exclude</x:v>
      </x:c>
      <x:c r="K464" s="25" t="str">
        <x:v>Exclude: topic mismatch</x:v>
      </x:c>
    </x:row>
    <x:row r="465">
      <x:c r="A465" s="20" t="str">
        <x:v>R0461</x:v>
      </x:c>
      <x:c r="B465" s="25" t="str">
        <x:v>Creating Images with Generative AI</x:v>
      </x:c>
      <x:c r="C465" s="25" t="n">
        <x:v>2024</x:v>
      </x:c>
      <x:c r="D465" s="25" t="str">
        <x:v>Claire Anscomb</x:v>
      </x:c>
      <x:c r="E465" s="25" t="str">
        <x:v>Artificial Intelligence, Co-Creation and Creativity</x:v>
      </x:c>
      <x:c r="F465" s="25" t="str">
        <x:v>10.4324/9781003453901-9</x:v>
      </x:c>
      <x:c r="G465" s="25" t="str">
        <x:v>https://doi.org/10.4324/9781003453901-9</x:v>
      </x:c>
      <x:c r="H465" s="25" t="str">
        <x:v>Crossref</x:v>
      </x:c>
      <x:c r="I465" s="25" t="str">
        <x:v>C3_mixed_initiative_cocreation</x:v>
      </x:c>
      <x:c r="J465" s="25" t="str">
        <x:v>Exclude</x:v>
      </x:c>
      <x:c r="K465" s="25" t="str">
        <x:v>Exclude: topic mismatch</x:v>
      </x:c>
    </x:row>
    <x:row r="466">
      <x:c r="A466" s="20" t="str">
        <x:v>R0462</x:v>
      </x:c>
      <x:c r="B466" s="25" t="str">
        <x:v>Deployable and multimodal human grasp intent inference in prosthetic hand
               control</x:v>
      </x:c>
      <x:c r="C466" s="25" t="str"/>
      <x:c r="D466" s="25" t="str">
        <x:v>Mehrshad Zandigohar</x:v>
      </x:c>
      <x:c r="E466" s="25" t="str"/>
      <x:c r="F466" s="25" t="str">
        <x:v>10.17760/d20741517</x:v>
      </x:c>
      <x:c r="G466" s="25" t="str">
        <x:v>https://doi.org/10.17760/d20741517</x:v>
      </x:c>
      <x:c r="H466" s="25" t="str">
        <x:v>Crossref</x:v>
      </x:c>
      <x:c r="I466" s="25" t="str">
        <x:v>C2_interaction_signals; C4_uncertainty_shared_autonomy</x:v>
      </x:c>
      <x:c r="J466" s="25" t="str">
        <x:v>Exclude</x:v>
      </x:c>
      <x:c r="K466" s="25" t="str">
        <x:v>Exclude: domain-specific signal model without transferable HCI theory</x:v>
      </x:c>
    </x:row>
    <x:row r="467">
      <x:c r="A467" s="20" t="str">
        <x:v>R0463</x:v>
      </x:c>
      <x:c r="B467" s="25" t="str">
        <x:v>Direct Object Manipulation vs. Direct Concept Manipulation: Effect of Interface Style on Reflection and Domain Learning</x:v>
      </x:c>
      <x:c r="C467" s="25" t="n">
        <x:v>1997</x:v>
      </x:c>
      <x:c r="D467" s="25" t="str">
        <x:v>Kamran Sedighian; Marv Westrom</x:v>
      </x:c>
      <x:c r="E467" s="25" t="str">
        <x:v>People and Computers XII</x:v>
      </x:c>
      <x:c r="F467" s="25" t="str">
        <x:v>10.1007/978-1-4471-3601-9_20</x:v>
      </x:c>
      <x:c r="G467" s="25" t="str">
        <x:v>https://doi.org/10.1007/978-1-4471-3601-9_20</x:v>
      </x:c>
      <x:c r="H467" s="25" t="str">
        <x:v>Crossref</x:v>
      </x:c>
      <x:c r="I467" s="25" t="str">
        <x:v>C1_3D_mental_models</x:v>
      </x:c>
      <x:c r="J467" s="25" t="str">
        <x:v>Exclude</x:v>
      </x:c>
      <x:c r="K467" s="25" t="str">
        <x:v>Exclude: adjacent/redundant or insufficiently theory-generative for DC1</x:v>
      </x:c>
    </x:row>
    <x:row r="468">
      <x:c r="A468" s="20" t="str">
        <x:v>R0464</x:v>
      </x:c>
      <x:c r="B468" s="25" t="str">
        <x:v>Embodied AI Agent for Co-creation Ecosystem: Elevating Human-AI Co-creation through Emotion Recognition and Dynamic Personality Adaptation</x:v>
      </x:c>
      <x:c r="C468" s="25" t="n">
        <x:v>2025</x:v>
      </x:c>
      <x:c r="D468" s="25" t="str">
        <x:v>Fernando Jia; Yuteng Fu; Jade Zheng; Florence Li</x:v>
      </x:c>
      <x:c r="E468" s="25" t="str"/>
      <x:c r="F468" s="25" t="str">
        <x:v>10.20944/preprints202501.0946.v1</x:v>
      </x:c>
      <x:c r="G468" s="25" t="str">
        <x:v>https://doi.org/10.20944/preprints202501.0946.v1</x:v>
      </x:c>
      <x:c r="H468" s="25" t="str">
        <x:v>Crossref</x:v>
      </x:c>
      <x:c r="I468" s="25" t="str">
        <x:v>C3_mixed_initiative_cocreation; C7_creative_agency</x:v>
      </x:c>
      <x:c r="J468" s="25" t="str">
        <x:v>Exclude</x:v>
      </x:c>
      <x:c r="K468" s="25" t="str">
        <x:v>Exclude: adjacent/redundant or insufficiently theory-generative for DC1</x:v>
      </x:c>
    </x:row>
    <x:row r="469">
      <x:c r="A469" s="20" t="str">
        <x:v>R0465</x:v>
      </x:c>
      <x:c r="B469" s="25" t="str">
        <x:v>Evaluating Memory in LLM Agents via Incremental Multi-Turn Interactions</x:v>
      </x:c>
      <x:c r="C469" s="25" t="n">
        <x:v>2025</x:v>
      </x:c>
      <x:c r="D469" s="25" t="str">
        <x:v>Yannan Hu; Yu Wang; Julian McAuley</x:v>
      </x:c>
      <x:c r="E469" s="25" t="str">
        <x:v>arXiv (Cornell University)</x:v>
      </x:c>
      <x:c r="F469" s="25" t="str">
        <x:v>10.48550/arxiv.2507.05257</x:v>
      </x:c>
      <x:c r="G469" s="25" t="str">
        <x:v>https://arxiv.org/abs/2507.05257</x:v>
      </x:c>
      <x:c r="H469" s="25" t="str">
        <x:v>OpenAlex</x:v>
      </x:c>
      <x:c r="I469" s="25" t="str">
        <x:v>C5_agent_memory</x:v>
      </x:c>
      <x:c r="J469" s="25" t="str">
        <x:v>Exclude</x:v>
      </x:c>
      <x:c r="K469" s="25" t="str">
        <x:v>Exclude: adjacent/redundant or insufficiently theory-generative for DC1</x:v>
      </x:c>
    </x:row>
    <x:row r="470">
      <x:c r="A470" s="20" t="str">
        <x:v>R0466</x:v>
      </x:c>
      <x:c r="B470" s="25" t="str">
        <x:v>Exploring Intent-driven Multimodal Interface for Geographical Information System</x:v>
      </x:c>
      <x:c r="C470" s="25" t="n">
        <x:v>2015</x:v>
      </x:c>
      <x:c r="D470" s="25" t="str">
        <x:v>Feng Sun</x:v>
      </x:c>
      <x:c r="E470" s="25" t="str">
        <x:v>Proceedings of the 2015 ACM on International Conference on Multimodal Interaction</x:v>
      </x:c>
      <x:c r="F470" s="25" t="str">
        <x:v>10.1145/2818346.2823304</x:v>
      </x:c>
      <x:c r="G470" s="25" t="str">
        <x:v>https://doi.org/10.1145/2818346.2823304</x:v>
      </x:c>
      <x:c r="H470" s="25" t="str">
        <x:v>Crossref</x:v>
      </x:c>
      <x:c r="I470" s="25" t="str">
        <x:v>C2_interaction_signals</x:v>
      </x:c>
      <x:c r="J470" s="25" t="str">
        <x:v>Exclude</x:v>
      </x:c>
      <x:c r="K470" s="25" t="str">
        <x:v>Exclude: adjacent/redundant or insufficiently theory-generative for DC1</x:v>
      </x:c>
    </x:row>
    <x:row r="471">
      <x:c r="A471" s="20" t="str">
        <x:v>R0467</x:v>
      </x:c>
      <x:c r="B471" s="25" t="str">
        <x:v>Force Push: Exploring Expressive Gesture-to-Force Mappings for Indirect 3D Object Manipulation</x:v>
      </x:c>
      <x:c r="C471" s="25" t="n">
        <x:v>2018</x:v>
      </x:c>
      <x:c r="D471" s="25" t="str">
        <x:v>Run Yu; Doug A. Bowman</x:v>
      </x:c>
      <x:c r="E471" s="25" t="str">
        <x:v>2018 IEEE Conference on Virtual Reality and 3D User Interfaces (VR)</x:v>
      </x:c>
      <x:c r="F471" s="25" t="str">
        <x:v>10.1109/vr.2018.8446453</x:v>
      </x:c>
      <x:c r="G471" s="25" t="str">
        <x:v>https://doi.org/10.1109/vr.2018.8446453</x:v>
      </x:c>
      <x:c r="H471" s="25" t="str">
        <x:v>Crossref</x:v>
      </x:c>
      <x:c r="I471" s="25" t="str">
        <x:v>C1_3D_mental_models</x:v>
      </x:c>
      <x:c r="J471" s="25" t="str">
        <x:v>Exclude</x:v>
      </x:c>
      <x:c r="K471" s="25" t="str">
        <x:v>Exclude: adjacent/redundant or insufficiently theory-generative for DC1</x:v>
      </x:c>
    </x:row>
    <x:row r="472">
      <x:c r="A472" s="20" t="str">
        <x:v>R0468</x:v>
      </x:c>
      <x:c r="B472" s="25" t="str">
        <x:v>From simulated empathy to structural attunement: Realtime Editable Memory Topology and the evolution of emotionally grounded AI</x:v>
      </x:c>
      <x:c r="C472" s="25" t="n">
        <x:v>2026</x:v>
      </x:c>
      <x:c r="D472" s="25" t="str">
        <x:v>John Albanese</x:v>
      </x:c>
      <x:c r="E472" s="25" t="str">
        <x:v>Frontiers in Artificial Intelligence</x:v>
      </x:c>
      <x:c r="F472" s="25" t="str">
        <x:v>10.3389/frai.2026.1749517</x:v>
      </x:c>
      <x:c r="G472" s="25" t="str">
        <x:v>https://doi.org/10.3389/frai.2026.1749517</x:v>
      </x:c>
      <x:c r="H472" s="25" t="str">
        <x:v>OpenAlex</x:v>
      </x:c>
      <x:c r="I472" s="25" t="str">
        <x:v>C5_agent_memory</x:v>
      </x:c>
      <x:c r="J472" s="25" t="str">
        <x:v>Exclude</x:v>
      </x:c>
      <x:c r="K472" s="25" t="str">
        <x:v>Exclude: adjacent/redundant or insufficiently theory-generative for DC1</x:v>
      </x:c>
    </x:row>
    <x:row r="473">
      <x:c r="A473" s="20" t="str">
        <x:v>R0469</x:v>
      </x:c>
      <x:c r="B473" s="25" t="str">
        <x:v>Giving Sense to Inputs: Toward an Accessible Control Framework for Shared Autonomy</x:v>
      </x:c>
      <x:c r="C473" s="25" t="n">
        <x:v>2025</x:v>
      </x:c>
      <x:c r="D473" s="25" t="str">
        <x:v>Shalutha Rajapakshe; Jean-Marc Odobez; Emmanuel Senft</x:v>
      </x:c>
      <x:c r="E473" s="25" t="str">
        <x:v>2025 20th ACM/IEEE International Conference on Human-Robot Interaction (HRI)</x:v>
      </x:c>
      <x:c r="F473" s="25" t="str">
        <x:v>10.1109/hri61500.2025.10973914</x:v>
      </x:c>
      <x:c r="G473" s="25" t="str">
        <x:v>https://doi.org/10.1109/hri61500.2025.10973914</x:v>
      </x:c>
      <x:c r="H473" s="25" t="str">
        <x:v>Crossref</x:v>
      </x:c>
      <x:c r="I473" s="25" t="str">
        <x:v>C4_uncertainty_shared_autonomy</x:v>
      </x:c>
      <x:c r="J473" s="25" t="str">
        <x:v>Exclude</x:v>
      </x:c>
      <x:c r="K473" s="25" t="str">
        <x:v>Exclude: adjacent/redundant or insufficiently theory-generative for DC1</x:v>
      </x:c>
    </x:row>
    <x:row r="474">
      <x:c r="A474" s="20" t="str">
        <x:v>R0470</x:v>
      </x:c>
      <x:c r="B474" s="25" t="str">
        <x:v>HEAT TRANSFER IN TWO-DIMENSIONAL RAYLEIGH-BÉNARD CONVECTION AT DIFFERENT RAYLEIGH NUMBER FOR MIXED BOUNDARY CONDITIONS</x:v>
      </x:c>
      <x:c r="C474" s="25" t="n">
        <x:v>2017</x:v>
      </x:c>
      <x:c r="D474" s="25" t="str">
        <x:v>Chongyang Zhao; Yikun Wei</x:v>
      </x:c>
      <x:c r="E474" s="25" t="str">
        <x:v>JP Journal of Heat and Mass Transfer</x:v>
      </x:c>
      <x:c r="F474" s="25" t="str">
        <x:v>10.17654/hm014010001</x:v>
      </x:c>
      <x:c r="G474" s="25" t="str">
        <x:v>https://doi.org/10.17654/hm014010001</x:v>
      </x:c>
      <x:c r="H474" s="25" t="str">
        <x:v>Crossref</x:v>
      </x:c>
      <x:c r="I474" s="25" t="str">
        <x:v>C9_human_agent_handoff</x:v>
      </x:c>
      <x:c r="J474" s="25" t="str">
        <x:v>Exclude</x:v>
      </x:c>
      <x:c r="K474" s="25" t="str">
        <x:v>Exclude: topic mismatch</x:v>
      </x:c>
    </x:row>
    <x:row r="475">
      <x:c r="A475" s="20" t="str">
        <x:v>R0471</x:v>
      </x:c>
      <x:c r="B475" s="25" t="str">
        <x:v>Hierarchical User Intent Inference with Knowledge Graph Grounding</x:v>
      </x:c>
      <x:c r="C475" s="25" t="n">
        <x:v>2026</x:v>
      </x:c>
      <x:c r="D475" s="25" t="str">
        <x:v>Tzu-Cheng Peng; Chien Chin Chen; Yung-Chun Chang</x:v>
      </x:c>
      <x:c r="E475" s="25" t="str">
        <x:v>Findings of the Association for Computational Linguistics: EACL 2026</x:v>
      </x:c>
      <x:c r="F475" s="25" t="str">
        <x:v>10.18653/v1/2026.findings-eacl.285</x:v>
      </x:c>
      <x:c r="G475" s="25" t="str">
        <x:v>https://doi.org/10.18653/v1/2026.findings-eacl.285</x:v>
      </x:c>
      <x:c r="H475" s="25" t="str">
        <x:v>Crossref</x:v>
      </x:c>
      <x:c r="I475" s="25" t="str">
        <x:v>C2_interaction_signals</x:v>
      </x:c>
      <x:c r="J475" s="25" t="str">
        <x:v>Exclude</x:v>
      </x:c>
      <x:c r="K475" s="25" t="str">
        <x:v>Exclude: adjacent/redundant or insufficiently theory-generative for DC1</x:v>
      </x:c>
    </x:row>
    <x:row r="476">
      <x:c r="A476" s="20" t="str">
        <x:v>R0472</x:v>
      </x:c>
      <x:c r="B476" s="25" t="str">
        <x:v>Interface-level Intent Inference for Environment-agnostic Robot Teleoperation Assistance</x:v>
      </x:c>
      <x:c r="C476" s="25" t="n">
        <x:v>2025</x:v>
      </x:c>
      <x:c r="D476" s="25" t="str">
        <x:v>Larisa Loke; Brenna Argall</x:v>
      </x:c>
      <x:c r="E476" s="25" t="str">
        <x:v>Robotics: Science and Systems XXI</x:v>
      </x:c>
      <x:c r="F476" s="25" t="str">
        <x:v>10.15607/rss.2025.xxi.081</x:v>
      </x:c>
      <x:c r="G476" s="25" t="str">
        <x:v>https://doi.org/10.15607/rss.2025.xxi.081</x:v>
      </x:c>
      <x:c r="H476" s="25" t="str">
        <x:v>Crossref</x:v>
      </x:c>
      <x:c r="I476" s="25" t="str">
        <x:v>C2_interaction_signals; C6_frontend_GUI_intent</x:v>
      </x:c>
      <x:c r="J476" s="25" t="str">
        <x:v>Exclude</x:v>
      </x:c>
      <x:c r="K476" s="25" t="str">
        <x:v>Exclude: adjacent/redundant or insufficiently theory-generative for DC1</x:v>
      </x:c>
    </x:row>
    <x:row r="477">
      <x:c r="A477" s="20" t="str">
        <x:v>R0473</x:v>
      </x:c>
      <x:c r="B477" s="25" t="str">
        <x:v>Mixed-Initiative Methods for Co-Creation in Scientific Research</x:v>
      </x:c>
      <x:c r="C477" s="25" t="n">
        <x:v>2024</x:v>
      </x:c>
      <x:c r="D477" s="25" t="str">
        <x:v>Marissa Radensky</x:v>
      </x:c>
      <x:c r="E477" s="25" t="str">
        <x:v>Creativity and Cognition</x:v>
      </x:c>
      <x:c r="F477" s="25" t="str">
        <x:v>10.1145/3635636.3664627</x:v>
      </x:c>
      <x:c r="G477" s="25" t="str">
        <x:v>https://doi.org/10.1145/3635636.3664627</x:v>
      </x:c>
      <x:c r="H477" s="25" t="str">
        <x:v>Crossref</x:v>
      </x:c>
      <x:c r="I477" s="25" t="str">
        <x:v>C3_mixed_initiative_cocreation</x:v>
      </x:c>
      <x:c r="J477" s="25" t="str">
        <x:v>Exclude</x:v>
      </x:c>
      <x:c r="K477" s="25" t="str">
        <x:v>Exclude: adjacent/redundant or insufficiently theory-generative for DC1</x:v>
      </x:c>
    </x:row>
    <x:row r="478">
      <x:c r="A478" s="20" t="str">
        <x:v>R0474</x:v>
      </x:c>
      <x:c r="B478" s="25" t="str">
        <x:v>Natural Convection to Power-Law Fluids From a Heated Vertical Plate Under Mixed Thermal Boundary Conditions</x:v>
      </x:c>
      <x:c r="C478" s="25" t="n">
        <x:v>1999</x:v>
      </x:c>
      <x:c r="D478" s="25" t="str">
        <x:v>Elif Büyük; Mehmet C. Ece</x:v>
      </x:c>
      <x:c r="E478" s="25" t="str">
        <x:v>Heat Transfer: Volume 1</x:v>
      </x:c>
      <x:c r="F478" s="25" t="str">
        <x:v>10.1115/imece1999-0982</x:v>
      </x:c>
      <x:c r="G478" s="25" t="str">
        <x:v>https://doi.org/10.1115/imece1999-0982</x:v>
      </x:c>
      <x:c r="H478" s="25" t="str">
        <x:v>Crossref</x:v>
      </x:c>
      <x:c r="I478" s="25" t="str">
        <x:v>C9_human_agent_handoff</x:v>
      </x:c>
      <x:c r="J478" s="25" t="str">
        <x:v>Exclude</x:v>
      </x:c>
      <x:c r="K478" s="25" t="str">
        <x:v>Exclude: topic mismatch</x:v>
      </x:c>
    </x:row>
    <x:row r="479">
      <x:c r="A479" s="20" t="str">
        <x:v>R0475</x:v>
      </x:c>
      <x:c r="B479" s="25" t="str">
        <x:v>Object Manipulation by Absolute Pointing with a Smartphone Gyro Sensor</x:v>
      </x:c>
      <x:c r="C479" s="25" t="n">
        <x:v>2019</x:v>
      </x:c>
      <x:c r="D479" s="25" t="str">
        <x:v>Koki Sato; Mitsunori Matsushita</x:v>
      </x:c>
      <x:c r="E479" s="25" t="str">
        <x:v>Symposium on Spatial User Interaction</x:v>
      </x:c>
      <x:c r="F479" s="25" t="str">
        <x:v>10.1145/3357251.3360006</x:v>
      </x:c>
      <x:c r="G479" s="25" t="str">
        <x:v>https://doi.org/10.1145/3357251.3360006</x:v>
      </x:c>
      <x:c r="H479" s="25" t="str">
        <x:v>Crossref</x:v>
      </x:c>
      <x:c r="I479" s="25" t="str">
        <x:v>C1_3D_mental_models</x:v>
      </x:c>
      <x:c r="J479" s="25" t="str">
        <x:v>Exclude</x:v>
      </x:c>
      <x:c r="K479" s="25" t="str">
        <x:v>Exclude: adjacent/redundant or insufficiently theory-generative for DC1</x:v>
      </x:c>
    </x:row>
    <x:row r="480">
      <x:c r="A480" s="20" t="str">
        <x:v>R0476</x:v>
      </x:c>
      <x:c r="B480" s="25" t="str">
        <x:v>The Drive for New Driving Interfaces</x:v>
      </x:c>
      <x:c r="C480" s="25" t="n">
        <x:v>2016</x:v>
      </x:c>
      <x:c r="D480" s="25" t="str">
        <x:v>Ingrid Pettersson; Lena Hylving; Annie Rydström; Dimitrios Gkouskos</x:v>
      </x:c>
      <x:c r="E480" s="25" t="str">
        <x:v>Proceedings of the 9th Nordic Conference on Human-Computer Interaction</x:v>
      </x:c>
      <x:c r="F480" s="25" t="str">
        <x:v>10.1145/2971485.2995348</x:v>
      </x:c>
      <x:c r="G480" s="25" t="str">
        <x:v>https://doi.org/10.1145/2971485.2995348</x:v>
      </x:c>
      <x:c r="H480" s="25" t="str">
        <x:v>Crossref</x:v>
      </x:c>
      <x:c r="I480" s="25" t="str">
        <x:v>C2_interaction_signals; C6_frontend_GUI_intent</x:v>
      </x:c>
      <x:c r="J480" s="25" t="str">
        <x:v>Exclude</x:v>
      </x:c>
      <x:c r="K480" s="25" t="str">
        <x:v>Exclude: topic mismatch</x:v>
      </x:c>
    </x:row>
    <x:row r="481">
      <x:c r="A481" s="20" t="str">
        <x:v>R0477</x:v>
      </x:c>
      <x:c r="B481" s="25" t="str">
        <x:v>Tools and Technology to Support Creativity in Virtual Teams</x:v>
      </x:c>
      <x:c r="C481" s="25" t="n">
        <x:v>2007</x:v>
      </x:c>
      <x:c r="D481" s="25" t="str">
        <x:v>Julian Malins; Stuart Watt</x:v>
      </x:c>
      <x:c r="E481" s="25" t="str">
        <x:v>Higher Creativity for Virtual Teams</x:v>
      </x:c>
      <x:c r="F481" s="25" t="str">
        <x:v>10.4018/978-1-59904-129-2.ch011</x:v>
      </x:c>
      <x:c r="G481" s="25" t="str">
        <x:v>https://doi.org/10.4018/978-1-59904-129-2.ch011</x:v>
      </x:c>
      <x:c r="H481" s="25" t="str">
        <x:v>Crossref</x:v>
      </x:c>
      <x:c r="I481" s="25" t="str">
        <x:v>C3_mixed_initiative_cocreation</x:v>
      </x:c>
      <x:c r="J481" s="25" t="str">
        <x:v>Exclude</x:v>
      </x:c>
      <x:c r="K481" s="25" t="str">
        <x:v>Exclude: adjacent/redundant or insufficiently theory-generative for DC1</x:v>
      </x:c>
    </x:row>
    <x:row r="482">
      <x:c r="A482" s="20" t="str">
        <x:v>R0478</x:v>
      </x:c>
      <x:c r="B482" s="25" t="str">
        <x:v>Understanding intent, behavior and emotion in user comments</x:v>
      </x:c>
      <x:c r="C482" s="25" t="n">
        <x:v>2021</x:v>
      </x:c>
      <x:c r="D482" s="25" t="str">
        <x:v>Galit Gordoni; Oren Soffer</x:v>
      </x:c>
      <x:c r="E482" s="25" t="str"/>
      <x:c r="F482" s="25" t="str">
        <x:v>10.31235/osf.io/bfu4t</x:v>
      </x:c>
      <x:c r="G482" s="25" t="str">
        <x:v>https://doi.org/10.31235/osf.io/bfu4t</x:v>
      </x:c>
      <x:c r="H482" s="25" t="str">
        <x:v>Crossref</x:v>
      </x:c>
      <x:c r="I482" s="25" t="str">
        <x:v>C2_interaction_signals</x:v>
      </x:c>
      <x:c r="J482" s="25" t="str">
        <x:v>Exclude</x:v>
      </x:c>
      <x:c r="K482" s="25" t="str">
        <x:v>Exclude: adjacent/redundant or insufficiently theory-generative for DC1</x:v>
      </x:c>
    </x:row>
    <x:row r="483">
      <x:c r="A483" s="20" t="str">
        <x:v>R0479</x:v>
      </x:c>
      <x:c r="B483" s="25" t="str">
        <x:v>When Shall I Estimate Your Intent? Costs and Benefits of Intent Inference in Multi-Agent Interactions</x:v>
      </x:c>
      <x:c r="C483" s="25" t="n">
        <x:v>2022</x:v>
      </x:c>
      <x:c r="D483" s="25" t="str">
        <x:v>Sunny Amatya; Mukesh Ghimire; Yi Ren; Zhe Xu; Wenlong Zhang</x:v>
      </x:c>
      <x:c r="E483" s="25" t="str">
        <x:v>2022 American Control Conference (ACC)</x:v>
      </x:c>
      <x:c r="F483" s="25" t="str">
        <x:v>10.23919/acc53348.2022.9867155</x:v>
      </x:c>
      <x:c r="G483" s="25" t="str">
        <x:v>https://doi.org/10.23919/acc53348.2022.9867155</x:v>
      </x:c>
      <x:c r="H483" s="25" t="str">
        <x:v>Crossref</x:v>
      </x:c>
      <x:c r="I483" s="25" t="str">
        <x:v>C2_interaction_signals; C6_frontend_GUI_intent</x:v>
      </x:c>
      <x:c r="J483" s="25" t="str">
        <x:v>Exclude</x:v>
      </x:c>
      <x:c r="K483" s="25" t="str">
        <x:v>Exclude: adjacent/redundant or insufficiently theory-generative for DC1</x:v>
      </x:c>
    </x:row>
    <x:row r="484">
      <x:c r="A484" s="20" t="str">
        <x:v>R0480</x:v>
      </x:c>
      <x:c r="B484" s="25" t="str"/>
      <x:c r="C484" s="25" t="str"/>
      <x:c r="D484" s="25" t="str"/>
      <x:c r="E484" s="25" t="str"/>
      <x:c r="F484" s="25" t="str">
        <x:v>10.1117/12.2261648.5427412093001</x:v>
      </x:c>
      <x:c r="G484" s="25" t="str">
        <x:v>https://doi.org/10.1117/12.2261648.5427412093001</x:v>
      </x:c>
      <x:c r="H484" s="25" t="str">
        <x:v>Crossref</x:v>
      </x:c>
      <x:c r="I484" s="25" t="str">
        <x:v>C1_3D_mental_models; C8_AI_3D_authoring</x:v>
      </x:c>
      <x:c r="J484" s="25" t="str">
        <x:v>Exclude</x:v>
      </x:c>
      <x:c r="K484" s="25" t="str">
        <x:v>Exclude: topic mismatch</x:v>
      </x:c>
    </x:row>
    <x:row r="485">
      <x:c r="A485" s="20" t="str">
        <x:v>R0481</x:v>
      </x:c>
      <x:c r="B485" s="25" t="str"/>
      <x:c r="C485" s="25" t="str"/>
      <x:c r="D485" s="25" t="str"/>
      <x:c r="E485" s="25" t="str"/>
      <x:c r="F485" s="25" t="str">
        <x:v>10.1117/12.2559296.6151653004001</x:v>
      </x:c>
      <x:c r="G485" s="25" t="str">
        <x:v>https://doi.org/10.1117/12.2559296.6151653004001</x:v>
      </x:c>
      <x:c r="H485" s="25" t="str">
        <x:v>Crossref</x:v>
      </x:c>
      <x:c r="I485" s="25" t="str">
        <x:v>C4_uncertainty_shared_autonomy</x:v>
      </x:c>
      <x:c r="J485" s="25" t="str">
        <x:v>Exclude</x:v>
      </x:c>
      <x:c r="K485" s="25" t="str">
        <x:v>Exclude: topic mismatch</x:v>
      </x:c>
    </x:row>
    <x:row r="486">
      <x:c r="A486" s="20" t="str">
        <x:v>R0482</x:v>
      </x:c>
      <x:c r="B486" s="25" t="str"/>
      <x:c r="C486" s="25" t="str"/>
      <x:c r="D486" s="25" t="str"/>
      <x:c r="E486" s="25" t="str"/>
      <x:c r="F486" s="25" t="str">
        <x:v>10.3030/658926</x:v>
      </x:c>
      <x:c r="G486" s="25" t="str">
        <x:v>https://doi.org/10.3030/658926</x:v>
      </x:c>
      <x:c r="H486" s="25" t="str">
        <x:v>Crossref</x:v>
      </x:c>
      <x:c r="I486" s="25" t="str">
        <x:v>C5_agent_memory</x:v>
      </x:c>
      <x:c r="J486" s="25" t="str">
        <x:v>Exclude</x:v>
      </x:c>
      <x:c r="K486" s="25" t="str">
        <x:v>Exclude: topic mismatch</x:v>
      </x:c>
    </x:row>
    <x:row r="487">
      <x:c r="A487" s="20" t="str">
        <x:v>R0483</x:v>
      </x:c>
      <x:c r="B487" s="25" t="str"/>
      <x:c r="C487" s="25" t="str"/>
      <x:c r="D487" s="25" t="str"/>
      <x:c r="E487" s="25" t="str"/>
      <x:c r="F487" s="25" t="str">
        <x:v>10.3030/101179220</x:v>
      </x:c>
      <x:c r="G487" s="25" t="str">
        <x:v>https://doi.org/10.3030/101179220</x:v>
      </x:c>
      <x:c r="H487" s="25" t="str">
        <x:v>Crossref</x:v>
      </x:c>
      <x:c r="I487" s="25" t="str">
        <x:v>C8_AI_3D_authoring</x:v>
      </x:c>
      <x:c r="J487" s="25" t="str">
        <x:v>Exclude</x:v>
      </x:c>
      <x:c r="K487" s="25" t="str">
        <x:v>Exclude: topic mismatch</x:v>
      </x:c>
    </x:row>
    <x:row r="488">
      <x:c r="A488" s="20" t="str">
        <x:v>R0484</x:v>
      </x:c>
      <x:c r="B488" s="25" t="str"/>
      <x:c r="C488" s="25" t="str"/>
      <x:c r="D488" s="25" t="str"/>
      <x:c r="E488" s="25" t="str"/>
      <x:c r="F488" s="25" t="str">
        <x:v>10.1117/12.3011374.61c8834a-a454-ee11-a99c-00505691c5e1</x:v>
      </x:c>
      <x:c r="G488" s="25" t="str">
        <x:v>https://doi.org/10.1117/12.3011374.61c8834a-a454-ee11-a99c-00505691c5e1</x:v>
      </x:c>
      <x:c r="H488" s="25" t="str">
        <x:v>Crossref</x:v>
      </x:c>
      <x:c r="I488" s="25" t="str">
        <x:v>C8_AI_3D_authoring</x:v>
      </x:c>
      <x:c r="J488" s="25" t="str">
        <x:v>Exclude</x:v>
      </x:c>
      <x:c r="K488" s="25" t="str">
        <x:v>Exclude: topic mismatch</x:v>
      </x:c>
    </x:row>
    <x:row r="489">
      <x:c r="A489" s="20" t="str">
        <x:v>R0485</x:v>
      </x:c>
      <x:c r="B489" s="25" t="str">
        <x:v>3D Map Representations</x:v>
      </x:c>
      <x:c r="C489" s="25" t="n">
        <x:v>2013</x:v>
      </x:c>
      <x:c r="D489" s="25" t="str">
        <x:v>Radu Bogdan Rusu</x:v>
      </x:c>
      <x:c r="E489" s="25" t="str">
        <x:v>Springer Tracts in Advanced Robotics</x:v>
      </x:c>
      <x:c r="F489" s="25" t="str">
        <x:v>10.1007/978-3-642-35479-3_2</x:v>
      </x:c>
      <x:c r="G489" s="25" t="str">
        <x:v>https://doi.org/10.1007/978-3-642-35479-3_2</x:v>
      </x:c>
      <x:c r="H489" s="25" t="str">
        <x:v>Crossref</x:v>
      </x:c>
      <x:c r="I489" s="25" t="str">
        <x:v>C8_AI_3D_authoring</x:v>
      </x:c>
      <x:c r="J489" s="25" t="str">
        <x:v>Exclude</x:v>
      </x:c>
      <x:c r="K489" s="25" t="str">
        <x:v>Exclude: adjacent/redundant or insufficiently theory-generative for DC1</x:v>
      </x:c>
    </x:row>
    <x:row r="490">
      <x:c r="A490" s="20" t="str">
        <x:v>R0486</x:v>
      </x:c>
      <x:c r="B490" s="25" t="str">
        <x:v>3D Point Feature Representations</x:v>
      </x:c>
      <x:c r="C490" s="25" t="n">
        <x:v>2013</x:v>
      </x:c>
      <x:c r="D490" s="25" t="str">
        <x:v>Radu Bogdan Rusu</x:v>
      </x:c>
      <x:c r="E490" s="25" t="str">
        <x:v>Springer Tracts in Advanced Robotics</x:v>
      </x:c>
      <x:c r="F490" s="25" t="str">
        <x:v>10.1007/978-3-642-35479-3_4</x:v>
      </x:c>
      <x:c r="G490" s="25" t="str">
        <x:v>https://doi.org/10.1007/978-3-642-35479-3_4</x:v>
      </x:c>
      <x:c r="H490" s="25" t="str">
        <x:v>Crossref</x:v>
      </x:c>
      <x:c r="I490" s="25" t="str">
        <x:v>C8_AI_3D_authoring</x:v>
      </x:c>
      <x:c r="J490" s="25" t="str">
        <x:v>Exclude</x:v>
      </x:c>
      <x:c r="K490" s="25" t="str">
        <x:v>Exclude: adjacent/redundant or insufficiently theory-generative for DC1</x:v>
      </x:c>
    </x:row>
    <x:row r="491">
      <x:c r="A491" s="20" t="str">
        <x:v>R0487</x:v>
      </x:c>
      <x:c r="B491" s="25" t="str">
        <x:v>3D visualization and interactive image manipulation for surgical planning in robot-assisted surgery</x:v>
      </x:c>
      <x:c r="C491" s="25" t="str"/>
      <x:c r="D491" s="25" t="str">
        <x:v>; Mohammad Reza Maddah</x:v>
      </x:c>
      <x:c r="E491" s="25" t="str"/>
      <x:c r="F491" s="25" t="str">
        <x:v>10.70675/6950032fzf0e7z44d5z8679z39c988e1327b</x:v>
      </x:c>
      <x:c r="G491" s="25" t="str">
        <x:v>https://doi.org/10.70675/6950032fzf0e7z44d5z8679z39c988e1327b</x:v>
      </x:c>
      <x:c r="H491" s="25" t="str">
        <x:v>Crossref</x:v>
      </x:c>
      <x:c r="I491" s="25" t="str">
        <x:v>C8_AI_3D_authoring</x:v>
      </x:c>
      <x:c r="J491" s="25" t="str">
        <x:v>Exclude</x:v>
      </x:c>
      <x:c r="K491" s="25" t="str">
        <x:v>Exclude: adjacent/redundant or insufficiently theory-generative for DC1</x:v>
      </x:c>
    </x:row>
    <x:row r="492">
      <x:c r="A492" s="20" t="str">
        <x:v>R0488</x:v>
      </x:c>
      <x:c r="B492" s="25" t="str">
        <x:v>3D-printed spatial manipulation toy in motion</x:v>
      </x:c>
      <x:c r="C492" s="25" t="str"/>
      <x:c r="D492" s="25" t="str"/>
      <x:c r="E492" s="25" t="str"/>
      <x:c r="F492" s="25" t="str">
        <x:v>10.3998/mpub.11724511.cmp7</x:v>
      </x:c>
      <x:c r="G492" s="25" t="str">
        <x:v>https://doi.org/10.3998/mpub.11724511.cmp7</x:v>
      </x:c>
      <x:c r="H492" s="25" t="str">
        <x:v>Crossref</x:v>
      </x:c>
      <x:c r="I492" s="25" t="str">
        <x:v>C1_3D_mental_models</x:v>
      </x:c>
      <x:c r="J492" s="25" t="str">
        <x:v>Exclude</x:v>
      </x:c>
      <x:c r="K492" s="25" t="str">
        <x:v>Exclude: adjacent/redundant or insufficiently theory-generative for DC1</x:v>
      </x:c>
    </x:row>
    <x:row r="493">
      <x:c r="A493" s="20" t="str">
        <x:v>R0489</x:v>
      </x:c>
      <x:c r="B493" s="25" t="str">
        <x:v>3d Portrait Stylization with Adaptive Semantic Editing Based on Gan Latent Code</x:v>
      </x:c>
      <x:c r="C493" s="25" t="n">
        <x:v>2025</x:v>
      </x:c>
      <x:c r="D493" s="25" t="str">
        <x:v>Yantao Song; Xiangchong Jia; Jieru Jia; Yudong Liang; Xinyan Liang</x:v>
      </x:c>
      <x:c r="E493" s="25" t="str"/>
      <x:c r="F493" s="25" t="str">
        <x:v>10.2139/ssrn.5111395</x:v>
      </x:c>
      <x:c r="G493" s="25" t="str">
        <x:v>https://doi.org/10.2139/ssrn.5111395</x:v>
      </x:c>
      <x:c r="H493" s="25" t="str">
        <x:v>Crossref</x:v>
      </x:c>
      <x:c r="I493" s="25" t="str">
        <x:v>C8_AI_3D_authoring</x:v>
      </x:c>
      <x:c r="J493" s="25" t="str">
        <x:v>Exclude</x:v>
      </x:c>
      <x:c r="K493" s="25" t="str">
        <x:v>Exclude: adjacent/redundant or insufficiently theory-generative for DC1</x:v>
      </x:c>
    </x:row>
    <x:row r="494">
      <x:c r="A494" s="20" t="str">
        <x:v>R0490</x:v>
      </x:c>
      <x:c r="B494" s="25" t="str">
        <x:v>A Graphical User Interface (GUI) Testing Methodology</x:v>
      </x:c>
      <x:c r="C494" s="25" t="n">
        <x:v>2009</x:v>
      </x:c>
      <x:c r="D494" s="25" t="str">
        <x:v>Zafar Singhera; Ellis Horowitz; Abad Shah</x:v>
      </x:c>
      <x:c r="E494" s="25" t="str">
        <x:v>Human Computer Interaction</x:v>
      </x:c>
      <x:c r="F494" s="25" t="str">
        <x:v>10.4018/978-1-87828-991-9.ch044</x:v>
      </x:c>
      <x:c r="G494" s="25" t="str">
        <x:v>https://doi.org/10.4018/978-1-87828-991-9.ch044</x:v>
      </x:c>
      <x:c r="H494" s="25" t="str">
        <x:v>Crossref</x:v>
      </x:c>
      <x:c r="I494" s="25" t="str">
        <x:v>C6_frontend_GUI_intent</x:v>
      </x:c>
      <x:c r="J494" s="25" t="str">
        <x:v>Exclude</x:v>
      </x:c>
      <x:c r="K494" s="25" t="str">
        <x:v>Exclude: topic mismatch</x:v>
      </x:c>
    </x:row>
    <x:row r="495">
      <x:c r="A495" s="20" t="str">
        <x:v>R0491</x:v>
      </x:c>
      <x:c r="B495" s="25" t="str">
        <x:v>A Human-Centred Tri-Region Shared Autonomy Framework for Adaptive and Safe Human–Robot Interaction</x:v>
      </x:c>
      <x:c r="C495" s="25" t="n">
        <x:v>2026</x:v>
      </x:c>
      <x:c r="D495" s="25" t="str">
        <x:v>Abolfazl Zaraki; Hamed Rahimi Nohooji; Maryam Banitalebi Dehkordi; Holger Voos</x:v>
      </x:c>
      <x:c r="E495" s="25" t="str">
        <x:v>Companion Proceedings of the 21st ACM/IEEE International Conference on Human-Robot Interaction</x:v>
      </x:c>
      <x:c r="F495" s="25" t="str">
        <x:v>10.1145/3776734.3794536</x:v>
      </x:c>
      <x:c r="G495" s="25" t="str">
        <x:v>https://doi.org/10.1145/3776734.3794536</x:v>
      </x:c>
      <x:c r="H495" s="25" t="str">
        <x:v>Crossref</x:v>
      </x:c>
      <x:c r="I495" s="25" t="str">
        <x:v>C4_uncertainty_shared_autonomy</x:v>
      </x:c>
      <x:c r="J495" s="25" t="str">
        <x:v>Exclude</x:v>
      </x:c>
      <x:c r="K495" s="25" t="str">
        <x:v>Exclude: adjacent/redundant or insufficiently theory-generative for DC1</x:v>
      </x:c>
    </x:row>
    <x:row r="496">
      <x:c r="A496" s="20" t="str">
        <x:v>R0492</x:v>
      </x:c>
      <x:c r="B496" s="25" t="str">
        <x:v>A Human-Machine Interaction Approach for Overtaking Scenarios Based on Reinforcement Learning and Intent Inference</x:v>
      </x:c>
      <x:c r="C496" s="25" t="n">
        <x:v>2025</x:v>
      </x:c>
      <x:c r="D496" s="25" t="str">
        <x:v>Huan Wang; Yuwen Gan; Yun-Bo Zhao</x:v>
      </x:c>
      <x:c r="E496" s="25" t="str">
        <x:v>2025 44th Chinese Control Conference (CCC)</x:v>
      </x:c>
      <x:c r="F496" s="25" t="str">
        <x:v>10.23919/ccc64809.2025.11179320</x:v>
      </x:c>
      <x:c r="G496" s="25" t="str">
        <x:v>https://doi.org/10.23919/ccc64809.2025.11179320</x:v>
      </x:c>
      <x:c r="H496" s="25" t="str">
        <x:v>Crossref</x:v>
      </x:c>
      <x:c r="I496" s="25" t="str">
        <x:v>C2_interaction_signals; C4_uncertainty_shared_autonomy</x:v>
      </x:c>
      <x:c r="J496" s="25" t="str">
        <x:v>Exclude</x:v>
      </x:c>
      <x:c r="K496" s="25" t="str">
        <x:v>Exclude: adjacent/redundant or insufficiently theory-generative for DC1</x:v>
      </x:c>
    </x:row>
    <x:row r="497">
      <x:c r="A497" s="20" t="str">
        <x:v>R0493</x:v>
      </x:c>
      <x:c r="B497" s="25" t="str">
        <x:v>A Negotiation-Theoretic Framework for Control Authority Transfer in Mixed-Initiative Robotic Systems</x:v>
      </x:c>
      <x:c r="C497" s="25" t="n">
        <x:v>2022</x:v>
      </x:c>
      <x:c r="D497" s="25" t="str">
        <x:v>Simon Rothfuß; Manolis Chiou; Jairo Inga; Sören Hohmann; Rustam Stolkin</x:v>
      </x:c>
      <x:c r="E497" s="25" t="str"/>
      <x:c r="F497" s="25" t="str">
        <x:v>10.36227/techrxiv.20306529</x:v>
      </x:c>
      <x:c r="G497" s="25" t="str">
        <x:v>https://doi.org/10.36227/techrxiv.20306529</x:v>
      </x:c>
      <x:c r="H497" s="25" t="str">
        <x:v>Crossref</x:v>
      </x:c>
      <x:c r="I497" s="25" t="str">
        <x:v>C9_human_agent_handoff</x:v>
      </x:c>
      <x:c r="J497" s="25" t="str">
        <x:v>Exclude</x:v>
      </x:c>
      <x:c r="K497" s="25" t="str">
        <x:v>Exclude: adjacent/redundant or insufficiently theory-generative for DC1</x:v>
      </x:c>
    </x:row>
    <x:row r="498">
      <x:c r="A498" s="20" t="str">
        <x:v>R0494</x:v>
      </x:c>
      <x:c r="B498" s="25" t="str">
        <x:v>A New Electronic Handoff Tool to Facilitate Patient Transfer from the OR to SICU: A Quality Improvement Initiative</x:v>
      </x:c>
      <x:c r="C498" s="25" t="str"/>
      <x:c r="D498" s="25" t="str">
        <x:v>Kaylan Jean Kerrigan</x:v>
      </x:c>
      <x:c r="E498" s="25" t="str"/>
      <x:c r="F498" s="25" t="str">
        <x:v>10.33915/etd.13001</x:v>
      </x:c>
      <x:c r="G498" s="25" t="str">
        <x:v>https://doi.org/10.33915/etd.13001</x:v>
      </x:c>
      <x:c r="H498" s="25" t="str">
        <x:v>Crossref</x:v>
      </x:c>
      <x:c r="I498" s="25" t="str">
        <x:v>C9_human_agent_handoff</x:v>
      </x:c>
      <x:c r="J498" s="25" t="str">
        <x:v>Exclude</x:v>
      </x:c>
      <x:c r="K498" s="25" t="str">
        <x:v>Exclude: adjacent/redundant or insufficiently theory-generative for DC1</x:v>
      </x:c>
    </x:row>
    <x:row r="499">
      <x:c r="A499" s="20" t="str">
        <x:v>R0495</x:v>
      </x:c>
      <x:c r="B499" s="25" t="str">
        <x:v>A Probabilistic Inference Approach for Skill-Based Shared Autonomy in Assistive Robotic Manipulation_supp1-3595044.mp4</x:v>
      </x:c>
      <x:c r="C499" s="25" t="str"/>
      <x:c r="D499" s="25" t="str">
        <x:v>Chao Jiang</x:v>
      </x:c>
      <x:c r="E499" s="25" t="str"/>
      <x:c r="F499" s="25" t="str">
        <x:v>10.1109/lra.2025.3595044/mm1</x:v>
      </x:c>
      <x:c r="G499" s="25" t="str">
        <x:v>https://doi.org/10.1109/lra.2025.3595044/mm1</x:v>
      </x:c>
      <x:c r="H499" s="25" t="str">
        <x:v>Crossref</x:v>
      </x:c>
      <x:c r="I499" s="25" t="str">
        <x:v>C4_uncertainty_shared_autonomy</x:v>
      </x:c>
      <x:c r="J499" s="25" t="str">
        <x:v>Exclude</x:v>
      </x:c>
      <x:c r="K499" s="25" t="str">
        <x:v>Exclude: adjacent/redundant or insufficiently theory-generative for DC1</x:v>
      </x:c>
    </x:row>
    <x:row r="500">
      <x:c r="A500" s="20" t="str">
        <x:v>R0496</x:v>
      </x:c>
      <x:c r="B500" s="25" t="str">
        <x:v>A Tale of Two Walks: Episodic Memory and Semantic Representations Both Guide Memory Retrieval</x:v>
      </x:c>
      <x:c r="C500" s="25" t="n">
        <x:v>2025</x:v>
      </x:c>
      <x:c r="D500" s="25" t="str">
        <x:v>Achiel Fenneman; Claus Lamm</x:v>
      </x:c>
      <x:c r="E500" s="25" t="str"/>
      <x:c r="F500" s="25" t="str">
        <x:v>10.31234/osf.io/r4fev_v1</x:v>
      </x:c>
      <x:c r="G500" s="25" t="str">
        <x:v>https://doi.org/10.31234/osf.io/r4fev_v1</x:v>
      </x:c>
      <x:c r="H500" s="25" t="str">
        <x:v>Crossref</x:v>
      </x:c>
      <x:c r="I500" s="25" t="str">
        <x:v>C5_agent_memory</x:v>
      </x:c>
      <x:c r="J500" s="25" t="str">
        <x:v>Exclude</x:v>
      </x:c>
      <x:c r="K500" s="25" t="str">
        <x:v>Exclude: adjacent/redundant or insufficiently theory-generative for DC1</x:v>
      </x:c>
    </x:row>
    <x:row r="501">
      <x:c r="A501" s="20" t="str">
        <x:v>R0497</x:v>
      </x:c>
      <x:c r="B501" s="25" t="str">
        <x:v>A Vision for Sustainable AI-Assisted Development: Semantic Retrieval for Efficient AI Code Generation</x:v>
      </x:c>
      <x:c r="C501" s="25" t="str"/>
      <x:c r="D501" s="25" t="str">
        <x:v>Krishiv Piduri</x:v>
      </x:c>
      <x:c r="E501" s="25" t="str">
        <x:v>EPiC Series in Technology</x:v>
      </x:c>
      <x:c r="F501" s="25" t="str">
        <x:v>10.29007/8qdh</x:v>
      </x:c>
      <x:c r="G501" s="25" t="str">
        <x:v>https://doi.org/10.29007/8qdh</x:v>
      </x:c>
      <x:c r="H501" s="25" t="str">
        <x:v>Crossref</x:v>
      </x:c>
      <x:c r="I501" s="25" t="str">
        <x:v>C8_AI_3D_authoring</x:v>
      </x:c>
      <x:c r="J501" s="25" t="str">
        <x:v>Exclude</x:v>
      </x:c>
      <x:c r="K501" s="25" t="str">
        <x:v>Exclude: adjacent/redundant or insufficiently theory-generative for DC1</x:v>
      </x:c>
    </x:row>
    <x:row r="502">
      <x:c r="A502" s="20" t="str">
        <x:v>R0498</x:v>
      </x:c>
      <x:c r="B502" s="25" t="str">
        <x:v>A fully-discrete mixed virtual element scheme for the unsteady Navier–Stokes equation coupled with a heat transfer equation under mixed boundary conditions</x:v>
      </x:c>
      <x:c r="C502" s="25" t="n">
        <x:v>2025</x:v>
      </x:c>
      <x:c r="D502" s="25" t="str">
        <x:v>Zeinab Gharibi; Mehdi Dehghan</x:v>
      </x:c>
      <x:c r="E502" s="25" t="str">
        <x:v>Calcolo</x:v>
      </x:c>
      <x:c r="F502" s="25" t="str">
        <x:v>10.1007/s10092-025-00650-3</x:v>
      </x:c>
      <x:c r="G502" s="25" t="str">
        <x:v>https://doi.org/10.1007/s10092-025-00650-3</x:v>
      </x:c>
      <x:c r="H502" s="25" t="str">
        <x:v>Crossref</x:v>
      </x:c>
      <x:c r="I502" s="25" t="str">
        <x:v>C9_human_agent_handoff</x:v>
      </x:c>
      <x:c r="J502" s="25" t="str">
        <x:v>Exclude</x:v>
      </x:c>
      <x:c r="K502" s="25" t="str">
        <x:v>Exclude: topic mismatch</x:v>
      </x:c>
    </x:row>
    <x:row r="503">
      <x:c r="A503" s="20" t="str">
        <x:v>R0499</x:v>
      </x:c>
      <x:c r="B503" s="25" t="str">
        <x:v>A graph theory approach to human episodic memory: Outlining the spectrotemporal basis of episodic memory retrieval</x:v>
      </x:c>
      <x:c r="C503" s="25" t="n">
        <x:v>2015</x:v>
      </x:c>
      <x:c r="D503" s="25" t="str">
        <x:v>Ekstrom Arne</x:v>
      </x:c>
      <x:c r="E503" s="25" t="str">
        <x:v>Frontiers in Human Neuroscience</x:v>
      </x:c>
      <x:c r="F503" s="25" t="str">
        <x:v>10.3389/conf.fnhum.2015.217.00067</x:v>
      </x:c>
      <x:c r="G503" s="25" t="str">
        <x:v>https://doi.org/10.3389/conf.fnhum.2015.217.00067</x:v>
      </x:c>
      <x:c r="H503" s="25" t="str">
        <x:v>Crossref</x:v>
      </x:c>
      <x:c r="I503" s="25" t="str">
        <x:v>C5_agent_memory</x:v>
      </x:c>
      <x:c r="J503" s="25" t="str">
        <x:v>Exclude</x:v>
      </x:c>
      <x:c r="K503" s="25" t="str">
        <x:v>Exclude: adjacent/redundant or insufficiently theory-generative for DC1</x:v>
      </x:c>
    </x:row>
    <x:row r="504">
      <x:c r="A504" s="20" t="str">
        <x:v>R0500</x:v>
      </x:c>
      <x:c r="B504" s="25" t="str">
        <x:v>ABEL-GUI: AN AGENT-BASED GRAPHICAL USER INTERFACE FOR E-LEARNING</x:v>
      </x:c>
      <x:c r="C504" s="25" t="n">
        <x:v>2007</x:v>
      </x:c>
      <x:c r="D504" s="25" t="str"/>
      <x:c r="E504" s="25" t="str">
        <x:v>Proceedings of the Third International Conference on Web Information Systems and Technologies</x:v>
      </x:c>
      <x:c r="F504" s="25" t="str">
        <x:v>10.5220/0001271504910494</x:v>
      </x:c>
      <x:c r="G504" s="25" t="str">
        <x:v>https://doi.org/10.5220/0001271504910494</x:v>
      </x:c>
      <x:c r="H504" s="25" t="str">
        <x:v>Crossref</x:v>
      </x:c>
      <x:c r="I504" s="25" t="str">
        <x:v>C6_frontend_GUI_intent</x:v>
      </x:c>
      <x:c r="J504" s="25" t="str">
        <x:v>Exclude</x:v>
      </x:c>
      <x:c r="K504" s="25" t="str">
        <x:v>Exclude: topic mismatch</x:v>
      </x:c>
    </x:row>
    <x:row r="505">
      <x:c r="A505" s="20" t="str">
        <x:v>R0501</x:v>
      </x:c>
      <x:c r="B505" s="25" t="str">
        <x:v>AI Narrative Co-creation in Interaction Design Education:  A Thing-Perspective Pedagogical Framework with MacGuffin Creative Cards</x:v>
      </x:c>
      <x:c r="C505" s="25" t="n">
        <x:v>2026</x:v>
      </x:c>
      <x:c r="D505" s="25" t="str">
        <x:v>Wan-Chen Lee</x:v>
      </x:c>
      <x:c r="E505" s="25" t="str">
        <x:v>AHFE International</x:v>
      </x:c>
      <x:c r="F505" s="25" t="str">
        <x:v>10.54941/ahfe1007207</x:v>
      </x:c>
      <x:c r="G505" s="25" t="str">
        <x:v>https://doi.org/10.54941/ahfe1007207</x:v>
      </x:c>
      <x:c r="H505" s="25" t="str">
        <x:v>Crossref</x:v>
      </x:c>
      <x:c r="I505" s="25" t="str">
        <x:v>C7_creative_agency</x:v>
      </x:c>
      <x:c r="J505" s="25" t="str">
        <x:v>Exclude</x:v>
      </x:c>
      <x:c r="K505" s="25" t="str">
        <x:v>Exclude: adjacent/redundant or insufficiently theory-generative for DC1</x:v>
      </x:c>
    </x:row>
    <x:row r="506">
      <x:c r="A506" s="20" t="str">
        <x:v>R0502</x:v>
      </x:c>
      <x:c r="B506" s="25" t="str">
        <x:v>AI and Art</x:v>
      </x:c>
      <x:c r="C506" s="25" t="n">
        <x:v>2024</x:v>
      </x:c>
      <x:c r="D506" s="25" t="str">
        <x:v>Caterina Moruzzi; Oreste Leone Campagner</x:v>
      </x:c>
      <x:c r="E506" s="25" t="str">
        <x:v>Artificial Intelligence, Co-Creation and Creativity</x:v>
      </x:c>
      <x:c r="F506" s="25" t="str">
        <x:v>10.4324/9781003453901-10</x:v>
      </x:c>
      <x:c r="G506" s="25" t="str">
        <x:v>https://doi.org/10.4324/9781003453901-10</x:v>
      </x:c>
      <x:c r="H506" s="25" t="str">
        <x:v>Crossref</x:v>
      </x:c>
      <x:c r="I506" s="25" t="str">
        <x:v>C3_mixed_initiative_cocreation</x:v>
      </x:c>
      <x:c r="J506" s="25" t="str">
        <x:v>Exclude</x:v>
      </x:c>
      <x:c r="K506" s="25" t="str">
        <x:v>Exclude: topic mismatch</x:v>
      </x:c>
    </x:row>
    <x:row r="507">
      <x:c r="A507" s="20" t="str">
        <x:v>R0503</x:v>
      </x:c>
      <x:c r="B507" s="25" t="str">
        <x:v>AI as creative partner: exploring perceived roles in human-AI co-creation</x:v>
      </x:c>
      <x:c r="C507" s="25" t="n">
        <x:v>2026</x:v>
      </x:c>
      <x:c r="D507" s="25" t="str">
        <x:v>Susanne Dreyer; Chris McTeague; Katja Thoring</x:v>
      </x:c>
      <x:c r="E507" s="25" t="str">
        <x:v>Proceedings of the Design Society</x:v>
      </x:c>
      <x:c r="F507" s="25" t="str">
        <x:v>10.1017/pds.2026.10459</x:v>
      </x:c>
      <x:c r="G507" s="25" t="str">
        <x:v>https://doi.org/10.1017/pds.2026.10459</x:v>
      </x:c>
      <x:c r="H507" s="25" t="str">
        <x:v>Crossref</x:v>
      </x:c>
      <x:c r="I507" s="25" t="str">
        <x:v>C7_creative_agency</x:v>
      </x:c>
      <x:c r="J507" s="25" t="str">
        <x:v>Exclude</x:v>
      </x:c>
      <x:c r="K507" s="25" t="str">
        <x:v>Exclude: adjacent/redundant or insufficiently theory-generative for DC1</x:v>
      </x:c>
    </x:row>
    <x:row r="508">
      <x:c r="A508" s="20" t="str">
        <x:v>R0504</x:v>
      </x:c>
      <x:c r="B508" s="25" t="str">
        <x:v>AI-ASSISTED 2D-3D SEMANTIC SEGMENTATION FOR STONE LEVEL HBIM</x:v>
      </x:c>
      <x:c r="C508" s="25" t="n">
        <x:v>2026</x:v>
      </x:c>
      <x:c r="D508" s="25" t="str">
        <x:v>Oxana V. Barsukova; Luís Sanhudo; Filipe J.S. Brandão; Bruno A.F. Figueiredo</x:v>
      </x:c>
      <x:c r="E508" s="25" t="str">
        <x:v>6º Congresso Português de ‘Building Information Modelling’: Livro de Atas</x:v>
      </x:c>
      <x:c r="F508" s="25" t="str">
        <x:v>10.24840/978-972-752-358-0_049</x:v>
      </x:c>
      <x:c r="G508" s="25" t="str">
        <x:v>https://doi.org/10.24840/978-972-752-358-0_049</x:v>
      </x:c>
      <x:c r="H508" s="25" t="str">
        <x:v>Crossref</x:v>
      </x:c>
      <x:c r="I508" s="25" t="str">
        <x:v>C8_AI_3D_authoring</x:v>
      </x:c>
      <x:c r="J508" s="25" t="str">
        <x:v>Exclude</x:v>
      </x:c>
      <x:c r="K508" s="25" t="str">
        <x:v>Exclude: adjacent/redundant or insufficiently theory-generative for DC1</x:v>
      </x:c>
    </x:row>
    <x:row r="509">
      <x:c r="A509" s="20" t="str">
        <x:v>R0505</x:v>
      </x:c>
      <x:c r="B509" s="25" t="str">
        <x:v>AI-Assisted 3D Modeling and Engineering Optimization of Artistic Mechanical Parts for TWS Earbud Charging Cases</x:v>
      </x:c>
      <x:c r="C509" s="25" t="n">
        <x:v>2026</x:v>
      </x:c>
      <x:c r="D509" s="25" t="str">
        <x:v>Jiayi Qi</x:v>
      </x:c>
      <x:c r="E509" s="25" t="str">
        <x:v>Exploring Science Academic Conference Series</x:v>
      </x:c>
      <x:c r="F509" s="25" t="str">
        <x:v>10.70267/ic-aimees.20260407413</x:v>
      </x:c>
      <x:c r="G509" s="25" t="str">
        <x:v>https://doi.org/10.70267/ic-aimees.20260407413</x:v>
      </x:c>
      <x:c r="H509" s="25" t="str">
        <x:v>Crossref</x:v>
      </x:c>
      <x:c r="I509" s="25" t="str">
        <x:v>C8_AI_3D_authoring</x:v>
      </x:c>
      <x:c r="J509" s="25" t="str">
        <x:v>Exclude</x:v>
      </x:c>
      <x:c r="K509" s="25" t="str">
        <x:v>Exclude: adjacent/redundant or insufficiently theory-generative for DC1</x:v>
      </x:c>
    </x:row>
    <x:row r="510">
      <x:c r="A510" s="20" t="str">
        <x:v>R0506</x:v>
      </x:c>
      <x:c r="B510" s="25" t="str">
        <x:v>AI-Assisted Creativity Support for Persona Creation Tools</x:v>
      </x:c>
      <x:c r="C510" s="25" t="n">
        <x:v>2025</x:v>
      </x:c>
      <x:c r="D510" s="25" t="str">
        <x:v>Shih Ju Wang; Chien-Hsiung Chen</x:v>
      </x:c>
      <x:c r="E510" s="25" t="str">
        <x:v>AHFE International</x:v>
      </x:c>
      <x:c r="F510" s="25" t="str">
        <x:v>10.54941/ahfe1006208</x:v>
      </x:c>
      <x:c r="G510" s="25" t="str">
        <x:v>https://doi.org/10.54941/ahfe1006208</x:v>
      </x:c>
      <x:c r="H510" s="25" t="str">
        <x:v>Crossref</x:v>
      </x:c>
      <x:c r="I510" s="25" t="str">
        <x:v>C3_mixed_initiative_cocreation</x:v>
      </x:c>
      <x:c r="J510" s="25" t="str">
        <x:v>Exclude</x:v>
      </x:c>
      <x:c r="K510" s="25" t="str">
        <x:v>Exclude: adjacent/redundant or insufficiently theory-generative for DC1</x:v>
      </x:c>
    </x:row>
    <x:row r="511">
      <x:c r="A511" s="20" t="str">
        <x:v>R0507</x:v>
      </x:c>
      <x:c r="B511" s="25" t="str">
        <x:v>AI-Assisted Semantic Modeling of Languages for Symbolic Execution Driven Unit Test Generation</x:v>
      </x:c>
      <x:c r="C511" s="25" t="n">
        <x:v>2026</x:v>
      </x:c>
      <x:c r="D511" s="25" t="str">
        <x:v>Mokshith Reddy Tanguturi; Atul Kumar; Nandakishore Menon; Sridhar Chimalakonda</x:v>
      </x:c>
      <x:c r="E511" s="25" t="str">
        <x:v>2026 IEEE International Conference on Software Analysis, Evolution and Reengineering (SANER)</x:v>
      </x:c>
      <x:c r="F511" s="25" t="str">
        <x:v>10.1109/saner67736.2026.00020</x:v>
      </x:c>
      <x:c r="G511" s="25" t="str">
        <x:v>https://doi.org/10.1109/saner67736.2026.00020</x:v>
      </x:c>
      <x:c r="H511" s="25" t="str">
        <x:v>Crossref</x:v>
      </x:c>
      <x:c r="I511" s="25" t="str">
        <x:v>C8_AI_3D_authoring</x:v>
      </x:c>
      <x:c r="J511" s="25" t="str">
        <x:v>Exclude</x:v>
      </x:c>
      <x:c r="K511" s="25" t="str">
        <x:v>Exclude: topic mismatch</x:v>
      </x:c>
    </x:row>
    <x:row r="512">
      <x:c r="A512" s="20" t="str">
        <x:v>R0508</x:v>
      </x:c>
      <x:c r="B512" s="25" t="str">
        <x:v>AI-Mediated Creative Agency: A Framework for Creative Self-Efficacy in Human-AI Collaboration</x:v>
      </x:c>
      <x:c r="C512" s="25" t="n">
        <x:v>2026</x:v>
      </x:c>
      <x:c r="D512" s="25" t="str">
        <x:v>Sabrina Habib</x:v>
      </x:c>
      <x:c r="E512" s="25" t="str"/>
      <x:c r="F512" s="25" t="str">
        <x:v>10.31235/osf.io/uh65j_v1</x:v>
      </x:c>
      <x:c r="G512" s="25" t="str">
        <x:v>https://doi.org/10.31235/osf.io/uh65j_v1</x:v>
      </x:c>
      <x:c r="H512" s="25" t="str">
        <x:v>Crossref</x:v>
      </x:c>
      <x:c r="I512" s="25" t="str">
        <x:v>C7_creative_agency</x:v>
      </x:c>
      <x:c r="J512" s="25" t="str">
        <x:v>Exclude</x:v>
      </x:c>
      <x:c r="K512" s="25" t="str">
        <x:v>Exclude: adjacent/redundant or insufficiently theory-generative for DC1</x:v>
      </x:c>
    </x:row>
    <x:row r="513">
      <x:c r="A513" s="20" t="str">
        <x:v>R0509</x:v>
      </x:c>
      <x:c r="B513" s="25" t="str">
        <x:v>Adoption-Driven Authority Transfer: A Structural Model of AI-Human Control</x:v>
      </x:c>
      <x:c r="C513" s="25" t="n">
        <x:v>2026</x:v>
      </x:c>
      <x:c r="D513" s="25" t="str">
        <x:v>Adrian Erckenbrack</x:v>
      </x:c>
      <x:c r="E513" s="25" t="str"/>
      <x:c r="F513" s="25" t="str">
        <x:v>10.2139/ssrn.6082453</x:v>
      </x:c>
      <x:c r="G513" s="25" t="str">
        <x:v>https://doi.org/10.2139/ssrn.6082453</x:v>
      </x:c>
      <x:c r="H513" s="25" t="str">
        <x:v>Crossref</x:v>
      </x:c>
      <x:c r="I513" s="25" t="str">
        <x:v>C9_human_agent_handoff</x:v>
      </x:c>
      <x:c r="J513" s="25" t="str">
        <x:v>Exclude</x:v>
      </x:c>
      <x:c r="K513" s="25" t="str">
        <x:v>Exclude: topic mismatch</x:v>
      </x:c>
    </x:row>
    <x:row r="514">
      <x:c r="A514" s="20" t="str">
        <x:v>R0510</x:v>
      </x:c>
      <x:c r="B514" s="25" t="str">
        <x:v>Ai in Co-Creation - Shadowed Agency, Responsiveness, and Beneficiaries in Entangled Human-Ai Value Systems</x:v>
      </x:c>
      <x:c r="C514" s="25" t="n">
        <x:v>2024</x:v>
      </x:c>
      <x:c r="D514" s="25" t="str">
        <x:v>Uta Wilkens; Daniel Lupp; Annette Urban</x:v>
      </x:c>
      <x:c r="E514" s="25" t="str"/>
      <x:c r="F514" s="25" t="str">
        <x:v>10.2139/ssrn.5037487</x:v>
      </x:c>
      <x:c r="G514" s="25" t="str">
        <x:v>https://doi.org/10.2139/ssrn.5037487</x:v>
      </x:c>
      <x:c r="H514" s="25" t="str">
        <x:v>Crossref</x:v>
      </x:c>
      <x:c r="I514" s="25" t="str">
        <x:v>C7_creative_agency</x:v>
      </x:c>
      <x:c r="J514" s="25" t="str">
        <x:v>Exclude</x:v>
      </x:c>
      <x:c r="K514" s="25" t="str">
        <x:v>Exclude: topic mismatch</x:v>
      </x:c>
    </x:row>
    <x:row r="515">
      <x:c r="A515" s="20" t="str">
        <x:v>R0511</x:v>
      </x:c>
      <x:c r="B515" s="25" t="str">
        <x:v>Ai-Assisted Semantic Reconstruction of Process Behavior from Memory Dumps</x:v>
      </x:c>
      <x:c r="C515" s="25" t="n">
        <x:v>2025</x:v>
      </x:c>
      <x:c r="D515" s="25" t="str">
        <x:v>Mohammed  I. Al-Saleh</x:v>
      </x:c>
      <x:c r="E515" s="25" t="str"/>
      <x:c r="F515" s="25" t="str">
        <x:v>10.2139/ssrn.5398092</x:v>
      </x:c>
      <x:c r="G515" s="25" t="str">
        <x:v>https://doi.org/10.2139/ssrn.5398092</x:v>
      </x:c>
      <x:c r="H515" s="25" t="str">
        <x:v>Crossref</x:v>
      </x:c>
      <x:c r="I515" s="25" t="str">
        <x:v>C8_AI_3D_authoring</x:v>
      </x:c>
      <x:c r="J515" s="25" t="str">
        <x:v>Exclude</x:v>
      </x:c>
      <x:c r="K515" s="25" t="str">
        <x:v>Exclude: adjacent/redundant or insufficiently theory-generative for DC1</x:v>
      </x:c>
    </x:row>
    <x:row r="516">
      <x:c r="A516" s="20" t="str">
        <x:v>R0512</x:v>
      </x:c>
      <x:c r="B516" s="25" t="str">
        <x:v>An Episodic-Procedural Semantic Memory Model for Continuous Topological Sensorimotor Map Building</x:v>
      </x:c>
      <x:c r="C516" s="25" t="n">
        <x:v>2022</x:v>
      </x:c>
      <x:c r="D516" s="25" t="str">
        <x:v>Wei Hong Chin; Naoyuki Kubota; Chu Kiong Loo</x:v>
      </x:c>
      <x:c r="E516" s="25" t="str">
        <x:v>Cognitive Robotics and Adaptive Behaviors</x:v>
      </x:c>
      <x:c r="F516" s="25" t="str">
        <x:v>10.5772/intechopen.104818</x:v>
      </x:c>
      <x:c r="G516" s="25" t="str">
        <x:v>https://doi.org/10.5772/intechopen.104818</x:v>
      </x:c>
      <x:c r="H516" s="25" t="str">
        <x:v>Crossref</x:v>
      </x:c>
      <x:c r="I516" s="25" t="str">
        <x:v>C5_agent_memory</x:v>
      </x:c>
      <x:c r="J516" s="25" t="str">
        <x:v>Exclude</x:v>
      </x:c>
      <x:c r="K516" s="25" t="str">
        <x:v>Exclude: adjacent/redundant or insufficiently theory-generative for DC1</x:v>
      </x:c>
    </x:row>
    <x:row r="517">
      <x:c r="A517" s="20" t="str">
        <x:v>R0513</x:v>
      </x:c>
      <x:c r="B517" s="25" t="str">
        <x:v>An Object-Oriented Framework for Direct-Manipulation User Interfaces</x:v>
      </x:c>
      <x:c r="C517" s="25" t="n">
        <x:v>1991</x:v>
      </x:c>
      <x:c r="D517" s="25" t="str">
        <x:v>Yen-Ping Shan</x:v>
      </x:c>
      <x:c r="E517" s="25" t="str">
        <x:v>Advances in Object-Oriented Graphics I</x:v>
      </x:c>
      <x:c r="F517" s="25" t="str">
        <x:v>10.1007/978-3-642-76303-8_1</x:v>
      </x:c>
      <x:c r="G517" s="25" t="str">
        <x:v>https://doi.org/10.1007/978-3-642-76303-8_1</x:v>
      </x:c>
      <x:c r="H517" s="25" t="str">
        <x:v>Crossref</x:v>
      </x:c>
      <x:c r="I517" s="25" t="str">
        <x:v>C1_3D_mental_models</x:v>
      </x:c>
      <x:c r="J517" s="25" t="str">
        <x:v>Exclude</x:v>
      </x:c>
      <x:c r="K517" s="25" t="str">
        <x:v>Exclude: adjacent/redundant or insufficiently theory-generative for DC1</x:v>
      </x:c>
    </x:row>
    <x:row r="518">
      <x:c r="A518" s="20" t="str">
        <x:v>R0514</x:v>
      </x:c>
      <x:c r="B518" s="25" t="str">
        <x:v>Application of Deep Learning-Based User Intent Recognition in Human-Computer Interaction</x:v>
      </x:c>
      <x:c r="C518" s="25" t="n">
        <x:v>2024</x:v>
      </x:c>
      <x:c r="D518" s="25" t="str">
        <x:v>Lingling Qiu</x:v>
      </x:c>
      <x:c r="E518" s="25" t="str">
        <x:v>2024 5th International Conference on Intelligent Computing and Human-Computer Interaction (ICHCI)</x:v>
      </x:c>
      <x:c r="F518" s="25" t="str">
        <x:v>10.1109/ichci63580.2024.10808121</x:v>
      </x:c>
      <x:c r="G518" s="25" t="str">
        <x:v>https://doi.org/10.1109/ichci63580.2024.10808121</x:v>
      </x:c>
      <x:c r="H518" s="25" t="str">
        <x:v>Crossref</x:v>
      </x:c>
      <x:c r="I518" s="25" t="str">
        <x:v>C2_interaction_signals</x:v>
      </x:c>
      <x:c r="J518" s="25" t="str">
        <x:v>Exclude</x:v>
      </x:c>
      <x:c r="K518" s="25" t="str">
        <x:v>Exclude: adjacent/redundant or insufficiently theory-generative for DC1</x:v>
      </x:c>
    </x:row>
    <x:row r="519">
      <x:c r="A519" s="20" t="str">
        <x:v>R0515</x:v>
      </x:c>
      <x:c r="B519" s="25" t="str">
        <x:v>Artistic Individuality in Human–AI Co-Creation</x:v>
      </x:c>
      <x:c r="C519" s="25" t="n">
        <x:v>2026</x:v>
      </x:c>
      <x:c r="D519" s="25" t="str">
        <x:v>Ali Nikrang; Susanne Kiesenhofer; Karin Breckner; Thomas Neumayr; Mirjam Augstein</x:v>
      </x:c>
      <x:c r="E519" s="25" t="str">
        <x:v>Artificial Intelligence in Creative Industries</x:v>
      </x:c>
      <x:c r="F519" s="25" t="str">
        <x:v>10.4324/9781003606802-3</x:v>
      </x:c>
      <x:c r="G519" s="25" t="str">
        <x:v>https://doi.org/10.4324/9781003606802-3</x:v>
      </x:c>
      <x:c r="H519" s="25" t="str">
        <x:v>Crossref</x:v>
      </x:c>
      <x:c r="I519" s="25" t="str">
        <x:v>C7_creative_agency</x:v>
      </x:c>
      <x:c r="J519" s="25" t="str">
        <x:v>Exclude</x:v>
      </x:c>
      <x:c r="K519" s="25" t="str">
        <x:v>Exclude: topic mismatch</x:v>
      </x:c>
    </x:row>
    <x:row r="520">
      <x:c r="A520" s="20" t="str">
        <x:v>R0516</x:v>
      </x:c>
      <x:c r="B520" s="25" t="str">
        <x:v>Augmented Learning for Joint Creativity in Human-AI Co-Creation</x:v>
      </x:c>
      <x:c r="C520" s="25" t="n">
        <x:v>2025</x:v>
      </x:c>
      <x:c r="D520" s="25" t="str">
        <x:v>Yingyue Luan; Yeun Joon Kim; Jing Zhou; Pengzhao Lyu</x:v>
      </x:c>
      <x:c r="E520" s="25" t="str">
        <x:v>Academy of Management Proceedings</x:v>
      </x:c>
      <x:c r="F520" s="25" t="str">
        <x:v>10.5465/amproc.2025.227bp</x:v>
      </x:c>
      <x:c r="G520" s="25" t="str">
        <x:v>https://doi.org/10.5465/amproc.2025.227bp</x:v>
      </x:c>
      <x:c r="H520" s="25" t="str">
        <x:v>Crossref</x:v>
      </x:c>
      <x:c r="I520" s="25" t="str">
        <x:v>C3_mixed_initiative_cocreation</x:v>
      </x:c>
      <x:c r="J520" s="25" t="str">
        <x:v>Exclude</x:v>
      </x:c>
      <x:c r="K520" s="25" t="str">
        <x:v>Exclude: adjacent/redundant or insufficiently theory-generative for DC1</x:v>
      </x:c>
    </x:row>
    <x:row r="521">
      <x:c r="A521" s="20" t="str">
        <x:v>R0517</x:v>
      </x:c>
      <x:c r="B521" s="25" t="str">
        <x:v>BLOCKED STUDIES OF EPISODIC RETRIEVAL</x:v>
      </x:c>
      <x:c r="C521" s="25" t="n">
        <x:v>2005</x:v>
      </x:c>
      <x:c r="D521" s="25" t="str"/>
      <x:c r="E521" s="25" t="str">
        <x:v>The Cognitive Neuroscience of Memory</x:v>
      </x:c>
      <x:c r="F521" s="25" t="str">
        <x:v>10.4324/9780203989388-9</x:v>
      </x:c>
      <x:c r="G521" s="25" t="str">
        <x:v>https://doi.org/10.4324/9780203989388-9</x:v>
      </x:c>
      <x:c r="H521" s="25" t="str">
        <x:v>Crossref</x:v>
      </x:c>
      <x:c r="I521" s="25" t="str">
        <x:v>C5_agent_memory</x:v>
      </x:c>
      <x:c r="J521" s="25" t="str">
        <x:v>Exclude</x:v>
      </x:c>
      <x:c r="K521" s="25" t="str">
        <x:v>Exclude: topic mismatch</x:v>
      </x:c>
    </x:row>
    <x:row r="522">
      <x:c r="A522" s="20" t="str">
        <x:v>R0518</x:v>
      </x:c>
      <x:c r="B522" s="25" t="str">
        <x:v>Beyond Obedient Tools: A Tensional-Field Relational Ontology for Human-AI Co-creation</x:v>
      </x:c>
      <x:c r="C522" s="25" t="n">
        <x:v>2025</x:v>
      </x:c>
      <x:c r="D522" s="25" t="str">
        <x:v>Ziming Wang; Junyi Zeng; Krity Gera; Ashley Hall</x:v>
      </x:c>
      <x:c r="E522" s="25" t="str">
        <x:v>IASDR 2025: Design Next</x:v>
      </x:c>
      <x:c r="F522" s="25" t="str">
        <x:v>10.21606/iasdr.2025.804</x:v>
      </x:c>
      <x:c r="G522" s="25" t="str">
        <x:v>https://doi.org/10.21606/iasdr.2025.804</x:v>
      </x:c>
      <x:c r="H522" s="25" t="str">
        <x:v>Crossref</x:v>
      </x:c>
      <x:c r="I522" s="25" t="str">
        <x:v>C3_mixed_initiative_cocreation; C7_creative_agency</x:v>
      </x:c>
      <x:c r="J522" s="25" t="str">
        <x:v>Exclude</x:v>
      </x:c>
      <x:c r="K522" s="25" t="str">
        <x:v>Exclude: topic mismatch</x:v>
      </x:c>
    </x:row>
    <x:row r="523">
      <x:c r="A523" s="20" t="str">
        <x:v>R0519</x:v>
      </x:c>
      <x:c r="B523" s="25" t="str">
        <x:v>Chapter 6 Solid Editing Commands</x:v>
      </x:c>
      <x:c r="C523" s="25" t="n">
        <x:v>2021</x:v>
      </x:c>
      <x:c r="D523" s="25" t="str"/>
      <x:c r="E523" s="25" t="str">
        <x:v>AutoCAD 2022 3D Modeling</x:v>
      </x:c>
      <x:c r="F523" s="25" t="str">
        <x:v>10.1515/9781683927266-008</x:v>
      </x:c>
      <x:c r="G523" s="25" t="str">
        <x:v>https://doi.org/10.1515/9781683927266-008</x:v>
      </x:c>
      <x:c r="H523" s="25" t="str">
        <x:v>Crossref</x:v>
      </x:c>
      <x:c r="I523" s="25" t="str">
        <x:v>C8_AI_3D_authoring</x:v>
      </x:c>
      <x:c r="J523" s="25" t="str">
        <x:v>Exclude</x:v>
      </x:c>
      <x:c r="K523" s="25" t="str">
        <x:v>Exclude: topic mismatch</x:v>
      </x:c>
    </x:row>
    <x:row r="524">
      <x:c r="A524" s="20" t="str">
        <x:v>R0520</x:v>
      </x:c>
      <x:c r="B524" s="25" t="str">
        <x:v>Chapter 6 Solid Editing Commands</x:v>
      </x:c>
      <x:c r="C524" s="25" t="n">
        <x:v>2019</x:v>
      </x:c>
      <x:c r="D524" s="25" t="str"/>
      <x:c r="E524" s="25" t="str">
        <x:v>AutoCAD 2020 3D Modeling</x:v>
      </x:c>
      <x:c r="F524" s="25" t="str">
        <x:v>10.1515/9781683923817-008</x:v>
      </x:c>
      <x:c r="G524" s="25" t="str">
        <x:v>https://doi.org/10.1515/9781683923817-008</x:v>
      </x:c>
      <x:c r="H524" s="25" t="str">
        <x:v>Crossref</x:v>
      </x:c>
      <x:c r="I524" s="25" t="str">
        <x:v>C8_AI_3D_authoring</x:v>
      </x:c>
      <x:c r="J524" s="25" t="str">
        <x:v>Exclude</x:v>
      </x:c>
      <x:c r="K524" s="25" t="str">
        <x:v>Exclude: topic mismatch</x:v>
      </x:c>
    </x:row>
    <x:row r="525">
      <x:c r="A525" s="20" t="str">
        <x:v>R0521</x:v>
      </x:c>
      <x:c r="B525" s="25" t="str">
        <x:v>Chapter 6 Solid Editing Commands</x:v>
      </x:c>
      <x:c r="C525" s="25" t="n">
        <x:v>2022</x:v>
      </x:c>
      <x:c r="D525" s="25" t="str"/>
      <x:c r="E525" s="25" t="str">
        <x:v>AutoCAD 2023 3D Modeling</x:v>
      </x:c>
      <x:c r="F525" s="25" t="str">
        <x:v>10.1515/9781683928492-008</x:v>
      </x:c>
      <x:c r="G525" s="25" t="str">
        <x:v>https://doi.org/10.1515/9781683928492-008</x:v>
      </x:c>
      <x:c r="H525" s="25" t="str">
        <x:v>Crossref</x:v>
      </x:c>
      <x:c r="I525" s="25" t="str">
        <x:v>C8_AI_3D_authoring</x:v>
      </x:c>
      <x:c r="J525" s="25" t="str">
        <x:v>Exclude</x:v>
      </x:c>
      <x:c r="K525" s="25" t="str">
        <x:v>Exclude: topic mismatch</x:v>
      </x:c>
    </x:row>
    <x:row r="526">
      <x:c r="A526" s="20" t="str">
        <x:v>R0522</x:v>
      </x:c>
      <x:c r="B526" s="25" t="str">
        <x:v>Chapter 6: A Direct Manipulation Interface for User Feedback</x:v>
      </x:c>
      <x:c r="C526" s="25" t="n">
        <x:v>1994</x:v>
      </x:c>
      <x:c r="D526" s="25" t="str"/>
      <x:c r="E526" s="25" t="str">
        <x:v>Participating in Explanatory Dialogues</x:v>
      </x:c>
      <x:c r="F526" s="25" t="str">
        <x:v>10.7551/mitpress/5247.003.0008</x:v>
      </x:c>
      <x:c r="G526" s="25" t="str">
        <x:v>https://doi.org/10.7551/mitpress/5247.003.0008</x:v>
      </x:c>
      <x:c r="H526" s="25" t="str">
        <x:v>Crossref</x:v>
      </x:c>
      <x:c r="I526" s="25" t="str">
        <x:v>C1_3D_mental_models</x:v>
      </x:c>
      <x:c r="J526" s="25" t="str">
        <x:v>Exclude</x:v>
      </x:c>
      <x:c r="K526" s="25" t="str">
        <x:v>Exclude: adjacent/redundant or insufficiently theory-generative for DC1</x:v>
      </x:c>
    </x:row>
    <x:row r="527">
      <x:c r="A527" s="20" t="str">
        <x:v>R0523</x:v>
      </x:c>
      <x:c r="B527" s="25" t="str">
        <x:v>Chapter 6: Solid Editing Commands</x:v>
      </x:c>
      <x:c r="C527" s="25" t="n">
        <x:v>2012</x:v>
      </x:c>
      <x:c r="D527" s="25" t="str"/>
      <x:c r="E527" s="25" t="str">
        <x:v>AutoCAD 2013 3D Modeling</x:v>
      </x:c>
      <x:c r="F527" s="25" t="str">
        <x:v>10.1515/9781937585105-010</x:v>
      </x:c>
      <x:c r="G527" s="25" t="str">
        <x:v>https://doi.org/10.1515/9781937585105-010</x:v>
      </x:c>
      <x:c r="H527" s="25" t="str">
        <x:v>Crossref</x:v>
      </x:c>
      <x:c r="I527" s="25" t="str">
        <x:v>C8_AI_3D_authoring</x:v>
      </x:c>
      <x:c r="J527" s="25" t="str">
        <x:v>Exclude</x:v>
      </x:c>
      <x:c r="K527" s="25" t="str">
        <x:v>Exclude: topic mismatch</x:v>
      </x:c>
    </x:row>
    <x:row r="528">
      <x:c r="A528" s="20" t="str">
        <x:v>R0524</x:v>
      </x:c>
      <x:c r="B528" s="25" t="str">
        <x:v>Chapter 6: Solid Editing Commands</x:v>
      </x:c>
      <x:c r="C528" s="25" t="n">
        <x:v>2018</x:v>
      </x:c>
      <x:c r="D528" s="25" t="str"/>
      <x:c r="E528" s="25" t="str">
        <x:v>AutoCAD 2019 3D Modeling</x:v>
      </x:c>
      <x:c r="F528" s="25" t="str">
        <x:v>10.1515/9781683922582-008</x:v>
      </x:c>
      <x:c r="G528" s="25" t="str">
        <x:v>https://doi.org/10.1515/9781683922582-008</x:v>
      </x:c>
      <x:c r="H528" s="25" t="str">
        <x:v>Crossref</x:v>
      </x:c>
      <x:c r="I528" s="25" t="str">
        <x:v>C8_AI_3D_authoring</x:v>
      </x:c>
      <x:c r="J528" s="25" t="str">
        <x:v>Exclude</x:v>
      </x:c>
      <x:c r="K528" s="25" t="str">
        <x:v>Exclude: topic mismatch</x:v>
      </x:c>
    </x:row>
    <x:row r="529">
      <x:c r="A529" s="20" t="str">
        <x:v>R0525</x:v>
      </x:c>
      <x:c r="B529" s="25" t="str">
        <x:v>Chapter 6: Solid Editing Commands</x:v>
      </x:c>
      <x:c r="C529" s="25" t="n">
        <x:v>2016</x:v>
      </x:c>
      <x:c r="D529" s="25" t="str"/>
      <x:c r="E529" s="25" t="str">
        <x:v>AutoCAD 2017 3D Modeling</x:v>
      </x:c>
      <x:c r="F529" s="25" t="str">
        <x:v>10.1515/9781501521850-008</x:v>
      </x:c>
      <x:c r="G529" s="25" t="str">
        <x:v>https://doi.org/10.1515/9781501521850-008</x:v>
      </x:c>
      <x:c r="H529" s="25" t="str">
        <x:v>Crossref</x:v>
      </x:c>
      <x:c r="I529" s="25" t="str">
        <x:v>C8_AI_3D_authoring</x:v>
      </x:c>
      <x:c r="J529" s="25" t="str">
        <x:v>Exclude</x:v>
      </x:c>
      <x:c r="K529" s="25" t="str">
        <x:v>Exclude: topic mismatch</x:v>
      </x:c>
    </x:row>
    <x:row r="530">
      <x:c r="A530" s="20" t="str">
        <x:v>R0526</x:v>
      </x:c>
      <x:c r="B530" s="25" t="str">
        <x:v>Chapter 6: Solid Editing Commands</x:v>
      </x:c>
      <x:c r="C530" s="25" t="n">
        <x:v>2017</x:v>
      </x:c>
      <x:c r="D530" s="25" t="str"/>
      <x:c r="E530" s="25" t="str">
        <x:v>AutoCAD 2018 3D Modeling</x:v>
      </x:c>
      <x:c r="F530" s="25" t="str">
        <x:v>10.1515/9781683922568-008</x:v>
      </x:c>
      <x:c r="G530" s="25" t="str">
        <x:v>https://doi.org/10.1515/9781683922568-008</x:v>
      </x:c>
      <x:c r="H530" s="25" t="str">
        <x:v>Crossref</x:v>
      </x:c>
      <x:c r="I530" s="25" t="str">
        <x:v>C8_AI_3D_authoring</x:v>
      </x:c>
      <x:c r="J530" s="25" t="str">
        <x:v>Exclude</x:v>
      </x:c>
      <x:c r="K530" s="25" t="str">
        <x:v>Exclude: topic mismatch</x:v>
      </x:c>
    </x:row>
    <x:row r="531">
      <x:c r="A531" s="20" t="str">
        <x:v>R0527</x:v>
      </x:c>
      <x:c r="B531" s="25" t="str">
        <x:v>Chapter 6: Solid Editing Commands</x:v>
      </x:c>
      <x:c r="C531" s="25" t="n">
        <x:v>2015</x:v>
      </x:c>
      <x:c r="D531" s="25" t="str"/>
      <x:c r="E531" s="25" t="str">
        <x:v>AutoCAD 2015 3D Modeling</x:v>
      </x:c>
      <x:c r="F531" s="25" t="str">
        <x:v>10.1515/9781942270331-009</x:v>
      </x:c>
      <x:c r="G531" s="25" t="str">
        <x:v>https://doi.org/10.1515/9781942270331-009</x:v>
      </x:c>
      <x:c r="H531" s="25" t="str">
        <x:v>Crossref</x:v>
      </x:c>
      <x:c r="I531" s="25" t="str">
        <x:v>C8_AI_3D_authoring</x:v>
      </x:c>
      <x:c r="J531" s="25" t="str">
        <x:v>Exclude</x:v>
      </x:c>
      <x:c r="K531" s="25" t="str">
        <x:v>Exclude: topic mismatch</x:v>
      </x:c>
    </x:row>
    <x:row r="532">
      <x:c r="A532" s="20" t="str">
        <x:v>R0528</x:v>
      </x:c>
      <x:c r="B532" s="25" t="str">
        <x:v>Chapter 6: Solid Editing Commands</x:v>
      </x:c>
      <x:c r="C532" s="25" t="n">
        <x:v>2024</x:v>
      </x:c>
      <x:c r="D532" s="25" t="str"/>
      <x:c r="E532" s="25" t="str">
        <x:v>AutoCAD 2025 3D Modeling</x:v>
      </x:c>
      <x:c r="F532" s="25" t="str">
        <x:v>10.1515/9781501520457-008</x:v>
      </x:c>
      <x:c r="G532" s="25" t="str">
        <x:v>https://doi.org/10.1515/9781501520457-008</x:v>
      </x:c>
      <x:c r="H532" s="25" t="str">
        <x:v>Crossref</x:v>
      </x:c>
      <x:c r="I532" s="25" t="str">
        <x:v>C8_AI_3D_authoring</x:v>
      </x:c>
      <x:c r="J532" s="25" t="str">
        <x:v>Exclude</x:v>
      </x:c>
      <x:c r="K532" s="25" t="str">
        <x:v>Exclude: topic mismatch</x:v>
      </x:c>
    </x:row>
    <x:row r="533">
      <x:c r="A533" s="20" t="str">
        <x:v>R0529</x:v>
      </x:c>
      <x:c r="B533" s="25" t="str">
        <x:v>Chapter 6: Solid Editing Commands</x:v>
      </x:c>
      <x:c r="C533" s="25" t="n">
        <x:v>2011</x:v>
      </x:c>
      <x:c r="D533" s="25" t="str"/>
      <x:c r="E533" s="25" t="str">
        <x:v>AutoCAD® 2012 3D Modeling</x:v>
      </x:c>
      <x:c r="F533" s="25" t="str">
        <x:v>10.1515/9781936420476-010</x:v>
      </x:c>
      <x:c r="G533" s="25" t="str">
        <x:v>https://doi.org/10.1515/9781936420476-010</x:v>
      </x:c>
      <x:c r="H533" s="25" t="str">
        <x:v>Crossref</x:v>
      </x:c>
      <x:c r="I533" s="25" t="str">
        <x:v>C8_AI_3D_authoring</x:v>
      </x:c>
      <x:c r="J533" s="25" t="str">
        <x:v>Exclude</x:v>
      </x:c>
      <x:c r="K533" s="25" t="str">
        <x:v>Exclude: topic mismatch</x:v>
      </x:c>
    </x:row>
    <x:row r="534">
      <x:c r="A534" s="20" t="str">
        <x:v>R0530</x:v>
      </x:c>
      <x:c r="B534" s="25" t="str">
        <x:v>Chapter 6: Solid Editing Commands</x:v>
      </x:c>
      <x:c r="C534" s="25" t="n">
        <x:v>2023</x:v>
      </x:c>
      <x:c r="D534" s="25" t="str"/>
      <x:c r="E534" s="25" t="str">
        <x:v>AutoCAD 2024 3D Modeling</x:v>
      </x:c>
      <x:c r="F534" s="25" t="str">
        <x:v>10.1515/9781683929307-008</x:v>
      </x:c>
      <x:c r="G534" s="25" t="str">
        <x:v>https://doi.org/10.1515/9781683929307-008</x:v>
      </x:c>
      <x:c r="H534" s="25" t="str">
        <x:v>Crossref</x:v>
      </x:c>
      <x:c r="I534" s="25" t="str">
        <x:v>C8_AI_3D_authoring</x:v>
      </x:c>
      <x:c r="J534" s="25" t="str">
        <x:v>Exclude</x:v>
      </x:c>
      <x:c r="K534" s="25" t="str">
        <x:v>Exclude: topic mismatch</x:v>
      </x:c>
    </x:row>
    <x:row r="535">
      <x:c r="A535" s="20" t="str">
        <x:v>R0531</x:v>
      </x:c>
      <x:c r="B535" s="25" t="str">
        <x:v>Chapter 6: Solid Editing Commands</x:v>
      </x:c>
      <x:c r="C535" s="25" t="n">
        <x:v>2013</x:v>
      </x:c>
      <x:c r="D535" s="25" t="str"/>
      <x:c r="E535" s="25" t="str">
        <x:v>AutoCAD 2014 3D Modeling</x:v>
      </x:c>
      <x:c r="F535" s="25" t="str">
        <x:v>10.1515/9781938549922-010</x:v>
      </x:c>
      <x:c r="G535" s="25" t="str">
        <x:v>https://doi.org/10.1515/9781938549922-010</x:v>
      </x:c>
      <x:c r="H535" s="25" t="str">
        <x:v>Crossref</x:v>
      </x:c>
      <x:c r="I535" s="25" t="str">
        <x:v>C8_AI_3D_authoring</x:v>
      </x:c>
      <x:c r="J535" s="25" t="str">
        <x:v>Exclude</x:v>
      </x:c>
      <x:c r="K535" s="25" t="str">
        <x:v>Exclude: topic mismatch</x:v>
      </x:c>
    </x:row>
    <x:row r="536">
      <x:c r="A536" s="20" t="str">
        <x:v>R0532</x:v>
      </x:c>
      <x:c r="B536" s="25" t="str">
        <x:v>Chapter 6: Solid Editing Commands</x:v>
      </x:c>
      <x:c r="C536" s="25" t="n">
        <x:v>2016</x:v>
      </x:c>
      <x:c r="D536" s="25" t="str"/>
      <x:c r="E536" s="25" t="str">
        <x:v>AutoCAD 2016. 3D Modeling PB+CD</x:v>
      </x:c>
      <x:c r="F536" s="25" t="str">
        <x:v>10.1515/9781942270539-009</x:v>
      </x:c>
      <x:c r="G536" s="25" t="str">
        <x:v>https://doi.org/10.1515/9781942270539-009</x:v>
      </x:c>
      <x:c r="H536" s="25" t="str">
        <x:v>Crossref</x:v>
      </x:c>
      <x:c r="I536" s="25" t="str">
        <x:v>C8_AI_3D_authoring</x:v>
      </x:c>
      <x:c r="J536" s="25" t="str">
        <x:v>Exclude</x:v>
      </x:c>
      <x:c r="K536" s="25" t="str">
        <x:v>Exclude: topic mismatch</x:v>
      </x:c>
    </x:row>
    <x:row r="537">
      <x:c r="A537" s="20" t="str">
        <x:v>R0533</x:v>
      </x:c>
      <x:c r="B537" s="25" t="str">
        <x:v>Cognitive algorithms and systems of episodic memory, semantic memory, and their learnings</x:v>
      </x:c>
      <x:c r="C537" s="25" t="n">
        <x:v>2025</x:v>
      </x:c>
      <x:c r="D537" s="25" t="str">
        <x:v>Qi Zhang</x:v>
      </x:c>
      <x:c r="E537" s="25" t="str"/>
      <x:c r="F537" s="25" t="str">
        <x:v>10.31234/osf.io/uxdza_v1</x:v>
      </x:c>
      <x:c r="G537" s="25" t="str">
        <x:v>https://doi.org/10.31234/osf.io/uxdza_v1</x:v>
      </x:c>
      <x:c r="H537" s="25" t="str">
        <x:v>Crossref</x:v>
      </x:c>
      <x:c r="I537" s="25" t="str">
        <x:v>C5_agent_memory</x:v>
      </x:c>
      <x:c r="J537" s="25" t="str">
        <x:v>Exclude</x:v>
      </x:c>
      <x:c r="K537" s="25" t="str">
        <x:v>Exclude: adjacent/redundant or insufficiently theory-generative for DC1</x:v>
      </x:c>
    </x:row>
    <x:row r="538">
      <x:c r="A538" s="20" t="str">
        <x:v>R0534</x:v>
      </x:c>
      <x:c r="B538" s="25" t="str">
        <x:v>Computers in control: Rational transfer of authority or irresponsible abdication of autonomy?</x:v>
      </x:c>
      <x:c r="C538" s="25" t="n">
        <x:v>2017</x:v>
      </x:c>
      <x:c r="D538" s="25" t="str">
        <x:v>Arthur Kuflik</x:v>
      </x:c>
      <x:c r="E538" s="25" t="str">
        <x:v>Computer Ethics</x:v>
      </x:c>
      <x:c r="F538" s="25" t="str">
        <x:v>10.4324/9781315259697-40</x:v>
      </x:c>
      <x:c r="G538" s="25" t="str">
        <x:v>https://doi.org/10.4324/9781315259697-40</x:v>
      </x:c>
      <x:c r="H538" s="25" t="str">
        <x:v>Crossref</x:v>
      </x:c>
      <x:c r="I538" s="25" t="str">
        <x:v>C9_human_agent_handoff</x:v>
      </x:c>
      <x:c r="J538" s="25" t="str">
        <x:v>Exclude</x:v>
      </x:c>
      <x:c r="K538" s="25" t="str">
        <x:v>Exclude: adjacent/redundant or insufficiently theory-generative for DC1</x:v>
      </x:c>
    </x:row>
    <x:row r="539">
      <x:c r="A539" s="20" t="str">
        <x:v>R0535</x:v>
      </x:c>
      <x:c r="B539" s="25" t="str">
        <x:v>Conflict Simulation for Shared Autonomy in Autonomous Driving</x:v>
      </x:c>
      <x:c r="C539" s="25" t="n">
        <x:v>2024</x:v>
      </x:c>
      <x:c r="D539" s="25" t="str">
        <x:v>Stefan Reitmann; Tsvetomila Mihaylova; Elin Anna Topp; Ville Kyrki</x:v>
      </x:c>
      <x:c r="E539" s="25" t="str">
        <x:v>Companion of the 2024 ACM/IEEE International Conference on Human-Robot Interaction</x:v>
      </x:c>
      <x:c r="F539" s="25" t="str">
        <x:v>10.1145/3610978.3640589</x:v>
      </x:c>
      <x:c r="G539" s="25" t="str">
        <x:v>https://doi.org/10.1145/3610978.3640589</x:v>
      </x:c>
      <x:c r="H539" s="25" t="str">
        <x:v>Crossref</x:v>
      </x:c>
      <x:c r="I539" s="25" t="str">
        <x:v>C4_uncertainty_shared_autonomy</x:v>
      </x:c>
      <x:c r="J539" s="25" t="str">
        <x:v>Exclude</x:v>
      </x:c>
      <x:c r="K539" s="25" t="str">
        <x:v>Exclude: adjacent/redundant or insufficiently theory-generative for DC1</x:v>
      </x:c>
    </x:row>
    <x:row r="540">
      <x:c r="A540" s="20" t="str">
        <x:v>R0536</x:v>
      </x:c>
      <x:c r="B540" s="25" t="str">
        <x:v>Convective Mass Transfer Boundary Conditions</x:v>
      </x:c>
      <x:c r="C540" s="25" t="n">
        <x:v>2025</x:v>
      </x:c>
      <x:c r="D540" s="25" t="str">
        <x:v>Steven Beale</x:v>
      </x:c>
      <x:c r="E540" s="25" t="str"/>
      <x:c r="F540" s="25" t="str">
        <x:v>10.2139/ssrn.5375581</x:v>
      </x:c>
      <x:c r="G540" s="25" t="str">
        <x:v>https://doi.org/10.2139/ssrn.5375581</x:v>
      </x:c>
      <x:c r="H540" s="25" t="str">
        <x:v>Crossref</x:v>
      </x:c>
      <x:c r="I540" s="25" t="str">
        <x:v>C9_human_agent_handoff</x:v>
      </x:c>
      <x:c r="J540" s="25" t="str">
        <x:v>Exclude</x:v>
      </x:c>
      <x:c r="K540" s="25" t="str">
        <x:v>Exclude: topic mismatch</x:v>
      </x:c>
    </x:row>
    <x:row r="541">
      <x:c r="A541" s="20" t="str">
        <x:v>R0537</x:v>
      </x:c>
      <x:c r="B541" s="25" t="str">
        <x:v>Creative CRAFT 2.0: A Refined, Creativity-Centered Prompt Engineering Framework for Human-AI Co-Creation</x:v>
      </x:c>
      <x:c r="C541" s="25" t="n">
        <x:v>2026</x:v>
      </x:c>
      <x:c r="D541" s="25" t="str">
        <x:v>Allen Paul Esteban</x:v>
      </x:c>
      <x:c r="E541" s="25" t="str">
        <x:v>Journal of Intelligent Decision Making and Information Science</x:v>
      </x:c>
      <x:c r="F541" s="25" t="str">
        <x:v>10.59543/jidmis.v3.634</x:v>
      </x:c>
      <x:c r="G541" s="25" t="str">
        <x:v>https://doi.org/10.59543/jidmis.v3.634</x:v>
      </x:c>
      <x:c r="H541" s="25" t="str">
        <x:v>Crossref</x:v>
      </x:c>
      <x:c r="I541" s="25" t="str">
        <x:v>C3_mixed_initiative_cocreation; C7_creative_agency</x:v>
      </x:c>
      <x:c r="J541" s="25" t="str">
        <x:v>Exclude</x:v>
      </x:c>
      <x:c r="K541" s="25" t="str">
        <x:v>Exclude: adjacent/redundant or insufficiently theory-generative for DC1</x:v>
      </x:c>
    </x:row>
    <x:row r="542">
      <x:c r="A542" s="20" t="str">
        <x:v>R0538</x:v>
      </x:c>
      <x:c r="B542" s="25" t="str">
        <x:v>Creative Logics of AI Generative Design: A Framework for Human-AI Co-Creation in Visual Communication</x:v>
      </x:c>
      <x:c r="C542" s="25" t="n">
        <x:v>2026</x:v>
      </x:c>
      <x:c r="D542" s="25" t="str">
        <x:v>Muhammad Mushtaq; Fang Wei; Bushra Bushra</x:v>
      </x:c>
      <x:c r="E542" s="25" t="str">
        <x:v>SSRN Electronic Journal</x:v>
      </x:c>
      <x:c r="F542" s="25" t="str">
        <x:v>10.2139/ssrn.5922342</x:v>
      </x:c>
      <x:c r="G542" s="25" t="str">
        <x:v>https://doi.org/10.2139/ssrn.5922342</x:v>
      </x:c>
      <x:c r="H542" s="25" t="str">
        <x:v>Crossref</x:v>
      </x:c>
      <x:c r="I542" s="25" t="str">
        <x:v>C7_creative_agency</x:v>
      </x:c>
      <x:c r="J542" s="25" t="str">
        <x:v>Exclude</x:v>
      </x:c>
      <x:c r="K542" s="25" t="str">
        <x:v>Exclude: adjacent/redundant or insufficiently theory-generative for DC1</x:v>
      </x:c>
    </x:row>
    <x:row r="543">
      <x:c r="A543" s="20" t="str">
        <x:v>R0539</x:v>
      </x:c>
      <x:c r="B543" s="25" t="str">
        <x:v>Creativity in the Age of Artificial Intelligence: A Hybrid Human–AI Co-Creation Framework</x:v>
      </x:c>
      <x:c r="C543" s="25" t="n">
        <x:v>2026</x:v>
      </x:c>
      <x:c r="D543" s="25" t="str">
        <x:v>Maman Sulaeman</x:v>
      </x:c>
      <x:c r="E543" s="25" t="str">
        <x:v>Manexia: Journal of Business, Management, and Creative Economy</x:v>
      </x:c>
      <x:c r="F543" s="25" t="str">
        <x:v>10.66203/manexia.02202</x:v>
      </x:c>
      <x:c r="G543" s="25" t="str">
        <x:v>https://doi.org/10.66203/manexia.02202</x:v>
      </x:c>
      <x:c r="H543" s="25" t="str">
        <x:v>Crossref</x:v>
      </x:c>
      <x:c r="I543" s="25" t="str">
        <x:v>C3_mixed_initiative_cocreation; C7_creative_agency</x:v>
      </x:c>
      <x:c r="J543" s="25" t="str">
        <x:v>Exclude</x:v>
      </x:c>
      <x:c r="K543" s="25" t="str">
        <x:v>Exclude: adjacent/redundant or insufficiently theory-generative for DC1</x:v>
      </x:c>
    </x:row>
    <x:row r="544">
      <x:c r="A544" s="20" t="str">
        <x:v>R0540</x:v>
      </x:c>
      <x:c r="B544" s="25" t="str">
        <x:v>Critical Agency and Hybrid Cognition in Digital Art Education: Human–AI Co-Creation Using Stable Diffusion XL</x:v>
      </x:c>
      <x:c r="C544" s="25" t="n">
        <x:v>2025</x:v>
      </x:c>
      <x:c r="D544" s="25" t="str">
        <x:v>Muwaffaq Abdulmajid; Nabeel Alali; Abdulrahman Alsharrah</x:v>
      </x:c>
      <x:c r="E544" s="25" t="str"/>
      <x:c r="F544" s="25" t="str">
        <x:v>10.2139/ssrn.5983388</x:v>
      </x:c>
      <x:c r="G544" s="25" t="str">
        <x:v>https://doi.org/10.2139/ssrn.5983388</x:v>
      </x:c>
      <x:c r="H544" s="25" t="str">
        <x:v>Crossref</x:v>
      </x:c>
      <x:c r="I544" s="25" t="str">
        <x:v>C7_creative_agency</x:v>
      </x:c>
      <x:c r="J544" s="25" t="str">
        <x:v>Exclude</x:v>
      </x:c>
      <x:c r="K544" s="25" t="str">
        <x:v>Exclude: topic mismatch</x:v>
      </x:c>
    </x:row>
    <x:row r="545">
      <x:c r="A545" s="20" t="str">
        <x:v>R0541</x:v>
      </x:c>
      <x:c r="B545" s="25" t="str">
        <x:v>Critical Thinking Patterns and Their Associations with Creative Performance in Human-AI Co-Creation</x:v>
      </x:c>
      <x:c r="C545" s="25" t="n">
        <x:v>2026</x:v>
      </x:c>
      <x:c r="D545" s="25" t="str">
        <x:v>Jing Chen; Youjin Shi</x:v>
      </x:c>
      <x:c r="E545" s="25" t="str">
        <x:v>Journal of Data and Information Science</x:v>
      </x:c>
      <x:c r="F545" s="25" t="str">
        <x:v>10.1515/jdis-2025-0487</x:v>
      </x:c>
      <x:c r="G545" s="25" t="str">
        <x:v>https://doi.org/10.1515/jdis-2025-0487</x:v>
      </x:c>
      <x:c r="H545" s="25" t="str">
        <x:v>Crossref</x:v>
      </x:c>
      <x:c r="I545" s="25" t="str">
        <x:v>C7_creative_agency</x:v>
      </x:c>
      <x:c r="J545" s="25" t="str">
        <x:v>Exclude</x:v>
      </x:c>
      <x:c r="K545" s="25" t="str">
        <x:v>Exclude: adjacent/redundant or insufficiently theory-generative for DC1</x:v>
      </x:c>
    </x:row>
    <x:row r="546">
      <x:c r="A546" s="20" t="str">
        <x:v>R0542</x:v>
      </x:c>
      <x:c r="B546" s="25" t="str">
        <x:v>Demystifying AI Techniques for Creative Domains</x:v>
      </x:c>
      <x:c r="C546" s="25" t="n">
        <x:v>2024</x:v>
      </x:c>
      <x:c r="D546" s="25" t="str">
        <x:v>Thorsten Fröhlich</x:v>
      </x:c>
      <x:c r="E546" s="25" t="str">
        <x:v>Artificial Intelligence, Co-Creation and Creativity</x:v>
      </x:c>
      <x:c r="F546" s="25" t="str">
        <x:v>10.4324/9781003453901-7</x:v>
      </x:c>
      <x:c r="G546" s="25" t="str">
        <x:v>https://doi.org/10.4324/9781003453901-7</x:v>
      </x:c>
      <x:c r="H546" s="25" t="str">
        <x:v>Crossref</x:v>
      </x:c>
      <x:c r="I546" s="25" t="str">
        <x:v>C3_mixed_initiative_cocreation; C7_creative_agency</x:v>
      </x:c>
      <x:c r="J546" s="25" t="str">
        <x:v>Exclude</x:v>
      </x:c>
      <x:c r="K546" s="25" t="str">
        <x:v>Exclude: adjacent/redundant or insufficiently theory-generative for DC1</x:v>
      </x:c>
    </x:row>
    <x:row r="547">
      <x:c r="A547" s="20" t="str">
        <x:v>R0543</x:v>
      </x:c>
      <x:c r="B547" s="25" t="str">
        <x:v>Detecting Semantic Versus Episodic Memory Retrieval via fMRI Pattern Classification</x:v>
      </x:c>
      <x:c r="C547" s="25" t="n">
        <x:v>2007</x:v>
      </x:c>
      <x:c r="D547" s="25" t="str">
        <x:v>Per B. Sederberg; Kenneth A. Norman</x:v>
      </x:c>
      <x:c r="E547" s="25" t="str">
        <x:v>PsycEXTRA Dataset</x:v>
      </x:c>
      <x:c r="F547" s="25" t="str">
        <x:v>10.1037/e527342012-512</x:v>
      </x:c>
      <x:c r="G547" s="25" t="str">
        <x:v>https://doi.org/10.1037/e527342012-512</x:v>
      </x:c>
      <x:c r="H547" s="25" t="str">
        <x:v>Crossref</x:v>
      </x:c>
      <x:c r="I547" s="25" t="str">
        <x:v>C5_agent_memory</x:v>
      </x:c>
      <x:c r="J547" s="25" t="str">
        <x:v>Exclude</x:v>
      </x:c>
      <x:c r="K547" s="25" t="str">
        <x:v>Exclude: adjacent/redundant or insufficiently theory-generative for DC1</x:v>
      </x:c>
    </x:row>
    <x:row r="548">
      <x:c r="A548" s="20" t="str">
        <x:v>R0544</x:v>
      </x:c>
      <x:c r="B548" s="25" t="str">
        <x:v>Developing a 3D interface for sound corpus manipulation in virtual environments</x:v>
      </x:c>
      <x:c r="C548" s="25" t="n">
        <x:v>2025</x:v>
      </x:c>
      <x:c r="D548" s="25" t="str">
        <x:v>Matias A. Vilaplana Stark</x:v>
      </x:c>
      <x:c r="E548" s="25" t="str">
        <x:v>2025 IEEE Conference on Virtual Reality and 3D User Interfaces Abstracts and Workshops (VRW)</x:v>
      </x:c>
      <x:c r="F548" s="25" t="str">
        <x:v>10.1109/vrw66409.2025.00133</x:v>
      </x:c>
      <x:c r="G548" s="25" t="str">
        <x:v>https://doi.org/10.1109/vrw66409.2025.00133</x:v>
      </x:c>
      <x:c r="H548" s="25" t="str">
        <x:v>Crossref</x:v>
      </x:c>
      <x:c r="I548" s="25" t="str">
        <x:v>C1_3D_mental_models</x:v>
      </x:c>
      <x:c r="J548" s="25" t="str">
        <x:v>Exclude</x:v>
      </x:c>
      <x:c r="K548" s="25" t="str">
        <x:v>Exclude: adjacent/redundant or insufficiently theory-generative for DC1</x:v>
      </x:c>
    </x:row>
    <x:row r="549">
      <x:c r="A549" s="20" t="str">
        <x:v>R0545</x:v>
      </x:c>
      <x:c r="B549" s="25" t="str">
        <x:v>Diffusup: A Graphical User Interface (Gui) Software for Diffusion Modeling</x:v>
      </x:c>
      <x:c r="C549" s="25" t="n">
        <x:v>2023</x:v>
      </x:c>
      <x:c r="D549" s="25" t="str">
        <x:v>Junxing Chen; Xu Chu</x:v>
      </x:c>
      <x:c r="E549" s="25" t="str"/>
      <x:c r="F549" s="25" t="str">
        <x:v>10.2139/ssrn.4475020</x:v>
      </x:c>
      <x:c r="G549" s="25" t="str">
        <x:v>https://doi.org/10.2139/ssrn.4475020</x:v>
      </x:c>
      <x:c r="H549" s="25" t="str">
        <x:v>Crossref</x:v>
      </x:c>
      <x:c r="I549" s="25" t="str">
        <x:v>C6_frontend_GUI_intent</x:v>
      </x:c>
      <x:c r="J549" s="25" t="str">
        <x:v>Exclude</x:v>
      </x:c>
      <x:c r="K549" s="25" t="str">
        <x:v>Exclude: topic mismatch</x:v>
      </x:c>
    </x:row>
    <x:row r="550">
      <x:c r="A550" s="20" t="str">
        <x:v>R0546</x:v>
      </x:c>
      <x:c r="B550" s="25" t="str">
        <x:v>ECONOMICS OF AUTHORITY EoA #8 Federated Authority and Inter-Organizational AI Execution The Unsolved Boundary Problem and a Dual-Authorization Mechanism</x:v>
      </x:c>
      <x:c r="C550" s="25" t="n">
        <x:v>2026</x:v>
      </x:c>
      <x:c r="D550" s="25" t="str">
        <x:v>Kevin Fenske</x:v>
      </x:c>
      <x:c r="E550" s="25" t="str"/>
      <x:c r="F550" s="25" t="str">
        <x:v>10.2139/ssrn.6559939</x:v>
      </x:c>
      <x:c r="G550" s="25" t="str">
        <x:v>https://doi.org/10.2139/ssrn.6559939</x:v>
      </x:c>
      <x:c r="H550" s="25" t="str">
        <x:v>Crossref</x:v>
      </x:c>
      <x:c r="I550" s="25" t="str">
        <x:v>C9_human_agent_handoff</x:v>
      </x:c>
      <x:c r="J550" s="25" t="str">
        <x:v>Exclude</x:v>
      </x:c>
      <x:c r="K550" s="25" t="str">
        <x:v>Exclude: adjacent/redundant or insufficiently theory-generative for DC1</x:v>
      </x:c>
    </x:row>
    <x:row r="551">
      <x:c r="A551" s="20" t="str">
        <x:v>R0547</x:v>
      </x:c>
      <x:c r="B551" s="25" t="str">
        <x:v>Editing user-specific diagrams by direct manipulation</x:v>
      </x:c>
      <x:c r="C551" s="25" t="n">
        <x:v>1995</x:v>
      </x:c>
      <x:c r="D551" s="25" t="str">
        <x:v>G. Viehstaedt; M. Minas</x:v>
      </x:c>
      <x:c r="E551" s="25" t="str">
        <x:v>Conference companion on Human factors in computing systems  - CHI '95</x:v>
      </x:c>
      <x:c r="F551" s="25" t="str">
        <x:v>10.1145/223355.223468</x:v>
      </x:c>
      <x:c r="G551" s="25" t="str">
        <x:v>https://doi.org/10.1145/223355.223468</x:v>
      </x:c>
      <x:c r="H551" s="25" t="str">
        <x:v>Crossref</x:v>
      </x:c>
      <x:c r="I551" s="25" t="str">
        <x:v>C8_AI_3D_authoring</x:v>
      </x:c>
      <x:c r="J551" s="25" t="str">
        <x:v>Exclude</x:v>
      </x:c>
      <x:c r="K551" s="25" t="str">
        <x:v>Exclude: adjacent/redundant or insufficiently theory-generative for DC1</x:v>
      </x:c>
    </x:row>
    <x:row r="552">
      <x:c r="A552" s="20" t="str">
        <x:v>R0548</x:v>
      </x:c>
      <x:c r="B552" s="25" t="str">
        <x:v>Embodied AI Agent for Co-creation Ecosystem: Elevating Human-AI Co-creation through Emotion Recognition and Dynamic Personality Adaptation</x:v>
      </x:c>
      <x:c r="C552" s="25" t="n">
        <x:v>2025</x:v>
      </x:c>
      <x:c r="D552" s="25" t="str">
        <x:v>Jade Zheng; Fernando Jia; Florence Li; Yuteng Fu</x:v>
      </x:c>
      <x:c r="E552" s="25" t="str"/>
      <x:c r="F552" s="25" t="str">
        <x:v>10.31234/osf.io/krxp6</x:v>
      </x:c>
      <x:c r="G552" s="25" t="str">
        <x:v>https://doi.org/10.31234/osf.io/krxp6</x:v>
      </x:c>
      <x:c r="H552" s="25" t="str">
        <x:v>Crossref</x:v>
      </x:c>
      <x:c r="I552" s="25" t="str">
        <x:v>C3_mixed_initiative_cocreation; C7_creative_agency</x:v>
      </x:c>
      <x:c r="J552" s="25" t="str">
        <x:v>Exclude</x:v>
      </x:c>
      <x:c r="K552" s="25" t="str">
        <x:v>Exclude: adjacent/redundant or insufficiently theory-generative for DC1</x:v>
      </x:c>
    </x:row>
    <x:row r="553">
      <x:c r="A553" s="20" t="str">
        <x:v>R0549</x:v>
      </x:c>
      <x:c r="B553" s="25" t="str">
        <x:v>Embodied AI Agent for Co-creation Ecosystem: Elevating Human-AI Co-creation through Emotion Recognition and Dynamic Personality Adaptation</x:v>
      </x:c>
      <x:c r="C553" s="25" t="n">
        <x:v>2025</x:v>
      </x:c>
      <x:c r="D553" s="25" t="str">
        <x:v>Jade Zheng; Fernando Jia; Florence Li; Yuteng Fu</x:v>
      </x:c>
      <x:c r="E553" s="25" t="str"/>
      <x:c r="F553" s="25" t="str">
        <x:v>10.31235/osf.io/54de2</x:v>
      </x:c>
      <x:c r="G553" s="25" t="str">
        <x:v>https://doi.org/10.31235/osf.io/54de2</x:v>
      </x:c>
      <x:c r="H553" s="25" t="str">
        <x:v>Crossref</x:v>
      </x:c>
      <x:c r="I553" s="25" t="str">
        <x:v>C3_mixed_initiative_cocreation; C7_creative_agency</x:v>
      </x:c>
      <x:c r="J553" s="25" t="str">
        <x:v>Exclude</x:v>
      </x:c>
      <x:c r="K553" s="25" t="str">
        <x:v>Exclude: adjacent/redundant or insufficiently theory-generative for DC1</x:v>
      </x:c>
    </x:row>
    <x:row r="554">
      <x:c r="A554" s="20" t="str">
        <x:v>R0550</x:v>
      </x:c>
      <x:c r="B554" s="25" t="str">
        <x:v>Embodied AI Agent for Co-creation Ecosystem: Elevating Human-AI Co-creation through Emotion Recognition and Dynamic Personality Adaptation</x:v>
      </x:c>
      <x:c r="C554" s="25" t="n">
        <x:v>2025</x:v>
      </x:c>
      <x:c r="D554" s="25" t="str">
        <x:v>Jade Zheng; Fernando Jia; Yuteng Fu; Florence Li</x:v>
      </x:c>
      <x:c r="E554" s="25" t="str"/>
      <x:c r="F554" s="25" t="str">
        <x:v>10.31237/osf.io/b2yu5</x:v>
      </x:c>
      <x:c r="G554" s="25" t="str">
        <x:v>https://doi.org/10.31237/osf.io/b2yu5</x:v>
      </x:c>
      <x:c r="H554" s="25" t="str">
        <x:v>Crossref</x:v>
      </x:c>
      <x:c r="I554" s="25" t="str">
        <x:v>C3_mixed_initiative_cocreation; C7_creative_agency</x:v>
      </x:c>
      <x:c r="J554" s="25" t="str">
        <x:v>Exclude</x:v>
      </x:c>
      <x:c r="K554" s="25" t="str">
        <x:v>Exclude: adjacent/redundant or insufficiently theory-generative for DC1</x:v>
      </x:c>
    </x:row>
    <x:row r="555">
      <x:c r="A555" s="20" t="str">
        <x:v>R0551</x:v>
      </x:c>
      <x:c r="B555" s="25" t="str">
        <x:v>Embodied AI Agent for Co-creation Ecosystem: Elevating Human-AI Co-creation through Emotion Recognition and Dynamic Personality Adaptation</x:v>
      </x:c>
      <x:c r="C555" s="25" t="n">
        <x:v>2025</x:v>
      </x:c>
      <x:c r="D555" s="25" t="str">
        <x:v>Fernando Jia; Yuteng Fu; Jade Zheng; Florence Li</x:v>
      </x:c>
      <x:c r="E555" s="25" t="str"/>
      <x:c r="F555" s="25" t="str">
        <x:v>10.31219/osf.io/y6gs3</x:v>
      </x:c>
      <x:c r="G555" s="25" t="str">
        <x:v>https://doi.org/10.31219/osf.io/y6gs3</x:v>
      </x:c>
      <x:c r="H555" s="25" t="str">
        <x:v>Crossref</x:v>
      </x:c>
      <x:c r="I555" s="25" t="str">
        <x:v>C3_mixed_initiative_cocreation; C7_creative_agency</x:v>
      </x:c>
      <x:c r="J555" s="25" t="str">
        <x:v>Exclude</x:v>
      </x:c>
      <x:c r="K555" s="25" t="str">
        <x:v>Exclude: adjacent/redundant or insufficiently theory-generative for DC1</x:v>
      </x:c>
    </x:row>
    <x:row r="556">
      <x:c r="A556" s="20" t="str">
        <x:v>R0552</x:v>
      </x:c>
      <x:c r="B556" s="25" t="str">
        <x:v>Encoding and Retrieval of Episodic Trajectories</x:v>
      </x:c>
      <x:c r="C556" s="25" t="n">
        <x:v>2011</x:v>
      </x:c>
      <x:c r="D556" s="25" t="str"/>
      <x:c r="E556" s="25" t="str">
        <x:v>How We Remember</x:v>
      </x:c>
      <x:c r="F556" s="25" t="str">
        <x:v>10.7551/mitpress/8110.003.0005</x:v>
      </x:c>
      <x:c r="G556" s="25" t="str">
        <x:v>https://doi.org/10.7551/mitpress/8110.003.0005</x:v>
      </x:c>
      <x:c r="H556" s="25" t="str">
        <x:v>Crossref</x:v>
      </x:c>
      <x:c r="I556" s="25" t="str">
        <x:v>C5_agent_memory</x:v>
      </x:c>
      <x:c r="J556" s="25" t="str">
        <x:v>Exclude</x:v>
      </x:c>
      <x:c r="K556" s="25" t="str">
        <x:v>Exclude: topic mismatch</x:v>
      </x:c>
    </x:row>
    <x:row r="557">
      <x:c r="A557" s="20" t="str">
        <x:v>R0553</x:v>
      </x:c>
      <x:c r="B557" s="25" t="str">
        <x:v>Enhancing Shared Autonomy in Teleoperation under Network Delay: Transparency- and Confidence-Aware Arbitration_supp1-3596436.mp4</x:v>
      </x:c>
      <x:c r="C557" s="25" t="str"/>
      <x:c r="D557" s="25" t="str">
        <x:v>Basak Gulecyuz</x:v>
      </x:c>
      <x:c r="E557" s="25" t="str"/>
      <x:c r="F557" s="25" t="str">
        <x:v>10.1109/lra.2025.3596436/mm1</x:v>
      </x:c>
      <x:c r="G557" s="25" t="str">
        <x:v>https://doi.org/10.1109/lra.2025.3596436/mm1</x:v>
      </x:c>
      <x:c r="H557" s="25" t="str">
        <x:v>Crossref</x:v>
      </x:c>
      <x:c r="I557" s="25" t="str">
        <x:v>C4_uncertainty_shared_autonomy</x:v>
      </x:c>
      <x:c r="J557" s="25" t="str">
        <x:v>Exclude</x:v>
      </x:c>
      <x:c r="K557" s="25" t="str">
        <x:v>Exclude: adjacent/redundant or insufficiently theory-generative for DC1</x:v>
      </x:c>
    </x:row>
    <x:row r="558">
      <x:c r="A558" s="20" t="str">
        <x:v>R0554</x:v>
      </x:c>
      <x:c r="B558" s="25" t="str">
        <x:v>Enhancing human-computer interaction by inferring users' intent from eye gaze</x:v>
      </x:c>
      <x:c r="C558" s="25" t="str"/>
      <x:c r="D558" s="25" t="str">
        <x:v>Zhaokang Chen</x:v>
      </x:c>
      <x:c r="E558" s="25" t="str"/>
      <x:c r="F558" s="25" t="str">
        <x:v>10.14711/thesis-991012818669803412</x:v>
      </x:c>
      <x:c r="G558" s="25" t="str">
        <x:v>https://doi.org/10.14711/thesis-991012818669803412</x:v>
      </x:c>
      <x:c r="H558" s="25" t="str">
        <x:v>Crossref</x:v>
      </x:c>
      <x:c r="I558" s="25" t="str">
        <x:v>C4_uncertainty_shared_autonomy</x:v>
      </x:c>
      <x:c r="J558" s="25" t="str">
        <x:v>Exclude</x:v>
      </x:c>
      <x:c r="K558" s="25" t="str">
        <x:v>Exclude: adjacent/redundant or insufficiently theory-generative for DC1</x:v>
      </x:c>
    </x:row>
    <x:row r="559">
      <x:c r="A559" s="20" t="str">
        <x:v>R0555</x:v>
      </x:c>
      <x:c r="B559" s="25" t="str">
        <x:v>Episodic memory</x:v>
      </x:c>
      <x:c r="C559" s="25" t="n">
        <x:v>2005</x:v>
      </x:c>
      <x:c r="D559" s="25" t="str"/>
      <x:c r="E559" s="25" t="str">
        <x:v>The Cognitive Neuroscience of Memory</x:v>
      </x:c>
      <x:c r="F559" s="25" t="str">
        <x:v>10.4324/9780203989388-8</x:v>
      </x:c>
      <x:c r="G559" s="25" t="str">
        <x:v>https://doi.org/10.4324/9780203989388-8</x:v>
      </x:c>
      <x:c r="H559" s="25" t="str">
        <x:v>Crossref</x:v>
      </x:c>
      <x:c r="I559" s="25" t="str">
        <x:v>C5_agent_memory</x:v>
      </x:c>
      <x:c r="J559" s="25" t="str">
        <x:v>Exclude</x:v>
      </x:c>
      <x:c r="K559" s="25" t="str">
        <x:v>Exclude: adjacent/redundant or insufficiently theory-generative for DC1</x:v>
      </x:c>
    </x:row>
    <x:row r="560">
      <x:c r="A560" s="20" t="str">
        <x:v>R0556</x:v>
      </x:c>
      <x:c r="B560" s="25" t="str">
        <x:v>Episodic memory retrieval: An (event-related) functional neuroimaging perspective</x:v>
      </x:c>
      <x:c r="C560" s="25" t="n">
        <x:v>2005</x:v>
      </x:c>
      <x:c r="D560" s="25" t="str"/>
      <x:c r="E560" s="25" t="str">
        <x:v>The Cognitive Neuroscience of Memory</x:v>
      </x:c>
      <x:c r="F560" s="25" t="str">
        <x:v>10.4324/9780203989388-7</x:v>
      </x:c>
      <x:c r="G560" s="25" t="str">
        <x:v>https://doi.org/10.4324/9780203989388-7</x:v>
      </x:c>
      <x:c r="H560" s="25" t="str">
        <x:v>Crossref</x:v>
      </x:c>
      <x:c r="I560" s="25" t="str">
        <x:v>C5_agent_memory</x:v>
      </x:c>
      <x:c r="J560" s="25" t="str">
        <x:v>Exclude</x:v>
      </x:c>
      <x:c r="K560" s="25" t="str">
        <x:v>Exclude: adjacent/redundant or insufficiently theory-generative for DC1</x:v>
      </x:c>
    </x:row>
    <x:row r="561">
      <x:c r="A561" s="20" t="str">
        <x:v>R0557</x:v>
      </x:c>
      <x:c r="B561" s="25" t="str">
        <x:v>Ergonomics of human-system interaction</x:v>
      </x:c>
      <x:c r="C561" s="25" t="str"/>
      <x:c r="D561" s="25" t="str"/>
      <x:c r="E561" s="25" t="str"/>
      <x:c r="F561" s="25" t="str">
        <x:v>10.3403/30438670u</x:v>
      </x:c>
      <x:c r="G561" s="25" t="str">
        <x:v>https://doi.org/10.3403/30438670u</x:v>
      </x:c>
      <x:c r="H561" s="25" t="str">
        <x:v>Crossref</x:v>
      </x:c>
      <x:c r="I561" s="25" t="str">
        <x:v>C6_frontend_GUI_intent</x:v>
      </x:c>
      <x:c r="J561" s="25" t="str">
        <x:v>Exclude</x:v>
      </x:c>
      <x:c r="K561" s="25" t="str">
        <x:v>Exclude: topic mismatch</x:v>
      </x:c>
    </x:row>
    <x:row r="562">
      <x:c r="A562" s="20" t="str">
        <x:v>R0558</x:v>
      </x:c>
      <x:c r="B562" s="25" t="str">
        <x:v>Ergonomics of human-system interaction</x:v>
      </x:c>
      <x:c r="C562" s="25" t="str"/>
      <x:c r="D562" s="25" t="str"/>
      <x:c r="E562" s="25" t="str"/>
      <x:c r="F562" s="25" t="str">
        <x:v>10.3403/30438670</x:v>
      </x:c>
      <x:c r="G562" s="25" t="str">
        <x:v>https://doi.org/10.3403/30438670</x:v>
      </x:c>
      <x:c r="H562" s="25" t="str">
        <x:v>Crossref</x:v>
      </x:c>
      <x:c r="I562" s="25" t="str">
        <x:v>C6_frontend_GUI_intent</x:v>
      </x:c>
      <x:c r="J562" s="25" t="str">
        <x:v>Exclude</x:v>
      </x:c>
      <x:c r="K562" s="25" t="str">
        <x:v>Exclude: topic mismatch</x:v>
      </x:c>
    </x:row>
    <x:row r="563">
      <x:c r="A563" s="20" t="str">
        <x:v>R0559</x:v>
      </x:c>
      <x:c r="B563" s="25" t="str">
        <x:v>Evaluating the Efficacy and Implications of Ai-Assisted Linguistic Editing in Academic Writing</x:v>
      </x:c>
      <x:c r="C563" s="25" t="n">
        <x:v>2024</x:v>
      </x:c>
      <x:c r="D563" s="25" t="str">
        <x:v>Shai Farber</x:v>
      </x:c>
      <x:c r="E563" s="25" t="str"/>
      <x:c r="F563" s="25" t="str">
        <x:v>10.2139/ssrn.4910187</x:v>
      </x:c>
      <x:c r="G563" s="25" t="str">
        <x:v>https://doi.org/10.2139/ssrn.4910187</x:v>
      </x:c>
      <x:c r="H563" s="25" t="str">
        <x:v>Crossref</x:v>
      </x:c>
      <x:c r="I563" s="25" t="str">
        <x:v>C8_AI_3D_authoring</x:v>
      </x:c>
      <x:c r="J563" s="25" t="str">
        <x:v>Exclude</x:v>
      </x:c>
      <x:c r="K563" s="25" t="str">
        <x:v>Exclude: topic mismatch</x:v>
      </x:c>
    </x:row>
    <x:row r="564">
      <x:c r="A564" s="20" t="str">
        <x:v>R0560</x:v>
      </x:c>
      <x:c r="B564" s="25" t="str">
        <x:v>Experimental Evaluation of Model Predictive Mixed-Initiative Variable Autonomy Systems Applied to Human-Robot Teams</x:v>
      </x:c>
      <x:c r="C564" s="25" t="n">
        <x:v>2023</x:v>
      </x:c>
      <x:c r="D564" s="25" t="str">
        <x:v>Aniketh Ramesh; Christian Alexander Braun; Tianshu Ruan; Simon Rothfuß; Sören Hohmann; Rustam Stolkin; Manolis Chiou</x:v>
      </x:c>
      <x:c r="E564" s="25" t="str"/>
      <x:c r="F564" s="25" t="str">
        <x:v>10.36227/techrxiv.24018825</x:v>
      </x:c>
      <x:c r="G564" s="25" t="str">
        <x:v>https://doi.org/10.36227/techrxiv.24018825</x:v>
      </x:c>
      <x:c r="H564" s="25" t="str">
        <x:v>Crossref</x:v>
      </x:c>
      <x:c r="I564" s="25" t="str">
        <x:v>C9_human_agent_handoff</x:v>
      </x:c>
      <x:c r="J564" s="25" t="str">
        <x:v>Exclude</x:v>
      </x:c>
      <x:c r="K564" s="25" t="str">
        <x:v>Exclude: adjacent/redundant or insufficiently theory-generative for DC1</x:v>
      </x:c>
    </x:row>
    <x:row r="565">
      <x:c r="A565" s="20" t="str">
        <x:v>R0561</x:v>
      </x:c>
      <x:c r="B565" s="25" t="str">
        <x:v>Experimental Evaluation of Model Predictive Mixed-Initiative Variable Autonomy Systems Applied to Human-Robot Teams</x:v>
      </x:c>
      <x:c r="C565" s="25" t="n">
        <x:v>2023</x:v>
      </x:c>
      <x:c r="D565" s="25" t="str">
        <x:v>Aniketh Ramesh; Christian Alexander Braun; Tianshu Ruan; Simon Rothfuß; Sören Hohmann; Rustam Stolkin; Manolis Chiou</x:v>
      </x:c>
      <x:c r="E565" s="25" t="str"/>
      <x:c r="F565" s="25" t="str">
        <x:v>10.36227/techrxiv.24018825.v1</x:v>
      </x:c>
      <x:c r="G565" s="25" t="str">
        <x:v>https://doi.org/10.36227/techrxiv.24018825.v1</x:v>
      </x:c>
      <x:c r="H565" s="25" t="str">
        <x:v>Crossref</x:v>
      </x:c>
      <x:c r="I565" s="25" t="str">
        <x:v>C9_human_agent_handoff</x:v>
      </x:c>
      <x:c r="J565" s="25" t="str">
        <x:v>Exclude</x:v>
      </x:c>
      <x:c r="K565" s="25" t="str">
        <x:v>Exclude: adjacent/redundant or insufficiently theory-generative for DC1</x:v>
      </x:c>
    </x:row>
    <x:row r="566">
      <x:c r="A566" s="20" t="str">
        <x:v>R0562</x:v>
      </x:c>
      <x:c r="B566" s="25" t="str">
        <x:v>Few-Shot Intent Classification in User-Generated Short Texts : Application to Conversational Agents</x:v>
      </x:c>
      <x:c r="C566" s="25" t="str"/>
      <x:c r="D566" s="25" t="str">
        <x:v>; Thomas Dopierre</x:v>
      </x:c>
      <x:c r="E566" s="25" t="str"/>
      <x:c r="F566" s="25" t="str">
        <x:v>10.70675/ce4875adzcf6ez4960z908dz7dcd0ea70205</x:v>
      </x:c>
      <x:c r="G566" s="25" t="str">
        <x:v>https://doi.org/10.70675/ce4875adzcf6ez4960z908dz7dcd0ea70205</x:v>
      </x:c>
      <x:c r="H566" s="25" t="str">
        <x:v>Crossref</x:v>
      </x:c>
      <x:c r="I566" s="25" t="str">
        <x:v>C2_interaction_signals</x:v>
      </x:c>
      <x:c r="J566" s="25" t="str">
        <x:v>Exclude</x:v>
      </x:c>
      <x:c r="K566" s="25" t="str">
        <x:v>Exclude: adjacent/redundant or insufficiently theory-generative for DC1</x:v>
      </x:c>
    </x:row>
    <x:row r="567">
      <x:c r="A567" s="20" t="str">
        <x:v>R0563</x:v>
      </x:c>
      <x:c r="B567" s="25" t="str">
        <x:v>Figure 13: User interface for learner interaction.</x:v>
      </x:c>
      <x:c r="C567" s="25" t="str"/>
      <x:c r="D567" s="25" t="str"/>
      <x:c r="E567" s="25" t="str"/>
      <x:c r="F567" s="25" t="str">
        <x:v>10.7717/peerj-cs.532/fig-13</x:v>
      </x:c>
      <x:c r="G567" s="25" t="str">
        <x:v>https://doi.org/10.7717/peerj-cs.532/fig-13</x:v>
      </x:c>
      <x:c r="H567" s="25" t="str">
        <x:v>Crossref</x:v>
      </x:c>
      <x:c r="I567" s="25" t="str">
        <x:v>C6_frontend_GUI_intent</x:v>
      </x:c>
      <x:c r="J567" s="25" t="str">
        <x:v>Exclude</x:v>
      </x:c>
      <x:c r="K567" s="25" t="str">
        <x:v>Exclude: topic mismatch</x:v>
      </x:c>
    </x:row>
    <x:row r="568">
      <x:c r="A568" s="20" t="str">
        <x:v>R0564</x:v>
      </x:c>
      <x:c r="B568" s="25" t="str">
        <x:v>Figure 2: The simplified Graphical User Interface (GUI).</x:v>
      </x:c>
      <x:c r="C568" s="25" t="str"/>
      <x:c r="D568" s="25" t="str"/>
      <x:c r="E568" s="25" t="str"/>
      <x:c r="F568" s="25" t="str">
        <x:v>10.7717/peerjcs.161/fig-2</x:v>
      </x:c>
      <x:c r="G568" s="25" t="str">
        <x:v>https://doi.org/10.7717/peerjcs.161/fig-2</x:v>
      </x:c>
      <x:c r="H568" s="25" t="str">
        <x:v>Crossref</x:v>
      </x:c>
      <x:c r="I568" s="25" t="str">
        <x:v>C6_frontend_GUI_intent</x:v>
      </x:c>
      <x:c r="J568" s="25" t="str">
        <x:v>Exclude</x:v>
      </x:c>
      <x:c r="K568" s="25" t="str">
        <x:v>Exclude: topic mismatch</x:v>
      </x:c>
    </x:row>
    <x:row r="569">
      <x:c r="A569" s="20" t="str">
        <x:v>R0565</x:v>
      </x:c>
      <x:c r="B569" s="25" t="str">
        <x:v>Fractionating episodic memory retrieval using event-related potentials</x:v>
      </x:c>
      <x:c r="C569" s="25" t="n">
        <x:v>2005</x:v>
      </x:c>
      <x:c r="D569" s="25" t="str"/>
      <x:c r="E569" s="25" t="str">
        <x:v>The Cognitive Neuroscience of Memory</x:v>
      </x:c>
      <x:c r="F569" s="25" t="str">
        <x:v>10.4324/9780203989388-11</x:v>
      </x:c>
      <x:c r="G569" s="25" t="str">
        <x:v>https://doi.org/10.4324/9780203989388-11</x:v>
      </x:c>
      <x:c r="H569" s="25" t="str">
        <x:v>Crossref</x:v>
      </x:c>
      <x:c r="I569" s="25" t="str">
        <x:v>C5_agent_memory</x:v>
      </x:c>
      <x:c r="J569" s="25" t="str">
        <x:v>Exclude</x:v>
      </x:c>
      <x:c r="K569" s="25" t="str">
        <x:v>Exclude: adjacent/redundant or insufficiently theory-generative for DC1</x:v>
      </x:c>
    </x:row>
    <x:row r="570">
      <x:c r="A570" s="20" t="str">
        <x:v>R0566</x:v>
      </x:c>
      <x:c r="B570" s="25" t="str">
        <x:v>From Logic Monopoly to Social Contract: Separation of Power and the Institutional Foundations for Autonomous Agent Economies</x:v>
      </x:c>
      <x:c r="C570" s="25" t="n">
        <x:v>2026</x:v>
      </x:c>
      <x:c r="D570" s="25" t="str">
        <x:v>Anbang Ruan</x:v>
      </x:c>
      <x:c r="E570" s="25" t="str">
        <x:v>arXiv (Cornell University)</x:v>
      </x:c>
      <x:c r="F570" s="25" t="str"/>
      <x:c r="G570" s="25" t="str">
        <x:v>http://arxiv.org/abs/2603.25100</x:v>
      </x:c>
      <x:c r="H570" s="25" t="str">
        <x:v>OpenAlex</x:v>
      </x:c>
      <x:c r="I570" s="25" t="str">
        <x:v>C9_human_agent_handoff</x:v>
      </x:c>
      <x:c r="J570" s="25" t="str">
        <x:v>Exclude</x:v>
      </x:c>
      <x:c r="K570" s="25" t="str">
        <x:v>Exclude: adjacent/redundant or insufficiently theory-generative for DC1</x:v>
      </x:c>
    </x:row>
    <x:row r="571">
      <x:c r="A571" s="20" t="str">
        <x:v>R0567</x:v>
      </x:c>
      <x:c r="B571" s="25" t="str">
        <x:v>From Tools to Partners: How Multimodal AI Reshapes Creative Agency and Perceived Authenticity in Human-AI Collaboration</x:v>
      </x:c>
      <x:c r="C571" s="25" t="n">
        <x:v>2026</x:v>
      </x:c>
      <x:c r="D571" s="25" t="str">
        <x:v>nashwa ali</x:v>
      </x:c>
      <x:c r="E571" s="25" t="str"/>
      <x:c r="F571" s="25" t="str">
        <x:v>10.2139/ssrn.6512535</x:v>
      </x:c>
      <x:c r="G571" s="25" t="str">
        <x:v>https://doi.org/10.2139/ssrn.6512535</x:v>
      </x:c>
      <x:c r="H571" s="25" t="str">
        <x:v>Crossref</x:v>
      </x:c>
      <x:c r="I571" s="25" t="str">
        <x:v>C7_creative_agency</x:v>
      </x:c>
      <x:c r="J571" s="25" t="str">
        <x:v>Exclude</x:v>
      </x:c>
      <x:c r="K571" s="25" t="str">
        <x:v>Exclude: adjacent/redundant or insufficiently theory-generative for DC1</x:v>
      </x:c>
    </x:row>
    <x:row r="572">
      <x:c r="A572" s="20" t="str">
        <x:v>R0568</x:v>
      </x:c>
      <x:c r="B572" s="25" t="str">
        <x:v>From jamais to déjà vu: The respective roles of semantic and episodic memory in novelty monitoring and involuntary memory retrieval</x:v>
      </x:c>
      <x:c r="C572" s="25" t="n">
        <x:v>2023</x:v>
      </x:c>
      <x:c r="D572" s="25" t="str">
        <x:v>Louis Renoult; J. Bruno Debruille</x:v>
      </x:c>
      <x:c r="E572" s="25" t="str">
        <x:v>Behavioral and Brain Sciences</x:v>
      </x:c>
      <x:c r="F572" s="25" t="str">
        <x:v>10.1017/s0140525x23000158</x:v>
      </x:c>
      <x:c r="G572" s="25" t="str">
        <x:v>https://doi.org/10.1017/s0140525x23000158</x:v>
      </x:c>
      <x:c r="H572" s="25" t="str">
        <x:v>Crossref</x:v>
      </x:c>
      <x:c r="I572" s="25" t="str">
        <x:v>C5_agent_memory</x:v>
      </x:c>
      <x:c r="J572" s="25" t="str">
        <x:v>Exclude</x:v>
      </x:c>
      <x:c r="K572" s="25" t="str">
        <x:v>Exclude: adjacent/redundant or insufficiently theory-generative for DC1</x:v>
      </x:c>
    </x:row>
    <x:row r="573">
      <x:c r="A573" s="20" t="str">
        <x:v>R0569</x:v>
      </x:c>
      <x:c r="B573" s="25" t="str">
        <x:v>GRAPHICAL USER INTERFACE (GUI)</x:v>
      </x:c>
      <x:c r="C573" s="25" t="n">
        <x:v>2014</x:v>
      </x:c>
      <x:c r="D573" s="25" t="str"/>
      <x:c r="E573" s="25" t="str">
        <x:v>Encyclopedia of Environmental Change</x:v>
      </x:c>
      <x:c r="F573" s="25" t="str">
        <x:v>10.4135/9781446247501.n1750</x:v>
      </x:c>
      <x:c r="G573" s="25" t="str">
        <x:v>https://doi.org/10.4135/9781446247501.n1750</x:v>
      </x:c>
      <x:c r="H573" s="25" t="str">
        <x:v>Crossref</x:v>
      </x:c>
      <x:c r="I573" s="25" t="str">
        <x:v>C6_frontend_GUI_intent</x:v>
      </x:c>
      <x:c r="J573" s="25" t="str">
        <x:v>Exclude</x:v>
      </x:c>
      <x:c r="K573" s="25" t="str">
        <x:v>Exclude: topic mismatch</x:v>
      </x:c>
    </x:row>
    <x:row r="574">
      <x:c r="A574" s="20" t="str">
        <x:v>R0570</x:v>
      </x:c>
      <x:c r="B574" s="25" t="str">
        <x:v>Graphical User Interface (GUI)</x:v>
      </x:c>
      <x:c r="C574" s="25" t="n">
        <x:v>1998</x:v>
      </x:c>
      <x:c r="D574" s="25" t="str"/>
      <x:c r="E574" s="25" t="str">
        <x:v>Encyclopedia of Computational Chemistry</x:v>
      </x:c>
      <x:c r="F574" s="25" t="str">
        <x:v>10.1002/0470845015.cgd007</x:v>
      </x:c>
      <x:c r="G574" s="25" t="str">
        <x:v>https://doi.org/10.1002/0470845015.cgd007</x:v>
      </x:c>
      <x:c r="H574" s="25" t="str">
        <x:v>Crossref</x:v>
      </x:c>
      <x:c r="I574" s="25" t="str">
        <x:v>C6_frontend_GUI_intent</x:v>
      </x:c>
      <x:c r="J574" s="25" t="str">
        <x:v>Exclude</x:v>
      </x:c>
      <x:c r="K574" s="25" t="str">
        <x:v>Exclude: topic mismatch</x:v>
      </x:c>
    </x:row>
    <x:row r="575">
      <x:c r="A575" s="20" t="str">
        <x:v>R0571</x:v>
      </x:c>
      <x:c r="B575" s="25" t="str">
        <x:v>Gui Graphical User Interface</x:v>
      </x:c>
      <x:c r="C575" s="25" t="str"/>
      <x:c r="D575" s="25" t="str"/>
      <x:c r="E575" s="25" t="str">
        <x:v>X.systems.press</x:v>
      </x:c>
      <x:c r="F575" s="25" t="str">
        <x:v>10.1007/3-540-34611-2_15</x:v>
      </x:c>
      <x:c r="G575" s="25" t="str">
        <x:v>https://doi.org/10.1007/3-540-34611-2_15</x:v>
      </x:c>
      <x:c r="H575" s="25" t="str">
        <x:v>Crossref</x:v>
      </x:c>
      <x:c r="I575" s="25" t="str">
        <x:v>C6_frontend_GUI_intent</x:v>
      </x:c>
      <x:c r="J575" s="25" t="str">
        <x:v>Exclude</x:v>
      </x:c>
      <x:c r="K575" s="25" t="str">
        <x:v>Exclude: topic mismatch</x:v>
      </x:c>
    </x:row>
    <x:row r="576">
      <x:c r="A576" s="20" t="str">
        <x:v>R0572</x:v>
      </x:c>
      <x:c r="B576" s="25" t="str">
        <x:v>How Prompting and Editing Shape Psychological Ownership in AI-Assisted Creative Writing</x:v>
      </x:c>
      <x:c r="C576" s="25" t="n">
        <x:v>2026</x:v>
      </x:c>
      <x:c r="D576" s="25" t="str">
        <x:v>Niki Pennanen; Pyry Kanerva; Christian Guckelsberger</x:v>
      </x:c>
      <x:c r="E576" s="25" t="str"/>
      <x:c r="F576" s="25" t="str">
        <x:v>10.31234/osf.io/vzd3w_v1</x:v>
      </x:c>
      <x:c r="G576" s="25" t="str">
        <x:v>https://doi.org/10.31234/osf.io/vzd3w_v1</x:v>
      </x:c>
      <x:c r="H576" s="25" t="str">
        <x:v>Crossref</x:v>
      </x:c>
      <x:c r="I576" s="25" t="str">
        <x:v>C8_AI_3D_authoring</x:v>
      </x:c>
      <x:c r="J576" s="25" t="str">
        <x:v>Exclude</x:v>
      </x:c>
      <x:c r="K576" s="25" t="str">
        <x:v>Exclude: adjacent/redundant or insufficiently theory-generative for DC1</x:v>
      </x:c>
    </x:row>
    <x:row r="577">
      <x:c r="A577" s="20" t="str">
        <x:v>R0573</x:v>
      </x:c>
      <x:c r="B577" s="25" t="str">
        <x:v>How does semantic elaboration affect retrieval from episodic memory?</x:v>
      </x:c>
      <x:c r="C577" s="25" t="n">
        <x:v>2026</x:v>
      </x:c>
      <x:c r="D577" s="25" t="str">
        <x:v>Joscha Dutli; Klaus Oberauer; Lea M. Bartsch</x:v>
      </x:c>
      <x:c r="E577" s="25" t="str"/>
      <x:c r="F577" s="25" t="str">
        <x:v>10.31234/osf.io/ktgsu_v2</x:v>
      </x:c>
      <x:c r="G577" s="25" t="str">
        <x:v>https://doi.org/10.31234/osf.io/ktgsu_v2</x:v>
      </x:c>
      <x:c r="H577" s="25" t="str">
        <x:v>Crossref</x:v>
      </x:c>
      <x:c r="I577" s="25" t="str">
        <x:v>C5_agent_memory</x:v>
      </x:c>
      <x:c r="J577" s="25" t="str">
        <x:v>Exclude</x:v>
      </x:c>
      <x:c r="K577" s="25" t="str">
        <x:v>Exclude: adjacent/redundant or insufficiently theory-generative for DC1</x:v>
      </x:c>
    </x:row>
    <x:row r="578">
      <x:c r="A578" s="20" t="str">
        <x:v>R0574</x:v>
      </x:c>
      <x:c r="B578" s="25" t="str">
        <x:v>How does semantic elaboration affect retrieval from episodic memory?</x:v>
      </x:c>
      <x:c r="C578" s="25" t="n">
        <x:v>2025</x:v>
      </x:c>
      <x:c r="D578" s="25" t="str">
        <x:v>Joscha Dutli; Klaus Oberauer; Lea M. Bartsch</x:v>
      </x:c>
      <x:c r="E578" s="25" t="str"/>
      <x:c r="F578" s="25" t="str">
        <x:v>10.31234/osf.io/ktgsu_v1</x:v>
      </x:c>
      <x:c r="G578" s="25" t="str">
        <x:v>https://doi.org/10.31234/osf.io/ktgsu_v1</x:v>
      </x:c>
      <x:c r="H578" s="25" t="str">
        <x:v>Crossref</x:v>
      </x:c>
      <x:c r="I578" s="25" t="str">
        <x:v>C5_agent_memory</x:v>
      </x:c>
      <x:c r="J578" s="25" t="str">
        <x:v>Exclude</x:v>
      </x:c>
      <x:c r="K578" s="25" t="str">
        <x:v>Exclude: adjacent/redundant or insufficiently theory-generative for DC1</x:v>
      </x:c>
    </x:row>
    <x:row r="579">
      <x:c r="A579" s="20" t="str">
        <x:v>R0575</x:v>
      </x:c>
      <x:c r="B579" s="25" t="str">
        <x:v>Human grasp intent inference and multimodal control in prosthetic
                    hands</x:v>
      </x:c>
      <x:c r="C579" s="25" t="str"/>
      <x:c r="D579" s="25" t="str">
        <x:v>Mo Han</x:v>
      </x:c>
      <x:c r="E579" s="25" t="str"/>
      <x:c r="F579" s="25" t="str">
        <x:v>10.17760/d20409220</x:v>
      </x:c>
      <x:c r="G579" s="25" t="str">
        <x:v>https://doi.org/10.17760/d20409220</x:v>
      </x:c>
      <x:c r="H579" s="25" t="str">
        <x:v>Crossref</x:v>
      </x:c>
      <x:c r="I579" s="25" t="str">
        <x:v>C2_interaction_signals; C4_uncertainty_shared_autonomy</x:v>
      </x:c>
      <x:c r="J579" s="25" t="str">
        <x:v>Exclude</x:v>
      </x:c>
      <x:c r="K579" s="25" t="str">
        <x:v>Exclude: domain-specific signal model without transferable HCI theory</x:v>
      </x:c>
    </x:row>
    <x:row r="580">
      <x:c r="A580" s="20" t="str">
        <x:v>R0576</x:v>
      </x:c>
      <x:c r="B580" s="25" t="str">
        <x:v>Human-AI Co-Creation</x:v>
      </x:c>
      <x:c r="C580" s="25" t="n">
        <x:v>2025</x:v>
      </x:c>
      <x:c r="D580" s="25" t="str">
        <x:v>Joseph X Ng</x:v>
      </x:c>
      <x:c r="E580" s="25" t="str">
        <x:v>The Hybrid Mind</x:v>
      </x:c>
      <x:c r="F580" s="25" t="str">
        <x:v>10.1201/9781003648338-14</x:v>
      </x:c>
      <x:c r="G580" s="25" t="str">
        <x:v>https://doi.org/10.1201/9781003648338-14</x:v>
      </x:c>
      <x:c r="H580" s="25" t="str">
        <x:v>Crossref</x:v>
      </x:c>
      <x:c r="I580" s="25" t="str">
        <x:v>C3_mixed_initiative_cocreation; C7_creative_agency</x:v>
      </x:c>
      <x:c r="J580" s="25" t="str">
        <x:v>Exclude</x:v>
      </x:c>
      <x:c r="K580" s="25" t="str">
        <x:v>Exclude: topic mismatch</x:v>
      </x:c>
    </x:row>
    <x:row r="581">
      <x:c r="A581" s="20" t="str">
        <x:v>R0577</x:v>
      </x:c>
      <x:c r="B581" s="25" t="str">
        <x:v>Human-AI Co-Creation of Knowledge: Reclaiming Human Agency in the Age of Instant Answers</x:v>
      </x:c>
      <x:c r="C581" s="25" t="n">
        <x:v>2025</x:v>
      </x:c>
      <x:c r="D581" s="25" t="str">
        <x:v>Louay Alami Ouahabi</x:v>
      </x:c>
      <x:c r="E581" s="25" t="str"/>
      <x:c r="F581" s="25" t="str">
        <x:v>10.2139/ssrn.5778202</x:v>
      </x:c>
      <x:c r="G581" s="25" t="str">
        <x:v>https://doi.org/10.2139/ssrn.5778202</x:v>
      </x:c>
      <x:c r="H581" s="25" t="str">
        <x:v>Crossref</x:v>
      </x:c>
      <x:c r="I581" s="25" t="str">
        <x:v>C7_creative_agency</x:v>
      </x:c>
      <x:c r="J581" s="25" t="str">
        <x:v>Exclude</x:v>
      </x:c>
      <x:c r="K581" s="25" t="str">
        <x:v>Exclude: topic mismatch</x:v>
      </x:c>
    </x:row>
    <x:row r="582">
      <x:c r="A582" s="20" t="str">
        <x:v>R0578</x:v>
      </x:c>
      <x:c r="B582" s="25" t="str">
        <x:v>Humanoid-Recognition-Guided Generative Design: Integrating Biomimetic Semantic Features and Human–AI Co-Creation for Creative Furniture Concept Development</x:v>
      </x:c>
      <x:c r="C582" s="25" t="n">
        <x:v>2026</x:v>
      </x:c>
      <x:c r="D582" s="25" t="str">
        <x:v>Ning Liu; Yunpei Cheng</x:v>
      </x:c>
      <x:c r="E582" s="25" t="str">
        <x:v>International Journal of Humanoid Robotics</x:v>
      </x:c>
      <x:c r="F582" s="25" t="str">
        <x:v>10.1142/s0219843626400050</x:v>
      </x:c>
      <x:c r="G582" s="25" t="str">
        <x:v>https://doi.org/10.1142/s0219843626400050</x:v>
      </x:c>
      <x:c r="H582" s="25" t="str">
        <x:v>Crossref</x:v>
      </x:c>
      <x:c r="I582" s="25" t="str">
        <x:v>C7_creative_agency</x:v>
      </x:c>
      <x:c r="J582" s="25" t="str">
        <x:v>Exclude</x:v>
      </x:c>
      <x:c r="K582" s="25" t="str">
        <x:v>Exclude: adjacent/redundant or insufficiently theory-generative for DC1</x:v>
      </x:c>
    </x:row>
    <x:row r="583">
      <x:c r="A583" s="20" t="str">
        <x:v>R0579</x:v>
      </x:c>
      <x:c r="B583" s="25" t="str">
        <x:v>Human–AI Co-Creation in Melody Writing: A MIDI-Native Pilot on Flow, Authorship, and Control</x:v>
      </x:c>
      <x:c r="C583" s="25" t="n">
        <x:v>2025</x:v>
      </x:c>
      <x:c r="D583" s="25" t="str">
        <x:v>Jared Seth Watkins</x:v>
      </x:c>
      <x:c r="E583" s="25" t="str"/>
      <x:c r="F583" s="25" t="str">
        <x:v>10.33767/osf.io/zwtgp_v1</x:v>
      </x:c>
      <x:c r="G583" s="25" t="str">
        <x:v>https://doi.org/10.33767/osf.io/zwtgp_v1</x:v>
      </x:c>
      <x:c r="H583" s="25" t="str">
        <x:v>Crossref</x:v>
      </x:c>
      <x:c r="I583" s="25" t="str">
        <x:v>C7_creative_agency</x:v>
      </x:c>
      <x:c r="J583" s="25" t="str">
        <x:v>Exclude</x:v>
      </x:c>
      <x:c r="K583" s="25" t="str">
        <x:v>Exclude: adjacent/redundant or insufficiently theory-generative for DC1</x:v>
      </x:c>
    </x:row>
    <x:row r="584">
      <x:c r="A584" s="20" t="str">
        <x:v>R0580</x:v>
      </x:c>
      <x:c r="B584" s="25" t="str">
        <x:v>Hybrid Artistic Agency: Experiment and Reflection with Creative AI</x:v>
      </x:c>
      <x:c r="C584" s="25" t="n">
        <x:v>2025</x:v>
      </x:c>
      <x:c r="D584" s="25" t="str">
        <x:v>Ashley Woodward</x:v>
      </x:c>
      <x:c r="E584" s="25" t="str">
        <x:v>Artistic Agency</x:v>
      </x:c>
      <x:c r="F584" s="25" t="str">
        <x:v>10.1007/978-3-031-97969-9_12</x:v>
      </x:c>
      <x:c r="G584" s="25" t="str">
        <x:v>https://doi.org/10.1007/978-3-031-97969-9_12</x:v>
      </x:c>
      <x:c r="H584" s="25" t="str">
        <x:v>Crossref</x:v>
      </x:c>
      <x:c r="I584" s="25" t="str">
        <x:v>C7_creative_agency</x:v>
      </x:c>
      <x:c r="J584" s="25" t="str">
        <x:v>Exclude</x:v>
      </x:c>
      <x:c r="K584" s="25" t="str">
        <x:v>Exclude: adjacent/redundant or insufficiently theory-generative for DC1</x:v>
      </x:c>
    </x:row>
    <x:row r="585">
      <x:c r="A585" s="20" t="str">
        <x:v>R0581</x:v>
      </x:c>
      <x:c r="B585" s="25" t="str">
        <x:v>IA Before AI: Why Internal Autonomy Must Precede Artificial Intelligence Authority</x:v>
      </x:c>
      <x:c r="C585" s="25" t="n">
        <x:v>2026</x:v>
      </x:c>
      <x:c r="D585" s="25" t="str">
        <x:v>Margaret Denise Mills</x:v>
      </x:c>
      <x:c r="E585" s="25" t="str"/>
      <x:c r="F585" s="25" t="str">
        <x:v>10.2139/ssrn.6174001</x:v>
      </x:c>
      <x:c r="G585" s="25" t="str">
        <x:v>https://doi.org/10.2139/ssrn.6174001</x:v>
      </x:c>
      <x:c r="H585" s="25" t="str">
        <x:v>Crossref</x:v>
      </x:c>
      <x:c r="I585" s="25" t="str">
        <x:v>C9_human_agent_handoff</x:v>
      </x:c>
      <x:c r="J585" s="25" t="str">
        <x:v>Exclude</x:v>
      </x:c>
      <x:c r="K585" s="25" t="str">
        <x:v>Exclude: adjacent/redundant or insufficiently theory-generative for DC1</x:v>
      </x:c>
    </x:row>
    <x:row r="586">
      <x:c r="A586" s="20" t="str">
        <x:v>R0582</x:v>
      </x:c>
      <x:c r="B586" s="25" t="str">
        <x:v>Implicit Attitudes in Consumer Purchase Intent</x:v>
      </x:c>
      <x:c r="C586" s="25" t="n">
        <x:v>2012</x:v>
      </x:c>
      <x:c r="D586" s="25" t="str">
        <x:v>Ryan W. Wohleber; Gerald Matthews</x:v>
      </x:c>
      <x:c r="E586" s="25" t="str">
        <x:v>PsycEXTRA Dataset</x:v>
      </x:c>
      <x:c r="F586" s="25" t="str">
        <x:v>10.1037/e572172013-412</x:v>
      </x:c>
      <x:c r="G586" s="25" t="str">
        <x:v>https://doi.org/10.1037/e572172013-412</x:v>
      </x:c>
      <x:c r="H586" s="25" t="str">
        <x:v>Crossref</x:v>
      </x:c>
      <x:c r="I586" s="25" t="str">
        <x:v>C2_interaction_signals</x:v>
      </x:c>
      <x:c r="J586" s="25" t="str">
        <x:v>Exclude</x:v>
      </x:c>
      <x:c r="K586" s="25" t="str">
        <x:v>Exclude: adjacent/redundant or insufficiently theory-generative for DC1</x:v>
      </x:c>
    </x:row>
    <x:row r="587">
      <x:c r="A587" s="20" t="str">
        <x:v>R0583</x:v>
      </x:c>
      <x:c r="B587" s="25" t="str">
        <x:v>Implicit Bias, Behavioral Realism, and the Purposeful Intent Doctrine</x:v>
      </x:c>
      <x:c r="C587" s="25" t="n">
        <x:v>2022</x:v>
      </x:c>
      <x:c r="D587" s="25" t="str">
        <x:v>Jerry Kang</x:v>
      </x:c>
      <x:c r="E587" s="25" t="str">
        <x:v>SSRN Electronic Journal</x:v>
      </x:c>
      <x:c r="F587" s="25" t="str">
        <x:v>10.2139/ssrn.4238083</x:v>
      </x:c>
      <x:c r="G587" s="25" t="str">
        <x:v>https://doi.org/10.2139/ssrn.4238083</x:v>
      </x:c>
      <x:c r="H587" s="25" t="str">
        <x:v>Crossref</x:v>
      </x:c>
      <x:c r="I587" s="25" t="str">
        <x:v>C2_interaction_signals</x:v>
      </x:c>
      <x:c r="J587" s="25" t="str">
        <x:v>Exclude</x:v>
      </x:c>
      <x:c r="K587" s="25" t="str">
        <x:v>Exclude: adjacent/redundant or insufficiently theory-generative for DC1</x:v>
      </x:c>
    </x:row>
    <x:row r="588">
      <x:c r="A588" s="20" t="str">
        <x:v>R0584</x:v>
      </x:c>
      <x:c r="B588" s="25" t="str">
        <x:v>Importance of Interface Agent Characteristics from End-User Perspective</x:v>
      </x:c>
      <x:c r="C588" s="25" t="str"/>
      <x:c r="D588" s="25" t="str">
        <x:v>Alexander Serenko</x:v>
      </x:c>
      <x:c r="E588" s="25" t="str">
        <x:v>Human Computer Interaction</x:v>
      </x:c>
      <x:c r="F588" s="25" t="str">
        <x:v>10.4018/9781878289919.ch067</x:v>
      </x:c>
      <x:c r="G588" s="25" t="str">
        <x:v>https://doi.org/10.4018/9781878289919.ch067</x:v>
      </x:c>
      <x:c r="H588" s="25" t="str">
        <x:v>Crossref</x:v>
      </x:c>
      <x:c r="I588" s="25" t="str">
        <x:v>C6_frontend_GUI_intent</x:v>
      </x:c>
      <x:c r="J588" s="25" t="str">
        <x:v>Exclude</x:v>
      </x:c>
      <x:c r="K588" s="25" t="str">
        <x:v>Exclude: topic mismatch</x:v>
      </x:c>
    </x:row>
    <x:row r="589">
      <x:c r="A589" s="20" t="str">
        <x:v>R0585</x:v>
      </x:c>
      <x:c r="B589" s="25" t="str">
        <x:v>Importance of Interface Agent Characteristics from End-User Perspective</x:v>
      </x:c>
      <x:c r="C589" s="25" t="n">
        <x:v>2009</x:v>
      </x:c>
      <x:c r="D589" s="25" t="str">
        <x:v>Alexander Serenko</x:v>
      </x:c>
      <x:c r="E589" s="25" t="str">
        <x:v>Human Computer Interaction</x:v>
      </x:c>
      <x:c r="F589" s="25" t="str">
        <x:v>10.4018/978-1-87828-991-9.ch067</x:v>
      </x:c>
      <x:c r="G589" s="25" t="str">
        <x:v>https://doi.org/10.4018/978-1-87828-991-9.ch067</x:v>
      </x:c>
      <x:c r="H589" s="25" t="str">
        <x:v>Crossref</x:v>
      </x:c>
      <x:c r="I589" s="25" t="str">
        <x:v>C6_frontend_GUI_intent</x:v>
      </x:c>
      <x:c r="J589" s="25" t="str">
        <x:v>Exclude</x:v>
      </x:c>
      <x:c r="K589" s="25" t="str">
        <x:v>Exclude: topic mismatch</x:v>
      </x:c>
    </x:row>
    <x:row r="590">
      <x:c r="A590" s="20" t="str">
        <x:v>R0586</x:v>
      </x:c>
      <x:c r="B590" s="25" t="str">
        <x:v>Inference And Speaker Intent In Acts 3: 12-26 And Some Translation Implications</x:v>
      </x:c>
      <x:c r="C590" s="25" t="str"/>
      <x:c r="D590" s="25" t="str">
        <x:v>George M. HILLMAN</x:v>
      </x:c>
      <x:c r="E590" s="25" t="str"/>
      <x:c r="F590" s="25" t="str">
        <x:v>10.2986/tren.006-1563</x:v>
      </x:c>
      <x:c r="G590" s="25" t="str">
        <x:v>https://doi.org/10.2986/tren.006-1563</x:v>
      </x:c>
      <x:c r="H590" s="25" t="str">
        <x:v>Crossref</x:v>
      </x:c>
      <x:c r="I590" s="25" t="str">
        <x:v>C2_interaction_signals</x:v>
      </x:c>
      <x:c r="J590" s="25" t="str">
        <x:v>Exclude</x:v>
      </x:c>
      <x:c r="K590" s="25" t="str">
        <x:v>Exclude: adjacent/redundant or insufficiently theory-generative for DC1</x:v>
      </x:c>
    </x:row>
    <x:row r="591">
      <x:c r="A591" s="20" t="str">
        <x:v>R0587</x:v>
      </x:c>
      <x:c r="B591" s="25" t="str">
        <x:v>Instrumental Object Manipulation</x:v>
      </x:c>
      <x:c r="C591" s="25" t="n">
        <x:v>2022</x:v>
      </x:c>
      <x:c r="D591" s="25" t="str"/>
      <x:c r="E591" s="25" t="str">
        <x:v>Encyclopedia of Animal Cognition and Behavior</x:v>
      </x:c>
      <x:c r="F591" s="25" t="str">
        <x:v>10.1007/978-3-319-55065-7_301164</x:v>
      </x:c>
      <x:c r="G591" s="25" t="str">
        <x:v>https://doi.org/10.1007/978-3-319-55065-7_301164</x:v>
      </x:c>
      <x:c r="H591" s="25" t="str">
        <x:v>Crossref</x:v>
      </x:c>
      <x:c r="I591" s="25" t="str">
        <x:v>C1_3D_mental_models</x:v>
      </x:c>
      <x:c r="J591" s="25" t="str">
        <x:v>Exclude</x:v>
      </x:c>
      <x:c r="K591" s="25" t="str">
        <x:v>Exclude: adjacent/redundant or insufficiently theory-generative for DC1</x:v>
      </x:c>
    </x:row>
    <x:row r="592">
      <x:c r="A592" s="20" t="str">
        <x:v>R0588</x:v>
      </x:c>
      <x:c r="B592" s="25" t="str">
        <x:v>Intent</x:v>
      </x:c>
      <x:c r="C592" s="25" t="n">
        <x:v>2018</x:v>
      </x:c>
      <x:c r="D592" s="25" t="str"/>
      <x:c r="E592" s="25" t="str">
        <x:v>Intent</x:v>
      </x:c>
      <x:c r="F592" s="25" t="str">
        <x:v>10.5040/9781350982482</x:v>
      </x:c>
      <x:c r="G592" s="25" t="str">
        <x:v>https://doi.org/10.5040/9781350982482</x:v>
      </x:c>
      <x:c r="H592" s="25" t="str">
        <x:v>Crossref</x:v>
      </x:c>
      <x:c r="I592" s="25" t="str">
        <x:v>C2_interaction_signals</x:v>
      </x:c>
      <x:c r="J592" s="25" t="str">
        <x:v>Exclude</x:v>
      </x:c>
      <x:c r="K592" s="25" t="str">
        <x:v>Exclude: adjacent/redundant or insufficiently theory-generative for DC1</x:v>
      </x:c>
    </x:row>
    <x:row r="593">
      <x:c r="A593" s="20" t="str">
        <x:v>R0589</x:v>
      </x:c>
      <x:c r="B593" s="25" t="str">
        <x:v>Intent inference and strategic escape in multi-robot games with physical limitations and uncertainty</x:v>
      </x:c>
      <x:c r="C593" s="25" t="n">
        <x:v>2011</x:v>
      </x:c>
      <x:c r="D593" s="25" t="str">
        <x:v>Aris Valtazanos; Subramanian Ramamoorthy</x:v>
      </x:c>
      <x:c r="E593" s="25" t="str">
        <x:v>2011 IEEE/RSJ International Conference on Intelligent Robots and Systems</x:v>
      </x:c>
      <x:c r="F593" s="25" t="str">
        <x:v>10.1109/iros.2011.6048330</x:v>
      </x:c>
      <x:c r="G593" s="25" t="str">
        <x:v>https://doi.org/10.1109/iros.2011.6048330</x:v>
      </x:c>
      <x:c r="H593" s="25" t="str">
        <x:v>Crossref</x:v>
      </x:c>
      <x:c r="I593" s="25" t="str">
        <x:v>C4_uncertainty_shared_autonomy</x:v>
      </x:c>
      <x:c r="J593" s="25" t="str">
        <x:v>Exclude</x:v>
      </x:c>
      <x:c r="K593" s="25" t="str">
        <x:v>Exclude: adjacent/redundant or insufficiently theory-generative for DC1</x:v>
      </x:c>
    </x:row>
    <x:row r="594">
      <x:c r="A594" s="20" t="str">
        <x:v>R0590</x:v>
      </x:c>
      <x:c r="B594" s="25" t="str">
        <x:v>Intent-Guided Diffusion with Adaptive Intent Fusion for User Cold-Start Recommendation</x:v>
      </x:c>
      <x:c r="C594" s="25" t="n">
        <x:v>2026</x:v>
      </x:c>
      <x:c r="D594" s="25" t="str">
        <x:v>Lingxuan Li; Luofei Jia; Dafei Lin; Chongmin Wang; Yongxin Shi</x:v>
      </x:c>
      <x:c r="E594" s="25" t="str"/>
      <x:c r="F594" s="25" t="str">
        <x:v>10.21203/rs.3.rs-9277337/v1</x:v>
      </x:c>
      <x:c r="G594" s="25" t="str">
        <x:v>https://doi.org/10.21203/rs.3.rs-9277337/v1</x:v>
      </x:c>
      <x:c r="H594" s="25" t="str">
        <x:v>Crossref</x:v>
      </x:c>
      <x:c r="I594" s="25" t="str">
        <x:v>C2_interaction_signals</x:v>
      </x:c>
      <x:c r="J594" s="25" t="str">
        <x:v>Exclude</x:v>
      </x:c>
      <x:c r="K594" s="25" t="str">
        <x:v>Exclude: adjacent/redundant or insufficiently theory-generative for DC1</x:v>
      </x:c>
    </x:row>
    <x:row r="595">
      <x:c r="A595" s="20" t="str">
        <x:v>R0591</x:v>
      </x:c>
      <x:c r="B595" s="25" t="str">
        <x:v>Introducing Artificial Intelligence, Co-Creation and Creativity</x:v>
      </x:c>
      <x:c r="C595" s="25" t="n">
        <x:v>2024</x:v>
      </x:c>
      <x:c r="D595" s="25" t="str">
        <x:v>Francisco Tigre Moura</x:v>
      </x:c>
      <x:c r="E595" s="25" t="str">
        <x:v>Artificial Intelligence, Co-Creation and Creativity</x:v>
      </x:c>
      <x:c r="F595" s="25" t="str">
        <x:v>10.4324/9781003453901-1</x:v>
      </x:c>
      <x:c r="G595" s="25" t="str">
        <x:v>https://doi.org/10.4324/9781003453901-1</x:v>
      </x:c>
      <x:c r="H595" s="25" t="str">
        <x:v>Crossref</x:v>
      </x:c>
      <x:c r="I595" s="25" t="str">
        <x:v>C3_mixed_initiative_cocreation</x:v>
      </x:c>
      <x:c r="J595" s="25" t="str">
        <x:v>Exclude</x:v>
      </x:c>
      <x:c r="K595" s="25" t="str">
        <x:v>Exclude: adjacent/redundant or insufficiently theory-generative for DC1</x:v>
      </x:c>
    </x:row>
    <x:row r="596">
      <x:c r="A596" s="20" t="str">
        <x:v>R0592</x:v>
      </x:c>
      <x:c r="B596" s="25" t="str">
        <x:v>Introduction to VUI</x:v>
      </x:c>
      <x:c r="C596" s="25" t="n">
        <x:v>2018</x:v>
      </x:c>
      <x:c r="D596" s="25" t="str">
        <x:v>Ritwik Dasgupta</x:v>
      </x:c>
      <x:c r="E596" s="25" t="str">
        <x:v>Voice User Interface Design</x:v>
      </x:c>
      <x:c r="F596" s="25" t="str">
        <x:v>10.1007/978-1-4842-4125-7_1</x:v>
      </x:c>
      <x:c r="G596" s="25" t="str">
        <x:v>https://doi.org/10.1007/978-1-4842-4125-7_1</x:v>
      </x:c>
      <x:c r="H596" s="25" t="str">
        <x:v>Crossref</x:v>
      </x:c>
      <x:c r="I596" s="25" t="str">
        <x:v>C6_frontend_GUI_intent</x:v>
      </x:c>
      <x:c r="J596" s="25" t="str">
        <x:v>Exclude</x:v>
      </x:c>
      <x:c r="K596" s="25" t="str">
        <x:v>Exclude: topic mismatch</x:v>
      </x:c>
    </x:row>
    <x:row r="597">
      <x:c r="A597" s="20" t="str">
        <x:v>R0593</x:v>
      </x:c>
      <x:c r="B597" s="25" t="str">
        <x:v>Learning dexterous manipulation from 3D hand and object interaction</x:v>
      </x:c>
      <x:c r="C597" s="25" t="str"/>
      <x:c r="D597" s="25" t="str">
        <x:v>; Zerui Chen</x:v>
      </x:c>
      <x:c r="E597" s="25" t="str"/>
      <x:c r="F597" s="25" t="str">
        <x:v>10.70675/a5b55fc1z8706z4710z9ed5zf2b7365c5cf3</x:v>
      </x:c>
      <x:c r="G597" s="25" t="str">
        <x:v>https://doi.org/10.70675/a5b55fc1z8706z4710z9ed5zf2b7365c5cf3</x:v>
      </x:c>
      <x:c r="H597" s="25" t="str">
        <x:v>Crossref</x:v>
      </x:c>
      <x:c r="I597" s="25" t="str">
        <x:v>C1_3D_mental_models</x:v>
      </x:c>
      <x:c r="J597" s="25" t="str">
        <x:v>Exclude</x:v>
      </x:c>
      <x:c r="K597" s="25" t="str">
        <x:v>Exclude: adjacent/redundant or insufficiently theory-generative for DC1</x:v>
      </x:c>
    </x:row>
    <x:row r="598">
      <x:c r="A598" s="20" t="str">
        <x:v>R0594</x:v>
      </x:c>
      <x:c r="B598" s="25" t="str">
        <x:v>Legible user input for intent prediction</x:v>
      </x:c>
      <x:c r="C598" s="25" t="n">
        <x:v>2013</x:v>
      </x:c>
      <x:c r="D598" s="25" t="str">
        <x:v>Kenton C. T. Lee; Anca D. Dragan; Siddhartha S. Srinivasa</x:v>
      </x:c>
      <x:c r="E598" s="25" t="str">
        <x:v>2013 8th ACM/IEEE International Conference on Human-Robot Interaction (HRI)</x:v>
      </x:c>
      <x:c r="F598" s="25" t="str">
        <x:v>10.1109/hri.2013.6483558</x:v>
      </x:c>
      <x:c r="G598" s="25" t="str">
        <x:v>https://doi.org/10.1109/hri.2013.6483558</x:v>
      </x:c>
      <x:c r="H598" s="25" t="str">
        <x:v>Crossref</x:v>
      </x:c>
      <x:c r="I598" s="25" t="str">
        <x:v>C2_interaction_signals</x:v>
      </x:c>
      <x:c r="J598" s="25" t="str">
        <x:v>Exclude</x:v>
      </x:c>
      <x:c r="K598" s="25" t="str">
        <x:v>Exclude: adjacent/redundant or insufficiently theory-generative for DC1</x:v>
      </x:c>
    </x:row>
    <x:row r="599">
      <x:c r="A599" s="20" t="str">
        <x:v>R0595</x:v>
      </x:c>
      <x:c r="B599" s="25" t="str">
        <x:v>Mastering the Machine: Human-AI Co-Creation, Copyright, and the Future of the Creative Industries</x:v>
      </x:c>
      <x:c r="C599" s="25" t="n">
        <x:v>2026</x:v>
      </x:c>
      <x:c r="D599" s="25" t="str">
        <x:v>Aurelio Aguite Jr</x:v>
      </x:c>
      <x:c r="E599" s="25" t="str"/>
      <x:c r="F599" s="25" t="str">
        <x:v>10.2139/ssrn.6701198</x:v>
      </x:c>
      <x:c r="G599" s="25" t="str">
        <x:v>https://doi.org/10.2139/ssrn.6701198</x:v>
      </x:c>
      <x:c r="H599" s="25" t="str">
        <x:v>Crossref</x:v>
      </x:c>
      <x:c r="I599" s="25" t="str">
        <x:v>C7_creative_agency</x:v>
      </x:c>
      <x:c r="J599" s="25" t="str">
        <x:v>Exclude</x:v>
      </x:c>
      <x:c r="K599" s="25" t="str">
        <x:v>Exclude: adjacent/redundant or insufficiently theory-generative for DC1</x:v>
      </x:c>
    </x:row>
    <x:row r="600">
      <x:c r="A600" s="20" t="str">
        <x:v>R0596</x:v>
      </x:c>
      <x:c r="B600" s="25" t="str">
        <x:v>Memory Updating Following Episodic and Semantic Retrieval: Evidence for Shared Mechanisms</x:v>
      </x:c>
      <x:c r="C600" s="25" t="n">
        <x:v>2026</x:v>
      </x:c>
      <x:c r="D600" s="25" t="str">
        <x:v>Christopher N. Wahlheim</x:v>
      </x:c>
      <x:c r="E600" s="25" t="str"/>
      <x:c r="F600" s="25" t="str">
        <x:v>10.31234/osf.io/b538a_v1</x:v>
      </x:c>
      <x:c r="G600" s="25" t="str">
        <x:v>https://doi.org/10.31234/osf.io/b538a_v1</x:v>
      </x:c>
      <x:c r="H600" s="25" t="str">
        <x:v>Crossref</x:v>
      </x:c>
      <x:c r="I600" s="25" t="str">
        <x:v>C5_agent_memory</x:v>
      </x:c>
      <x:c r="J600" s="25" t="str">
        <x:v>Exclude</x:v>
      </x:c>
      <x:c r="K600" s="25" t="str">
        <x:v>Exclude: adjacent/redundant or insufficiently theory-generative for DC1</x:v>
      </x:c>
    </x:row>
    <x:row r="601">
      <x:c r="A601" s="20" t="str">
        <x:v>R0597</x:v>
      </x:c>
      <x:c r="B601" s="25" t="str">
        <x:v>Mixed Boundary Conditions for Two-Dimensional Transient Heat Transfer Conduction under Lattice Boltzmann Simulations</x:v>
      </x:c>
      <x:c r="C601" s="25" t="n">
        <x:v>2011</x:v>
      </x:c>
      <x:c r="D601" s="25" t="str"/>
      <x:c r="E601" s="25" t="str">
        <x:v>Journal of Applied Fluid Mechanics</x:v>
      </x:c>
      <x:c r="F601" s="25" t="str">
        <x:v>10.36884/jafm.4.03.11938</x:v>
      </x:c>
      <x:c r="G601" s="25" t="str">
        <x:v>https://doi.org/10.36884/jafm.4.03.11938</x:v>
      </x:c>
      <x:c r="H601" s="25" t="str">
        <x:v>Crossref</x:v>
      </x:c>
      <x:c r="I601" s="25" t="str">
        <x:v>C9_human_agent_handoff</x:v>
      </x:c>
      <x:c r="J601" s="25" t="str">
        <x:v>Exclude</x:v>
      </x:c>
      <x:c r="K601" s="25" t="str">
        <x:v>Exclude: topic mismatch</x:v>
      </x:c>
    </x:row>
    <x:row r="602">
      <x:c r="A602" s="20" t="str">
        <x:v>R0598</x:v>
      </x:c>
      <x:c r="B602" s="25" t="str">
        <x:v>Mixed Convection of Heat and Mass Transfer of Casson Fluid Flow Over a Moving Horizontal Plate with Convective Boundary Conditions</x:v>
      </x:c>
      <x:c r="C602" s="25" t="n">
        <x:v>2024</x:v>
      </x:c>
      <x:c r="D602" s="25" t="str"/>
      <x:c r="E602" s="25" t="str">
        <x:v>Materials International</x:v>
      </x:c>
      <x:c r="F602" s="25" t="str">
        <x:v>10.33263/materials64.036</x:v>
      </x:c>
      <x:c r="G602" s="25" t="str">
        <x:v>https://doi.org/10.33263/materials64.036</x:v>
      </x:c>
      <x:c r="H602" s="25" t="str">
        <x:v>Crossref</x:v>
      </x:c>
      <x:c r="I602" s="25" t="str">
        <x:v>C9_human_agent_handoff</x:v>
      </x:c>
      <x:c r="J602" s="25" t="str">
        <x:v>Exclude</x:v>
      </x:c>
      <x:c r="K602" s="25" t="str">
        <x:v>Exclude: topic mismatch</x:v>
      </x:c>
    </x:row>
    <x:row r="603">
      <x:c r="A603" s="20" t="str">
        <x:v>R0599</x:v>
      </x:c>
      <x:c r="B603" s="25" t="str">
        <x:v>Mixed Initiative Sensemaking With Automation</x:v>
      </x:c>
      <x:c r="C603" s="25" t="n">
        <x:v>2022</x:v>
      </x:c>
      <x:c r="D603" s="25" t="str">
        <x:v>Ahad Alotaibi; Chris Baber</x:v>
      </x:c>
      <x:c r="E603" s="25" t="str">
        <x:v>AHFE International</x:v>
      </x:c>
      <x:c r="F603" s="25" t="str">
        <x:v>10.54941/ahfe100868</x:v>
      </x:c>
      <x:c r="G603" s="25" t="str">
        <x:v>https://doi.org/10.54941/ahfe100868</x:v>
      </x:c>
      <x:c r="H603" s="25" t="str">
        <x:v>Crossref</x:v>
      </x:c>
      <x:c r="I603" s="25" t="str">
        <x:v>C9_human_agent_handoff</x:v>
      </x:c>
      <x:c r="J603" s="25" t="str">
        <x:v>Exclude</x:v>
      </x:c>
      <x:c r="K603" s="25" t="str">
        <x:v>Exclude: adjacent/redundant or insufficiently theory-generative for DC1</x:v>
      </x:c>
    </x:row>
    <x:row r="604">
      <x:c r="A604" s="20" t="str">
        <x:v>R0600</x:v>
      </x:c>
      <x:c r="B604" s="25" t="str">
        <x:v>Multi-cue 3D Model-Based Object Tracking</x:v>
      </x:c>
      <x:c r="C604" s="25" t="str"/>
      <x:c r="D604" s="25" t="str"/>
      <x:c r="E604" s="25" t="str">
        <x:v>Springer Tracts in Advanced Robotics</x:v>
      </x:c>
      <x:c r="F604" s="25" t="str">
        <x:v>10.1007/978-3-540-33455-2_5</x:v>
      </x:c>
      <x:c r="G604" s="25" t="str">
        <x:v>https://doi.org/10.1007/978-3-540-33455-2_5</x:v>
      </x:c>
      <x:c r="H604" s="25" t="str">
        <x:v>Crossref</x:v>
      </x:c>
      <x:c r="I604" s="25" t="str">
        <x:v>C1_3D_mental_models</x:v>
      </x:c>
      <x:c r="J604" s="25" t="str">
        <x:v>Exclude</x:v>
      </x:c>
      <x:c r="K604" s="25" t="str">
        <x:v>Exclude: adjacent/redundant or insufficiently theory-generative for DC1</x:v>
      </x:c>
    </x:row>
    <x:row r="605">
      <x:c r="A605" s="20" t="str">
        <x:v>R0601</x:v>
      </x:c>
      <x:c r="B605" s="25" t="str">
        <x:v>Navigating the graphical user interface (GUI) by the visually impaired computer user</x:v>
      </x:c>
      <x:c r="C605" s="25" t="n">
        <x:v>1995</x:v>
      </x:c>
      <x:c r="D605" s="25" t="str"/>
      <x:c r="E605" s="25" t="str">
        <x:v>Advances in Human Factors/Ergonomics</x:v>
      </x:c>
      <x:c r="F605" s="25" t="str">
        <x:v>10.1016/s0921-2647(06)80026-2</x:v>
      </x:c>
      <x:c r="G605" s="25" t="str">
        <x:v>https://doi.org/10.1016/s0921-2647(06)80026-2</x:v>
      </x:c>
      <x:c r="H605" s="25" t="str">
        <x:v>Crossref</x:v>
      </x:c>
      <x:c r="I605" s="25" t="str">
        <x:v>C6_frontend_GUI_intent</x:v>
      </x:c>
      <x:c r="J605" s="25" t="str">
        <x:v>Exclude</x:v>
      </x:c>
      <x:c r="K605" s="25" t="str">
        <x:v>Exclude: topic mismatch</x:v>
      </x:c>
    </x:row>
    <x:row r="606">
      <x:c r="A606" s="20" t="str">
        <x:v>R0602</x:v>
      </x:c>
      <x:c r="B606" s="25" t="str">
        <x:v>Object-Oriented Interaction</x:v>
      </x:c>
      <x:c r="C606" s="25" t="n">
        <x:v>2016</x:v>
      </x:c>
      <x:c r="D606" s="25" t="str">
        <x:v>Haijun Xia</x:v>
      </x:c>
      <x:c r="E606" s="25" t="str">
        <x:v>Proceedings of the 29th Annual Symposium on User Interface Software and Technology</x:v>
      </x:c>
      <x:c r="F606" s="25" t="str">
        <x:v>10.1145/2984751.2984784</x:v>
      </x:c>
      <x:c r="G606" s="25" t="str">
        <x:v>https://doi.org/10.1145/2984751.2984784</x:v>
      </x:c>
      <x:c r="H606" s="25" t="str">
        <x:v>Crossref</x:v>
      </x:c>
      <x:c r="I606" s="25" t="str">
        <x:v>C1_3D_mental_models</x:v>
      </x:c>
      <x:c r="J606" s="25" t="str">
        <x:v>Exclude</x:v>
      </x:c>
      <x:c r="K606" s="25" t="str">
        <x:v>Exclude: topic mismatch</x:v>
      </x:c>
    </x:row>
    <x:row r="607">
      <x:c r="A607" s="20" t="str">
        <x:v>R0603</x:v>
      </x:c>
      <x:c r="B607" s="25" t="str">
        <x:v>On Controllability in Agentic AI: A Survey</x:v>
      </x:c>
      <x:c r="C607" s="25" t="n">
        <x:v>2026</x:v>
      </x:c>
      <x:c r="D607" s="25" t="str">
        <x:v>My H. Nguyen; Duc-Hai Nguyen; Barry O’Sullivan; Hoang D. Nguyen</x:v>
      </x:c>
      <x:c r="E607" s="25" t="str">
        <x:v>Minds and Machines</x:v>
      </x:c>
      <x:c r="F607" s="25" t="str">
        <x:v>10.1007/s11023-026-09783-y</x:v>
      </x:c>
      <x:c r="G607" s="25" t="str">
        <x:v>https://doi.org/10.1007/s11023-026-09783-y</x:v>
      </x:c>
      <x:c r="H607" s="25" t="str">
        <x:v>OpenAlex</x:v>
      </x:c>
      <x:c r="I607" s="25" t="str">
        <x:v>C9_human_agent_handoff</x:v>
      </x:c>
      <x:c r="J607" s="25" t="str">
        <x:v>Exclude</x:v>
      </x:c>
      <x:c r="K607" s="25" t="str">
        <x:v>Exclude: adjacent/redundant or insufficiently theory-generative for DC1</x:v>
      </x:c>
    </x:row>
    <x:row r="608">
      <x:c r="A608" s="20" t="str">
        <x:v>R0604</x:v>
      </x:c>
      <x:c r="B608" s="25" t="str">
        <x:v>Pengembangan Metode Kansei Engineering dan Design with Intent (DwI) untuk Meningkatkan Respons Emosi Positif dan Daya Persuasif  Tampilan User Interface</x:v>
      </x:c>
      <x:c r="C608" s="25" t="n">
        <x:v>2025</x:v>
      </x:c>
      <x:c r="D608" s="25" t="str">
        <x:v>Leotan Saputra; Thedy Yogasara</x:v>
      </x:c>
      <x:c r="E608" s="25" t="str">
        <x:v>Jurnal Rekayasa Sistem Industri</x:v>
      </x:c>
      <x:c r="F608" s="25" t="str">
        <x:v>10.26593/jrsi.v14i1.8270.112-121</x:v>
      </x:c>
      <x:c r="G608" s="25" t="str">
        <x:v>https://doi.org/10.26593/jrsi.v14i1.8270.112-121</x:v>
      </x:c>
      <x:c r="H608" s="25" t="str">
        <x:v>Crossref</x:v>
      </x:c>
      <x:c r="I608" s="25" t="str">
        <x:v>C2_interaction_signals</x:v>
      </x:c>
      <x:c r="J608" s="25" t="str">
        <x:v>Exclude</x:v>
      </x:c>
      <x:c r="K608" s="25" t="str">
        <x:v>Exclude: adjacent/redundant or insufficiently theory-generative for DC1</x:v>
      </x:c>
    </x:row>
    <x:row r="609">
      <x:c r="A609" s="20" t="str">
        <x:v>R0605</x:v>
      </x:c>
      <x:c r="B609" s="25" t="str">
        <x:v>Perceived Authenticity and Consumer Response to AI-Generated Content: A Human–AI Co-Creation Perspective</x:v>
      </x:c>
      <x:c r="C609" s="25" t="n">
        <x:v>2026</x:v>
      </x:c>
      <x:c r="D609" s="25" t="str">
        <x:v>Euis Bandawaty</x:v>
      </x:c>
      <x:c r="E609" s="25" t="str">
        <x:v>Manexia: Journal of Business, Management, and Creative Economy</x:v>
      </x:c>
      <x:c r="F609" s="25" t="str">
        <x:v>10.66203/manexia.02205</x:v>
      </x:c>
      <x:c r="G609" s="25" t="str">
        <x:v>https://doi.org/10.66203/manexia.02205</x:v>
      </x:c>
      <x:c r="H609" s="25" t="str">
        <x:v>Crossref</x:v>
      </x:c>
      <x:c r="I609" s="25" t="str">
        <x:v>C7_creative_agency</x:v>
      </x:c>
      <x:c r="J609" s="25" t="str">
        <x:v>Exclude</x:v>
      </x:c>
      <x:c r="K609" s="25" t="str">
        <x:v>Exclude: domain-specific signal model without transferable HCI theory</x:v>
      </x:c>
    </x:row>
    <x:row r="610">
      <x:c r="A610" s="20" t="str">
        <x:v>R0606</x:v>
      </x:c>
      <x:c r="B610" s="25" t="str">
        <x:v>Personal Autonomy and Machine Autonomy in Human–Robot Interaction</x:v>
      </x:c>
      <x:c r="C610" s="25" t="n">
        <x:v>2024</x:v>
      </x:c>
      <x:c r="D610" s="25" t="str">
        <x:v>Satoshi Narihara</x:v>
      </x:c>
      <x:c r="E610" s="25" t="str">
        <x:v>The Cambridge Handbook of the Law, Policy, and Regulation for Human–Robot Interaction</x:v>
      </x:c>
      <x:c r="F610" s="25" t="str">
        <x:v>10.1017/9781009386708.034</x:v>
      </x:c>
      <x:c r="G610" s="25" t="str">
        <x:v>https://doi.org/10.1017/9781009386708.034</x:v>
      </x:c>
      <x:c r="H610" s="25" t="str">
        <x:v>Crossref</x:v>
      </x:c>
      <x:c r="I610" s="25" t="str">
        <x:v>C4_uncertainty_shared_autonomy</x:v>
      </x:c>
      <x:c r="J610" s="25" t="str">
        <x:v>Exclude</x:v>
      </x:c>
      <x:c r="K610" s="25" t="str">
        <x:v>Exclude: adjacent/redundant or insufficiently theory-generative for DC1</x:v>
      </x:c>
    </x:row>
    <x:row r="611">
      <x:c r="A611" s="20" t="str">
        <x:v>R0607</x:v>
      </x:c>
      <x:c r="B611" s="25" t="str">
        <x:v>PersonalAlign: Hierarchical Implicit Intent Alignment for Personalized GUI Agent with Long-Term User-Centric Records</x:v>
      </x:c>
      <x:c r="C611" s="25" t="n">
        <x:v>2026</x:v>
      </x:c>
      <x:c r="D611" s="25" t="str">
        <x:v>Yibo Lyu; Gongwei Chen; Rui Shao; Weili Guan; Liqiang Nie</x:v>
      </x:c>
      <x:c r="E611" s="25" t="str">
        <x:v>Proceedings of the 64th Annual Meeting of the Association for Computational Linguistics (Volume 1: Long Papers)</x:v>
      </x:c>
      <x:c r="F611" s="25" t="str">
        <x:v>10.18653/v1/2026.acl-long.1669</x:v>
      </x:c>
      <x:c r="G611" s="25" t="str">
        <x:v>https://doi.org/10.18653/v1/2026.acl-long.1669</x:v>
      </x:c>
      <x:c r="H611" s="25" t="str">
        <x:v>Crossref</x:v>
      </x:c>
      <x:c r="I611" s="25" t="str">
        <x:v>C6_frontend_GUI_intent</x:v>
      </x:c>
      <x:c r="J611" s="25" t="str">
        <x:v>Exclude</x:v>
      </x:c>
      <x:c r="K611" s="25" t="str">
        <x:v>Exclude: adjacent/redundant or insufficiently theory-generative for DC1</x:v>
      </x:c>
    </x:row>
    <x:row r="612">
      <x:c r="A612" s="20" t="str">
        <x:v>R0608</x:v>
      </x:c>
      <x:c r="B612" s="25" t="str">
        <x:v>Personality</x:v>
      </x:c>
      <x:c r="C612" s="25" t="n">
        <x:v>2018</x:v>
      </x:c>
      <x:c r="D612" s="25" t="str">
        <x:v>Ritwik Dasgupta</x:v>
      </x:c>
      <x:c r="E612" s="25" t="str">
        <x:v>Voice User Interface Design</x:v>
      </x:c>
      <x:c r="F612" s="25" t="str">
        <x:v>10.1007/978-1-4842-4125-7_3</x:v>
      </x:c>
      <x:c r="G612" s="25" t="str">
        <x:v>https://doi.org/10.1007/978-1-4842-4125-7_3</x:v>
      </x:c>
      <x:c r="H612" s="25" t="str">
        <x:v>Crossref</x:v>
      </x:c>
      <x:c r="I612" s="25" t="str">
        <x:v>C6_frontend_GUI_intent</x:v>
      </x:c>
      <x:c r="J612" s="25" t="str">
        <x:v>Exclude</x:v>
      </x:c>
      <x:c r="K612" s="25" t="str">
        <x:v>Exclude: topic mismatch</x:v>
      </x:c>
    </x:row>
    <x:row r="613">
      <x:c r="A613" s="20" t="str">
        <x:v>R0609</x:v>
      </x:c>
      <x:c r="B613" s="25" t="str">
        <x:v>Poster: Auditory feedback of contact state during object manipulation</x:v>
      </x:c>
      <x:c r="C613" s="25" t="n">
        <x:v>2013</x:v>
      </x:c>
      <x:c r="D613" s="25" t="str">
        <x:v>Xiaoshu Zhou; Koichi Hirota</x:v>
      </x:c>
      <x:c r="E613" s="25" t="str">
        <x:v>2013 IEEE Symposium on 3D User Interfaces (3DUI)</x:v>
      </x:c>
      <x:c r="F613" s="25" t="str">
        <x:v>10.1109/3dui.2013.6550240</x:v>
      </x:c>
      <x:c r="G613" s="25" t="str">
        <x:v>https://doi.org/10.1109/3dui.2013.6550240</x:v>
      </x:c>
      <x:c r="H613" s="25" t="str">
        <x:v>Crossref</x:v>
      </x:c>
      <x:c r="I613" s="25" t="str">
        <x:v>C1_3D_mental_models</x:v>
      </x:c>
      <x:c r="J613" s="25" t="str">
        <x:v>Exclude</x:v>
      </x:c>
      <x:c r="K613" s="25" t="str">
        <x:v>Exclude: adjacent/redundant or insufficiently theory-generative for DC1</x:v>
      </x:c>
    </x:row>
    <x:row r="614">
      <x:c r="A614" s="20" t="str">
        <x:v>R0610</x:v>
      </x:c>
      <x:c r="B614" s="25" t="str">
        <x:v>Principles of VUI</x:v>
      </x:c>
      <x:c r="C614" s="25" t="n">
        <x:v>2018</x:v>
      </x:c>
      <x:c r="D614" s="25" t="str">
        <x:v>Ritwik Dasgupta</x:v>
      </x:c>
      <x:c r="E614" s="25" t="str">
        <x:v>Voice User Interface Design</x:v>
      </x:c>
      <x:c r="F614" s="25" t="str">
        <x:v>10.1007/978-1-4842-4125-7_2</x:v>
      </x:c>
      <x:c r="G614" s="25" t="str">
        <x:v>https://doi.org/10.1007/978-1-4842-4125-7_2</x:v>
      </x:c>
      <x:c r="H614" s="25" t="str">
        <x:v>Crossref</x:v>
      </x:c>
      <x:c r="I614" s="25" t="str">
        <x:v>C6_frontend_GUI_intent</x:v>
      </x:c>
      <x:c r="J614" s="25" t="str">
        <x:v>Exclude</x:v>
      </x:c>
      <x:c r="K614" s="25" t="str">
        <x:v>Exclude: topic mismatch</x:v>
      </x:c>
    </x:row>
    <x:row r="615">
      <x:c r="A615" s="20" t="str">
        <x:v>R0611</x:v>
      </x:c>
      <x:c r="B615" s="25" t="str">
        <x:v>Probabilistic Interfaces and Inference of Intent</x:v>
      </x:c>
      <x:c r="C615" s="25" t="n">
        <x:v>2022</x:v>
      </x:c>
      <x:c r="D615" s="25" t="str"/>
      <x:c r="E615" s="25" t="str">
        <x:v>Bayesian Methods for Interaction and Design</x:v>
      </x:c>
      <x:c r="F615" s="25" t="str">
        <x:v>10.1017/9781108874830.005</x:v>
      </x:c>
      <x:c r="G615" s="25" t="str">
        <x:v>https://doi.org/10.1017/9781108874830.005</x:v>
      </x:c>
      <x:c r="H615" s="25" t="str">
        <x:v>Crossref</x:v>
      </x:c>
      <x:c r="I615" s="25" t="str">
        <x:v>C2_interaction_signals; C4_uncertainty_shared_autonomy; C6_frontend_GUI_intent</x:v>
      </x:c>
      <x:c r="J615" s="25" t="str">
        <x:v>Exclude</x:v>
      </x:c>
      <x:c r="K615" s="25" t="str">
        <x:v>Exclude: adjacent/redundant or insufficiently theory-generative for DC1</x:v>
      </x:c>
    </x:row>
    <x:row r="616">
      <x:c r="A616" s="20" t="str">
        <x:v>R0612</x:v>
      </x:c>
      <x:c r="B616" s="25" t="str">
        <x:v>PyFLOTRAN-GUI. A Graphical User Interface for PFLOTRAN</x:v>
      </x:c>
      <x:c r="C616" s="25" t="n">
        <x:v>2015</x:v>
      </x:c>
      <x:c r="D616" s="25" t="str">
        <x:v>M. Islam</x:v>
      </x:c>
      <x:c r="E616" s="25" t="str"/>
      <x:c r="F616" s="25" t="str">
        <x:v>10.2172/1212623</x:v>
      </x:c>
      <x:c r="G616" s="25" t="str">
        <x:v>https://doi.org/10.2172/1212623</x:v>
      </x:c>
      <x:c r="H616" s="25" t="str">
        <x:v>Crossref</x:v>
      </x:c>
      <x:c r="I616" s="25" t="str">
        <x:v>C6_frontend_GUI_intent</x:v>
      </x:c>
      <x:c r="J616" s="25" t="str">
        <x:v>Exclude</x:v>
      </x:c>
      <x:c r="K616" s="25" t="str">
        <x:v>Exclude: topic mismatch</x:v>
      </x:c>
    </x:row>
    <x:row r="617">
      <x:c r="A617" s="20" t="str">
        <x:v>R0613</x:v>
      </x:c>
      <x:c r="B617" s="25" t="str">
        <x:v>PyMem: A Graphical User Interface Tool for Neuro-Memristive Hardware-Software Co-design_supp1-3363093.pdf</x:v>
      </x:c>
      <x:c r="C617" s="25" t="str"/>
      <x:c r="D617" s="25" t="str">
        <x:v>Alex James</x:v>
      </x:c>
      <x:c r="E617" s="25" t="str"/>
      <x:c r="F617" s="25" t="str">
        <x:v>10.1109/ojies.2024.3363093/mm1</x:v>
      </x:c>
      <x:c r="G617" s="25" t="str">
        <x:v>https://doi.org/10.1109/ojies.2024.3363093/mm1</x:v>
      </x:c>
      <x:c r="H617" s="25" t="str">
        <x:v>Crossref</x:v>
      </x:c>
      <x:c r="I617" s="25" t="str">
        <x:v>C6_frontend_GUI_intent</x:v>
      </x:c>
      <x:c r="J617" s="25" t="str">
        <x:v>Exclude</x:v>
      </x:c>
      <x:c r="K617" s="25" t="str">
        <x:v>Exclude: topic mismatch</x:v>
      </x:c>
    </x:row>
    <x:row r="618">
      <x:c r="A618" s="20" t="str">
        <x:v>R0614</x:v>
      </x:c>
      <x:c r="B618" s="25" t="str">
        <x:v>RGBD based 3D geometric modeling and semantic understanding</x:v>
      </x:c>
      <x:c r="C618" s="25" t="str"/>
      <x:c r="D618" s="25" t="str">
        <x:v>Lei Han</x:v>
      </x:c>
      <x:c r="E618" s="25" t="str"/>
      <x:c r="F618" s="25" t="str">
        <x:v>10.14711/thesis-991012879762703412</x:v>
      </x:c>
      <x:c r="G618" s="25" t="str">
        <x:v>https://doi.org/10.14711/thesis-991012879762703412</x:v>
      </x:c>
      <x:c r="H618" s="25" t="str">
        <x:v>Crossref</x:v>
      </x:c>
      <x:c r="I618" s="25" t="str">
        <x:v>C8_AI_3D_authoring</x:v>
      </x:c>
      <x:c r="J618" s="25" t="str">
        <x:v>Exclude</x:v>
      </x:c>
      <x:c r="K618" s="25" t="str">
        <x:v>Exclude: adjacent/redundant or insufficiently theory-generative for DC1</x:v>
      </x:c>
    </x:row>
    <x:row r="619">
      <x:c r="A619" s="20" t="str">
        <x:v>R0615</x:v>
      </x:c>
      <x:c r="B619" s="25" t="str">
        <x:v>ROBOTIC AUTONOMY</x:v>
      </x:c>
      <x:c r="C619" s="25" t="n">
        <x:v>2004</x:v>
      </x:c>
      <x:c r="D619" s="25" t="str"/>
      <x:c r="E619" s="25" t="str">
        <x:v>Human-robot Interaction</x:v>
      </x:c>
      <x:c r="F619" s="25" t="str">
        <x:v>10.1201/9781482269567-7</x:v>
      </x:c>
      <x:c r="G619" s="25" t="str">
        <x:v>https://doi.org/10.1201/9781482269567-7</x:v>
      </x:c>
      <x:c r="H619" s="25" t="str">
        <x:v>Crossref</x:v>
      </x:c>
      <x:c r="I619" s="25" t="str">
        <x:v>C4_uncertainty_shared_autonomy</x:v>
      </x:c>
      <x:c r="J619" s="25" t="str">
        <x:v>Exclude</x:v>
      </x:c>
      <x:c r="K619" s="25" t="str">
        <x:v>Exclude: adjacent/redundant or insufficiently theory-generative for DC1</x:v>
      </x:c>
    </x:row>
    <x:row r="620">
      <x:c r="A620" s="20" t="str">
        <x:v>R0616</x:v>
      </x:c>
      <x:c r="B620" s="25" t="str">
        <x:v>Real-Time Semantic Maps from Stereo</x:v>
      </x:c>
      <x:c r="C620" s="25" t="n">
        <x:v>2013</x:v>
      </x:c>
      <x:c r="D620" s="25" t="str">
        <x:v>Radu Bogdan Rusu</x:v>
      </x:c>
      <x:c r="E620" s="25" t="str">
        <x:v>Springer Tracts in Advanced Robotics</x:v>
      </x:c>
      <x:c r="F620" s="25" t="str">
        <x:v>10.1007/978-3-642-35479-3_12</x:v>
      </x:c>
      <x:c r="G620" s="25" t="str">
        <x:v>https://doi.org/10.1007/978-3-642-35479-3_12</x:v>
      </x:c>
      <x:c r="H620" s="25" t="str">
        <x:v>Crossref</x:v>
      </x:c>
      <x:c r="I620" s="25" t="str">
        <x:v>C8_AI_3D_authoring</x:v>
      </x:c>
      <x:c r="J620" s="25" t="str">
        <x:v>Exclude</x:v>
      </x:c>
      <x:c r="K620" s="25" t="str">
        <x:v>Exclude: topic mismatch</x:v>
      </x:c>
    </x:row>
    <x:row r="621">
      <x:c r="A621" s="20" t="str">
        <x:v>R0617</x:v>
      </x:c>
      <x:c r="B621" s="25" t="str">
        <x:v>Robotics and AI tools as a Scaffold for Co-Creation In Makerspaces</x:v>
      </x:c>
      <x:c r="C621" s="25" t="n">
        <x:v>2025</x:v>
      </x:c>
      <x:c r="D621" s="25" t="str">
        <x:v>Christine Marcelino</x:v>
      </x:c>
      <x:c r="E621" s="25" t="str">
        <x:v>IJAMM</x:v>
      </x:c>
      <x:c r="F621" s="25" t="str">
        <x:v>10.21428/70cb44c5.f3806085</x:v>
      </x:c>
      <x:c r="G621" s="25" t="str">
        <x:v>https://doi.org/10.21428/70cb44c5.f3806085</x:v>
      </x:c>
      <x:c r="H621" s="25" t="str">
        <x:v>Crossref</x:v>
      </x:c>
      <x:c r="I621" s="25" t="str">
        <x:v>C3_mixed_initiative_cocreation; C7_creative_agency</x:v>
      </x:c>
      <x:c r="J621" s="25" t="str">
        <x:v>Exclude</x:v>
      </x:c>
      <x:c r="K621" s="25" t="str">
        <x:v>Exclude: topic mismatch</x:v>
      </x:c>
    </x:row>
    <x:row r="622">
      <x:c r="A622" s="20" t="str">
        <x:v>R0618</x:v>
      </x:c>
      <x:c r="B622" s="25" t="str">
        <x:v>Safety for Human-Robot Interaction with a Shared Autonomy</x:v>
      </x:c>
      <x:c r="C622" s="25" t="n">
        <x:v>2024</x:v>
      </x:c>
      <x:c r="D622" s="25" t="str">
        <x:v>S A Tafrishi; A A Ravankar; Y Hirata</x:v>
      </x:c>
      <x:c r="E622" s="25" t="str">
        <x:v>Proceedings of the Cardiff University Engineering Research Conference 2023</x:v>
      </x:c>
      <x:c r="F622" s="25" t="str">
        <x:v>10.18573/conf1.v</x:v>
      </x:c>
      <x:c r="G622" s="25" t="str">
        <x:v>https://doi.org/10.18573/conf1.v</x:v>
      </x:c>
      <x:c r="H622" s="25" t="str">
        <x:v>Crossref</x:v>
      </x:c>
      <x:c r="I622" s="25" t="str">
        <x:v>C4_uncertainty_shared_autonomy</x:v>
      </x:c>
      <x:c r="J622" s="25" t="str">
        <x:v>Exclude</x:v>
      </x:c>
      <x:c r="K622" s="25" t="str">
        <x:v>Exclude: adjacent/redundant or insufficiently theory-generative for DC1</x:v>
      </x:c>
    </x:row>
    <x:row r="623">
      <x:c r="A623" s="20" t="str">
        <x:v>R0619</x:v>
      </x:c>
      <x:c r="B623" s="25" t="str">
        <x:v>Seamless interaction in VR: decoding user intent with eye gaze and passive brain–computer interfaces</x:v>
      </x:c>
      <x:c r="C623" s="25" t="n">
        <x:v>2026</x:v>
      </x:c>
      <x:c r="D623" s="25" t="str">
        <x:v>Yanzhao Pan; Lea Rabe; Thorsten O Zander; Marius Klug</x:v>
      </x:c>
      <x:c r="E623" s="25" t="str"/>
      <x:c r="F623" s="25" t="str">
        <x:v>10.64898/2026.07.06.736575</x:v>
      </x:c>
      <x:c r="G623" s="25" t="str">
        <x:v>https://doi.org/10.64898/2026.07.06.736575</x:v>
      </x:c>
      <x:c r="H623" s="25" t="str">
        <x:v>Crossref</x:v>
      </x:c>
      <x:c r="I623" s="25" t="str">
        <x:v>C2_interaction_signals</x:v>
      </x:c>
      <x:c r="J623" s="25" t="str">
        <x:v>Exclude</x:v>
      </x:c>
      <x:c r="K623" s="25" t="str">
        <x:v>Exclude: domain-specific signal model without transferable HCI theory</x:v>
      </x:c>
    </x:row>
    <x:row r="624">
      <x:c r="A624" s="20" t="str">
        <x:v>R0620</x:v>
      </x:c>
      <x:c r="B624" s="25" t="str">
        <x:v>Semantic Navigation for AI-assisted Ideation</x:v>
      </x:c>
      <x:c r="C624" s="25" t="n">
        <x:v>2024</x:v>
      </x:c>
      <x:c r="D624" s="25" t="str">
        <x:v>Thomas Sandholm; Sarah Dong; Sayandev Mukherjee; John Feland; Bernardo A Huberman</x:v>
      </x:c>
      <x:c r="E624" s="25" t="str"/>
      <x:c r="F624" s="25" t="str">
        <x:v>10.36227/techrxiv.173153444.41232508/v1</x:v>
      </x:c>
      <x:c r="G624" s="25" t="str">
        <x:v>https://doi.org/10.36227/techrxiv.173153444.41232508/v1</x:v>
      </x:c>
      <x:c r="H624" s="25" t="str">
        <x:v>Crossref</x:v>
      </x:c>
      <x:c r="I624" s="25" t="str">
        <x:v>C8_AI_3D_authoring</x:v>
      </x:c>
      <x:c r="J624" s="25" t="str">
        <x:v>Exclude</x:v>
      </x:c>
      <x:c r="K624" s="25" t="str">
        <x:v>Exclude: topic mismatch</x:v>
      </x:c>
    </x:row>
    <x:row r="625">
      <x:c r="A625" s="20" t="str">
        <x:v>R0621</x:v>
      </x:c>
      <x:c r="B625" s="25" t="str">
        <x:v>Semantic and episodic memory retrieval as internal attention</x:v>
      </x:c>
      <x:c r="C625" s="25" t="n">
        <x:v>2026</x:v>
      </x:c>
      <x:c r="D625" s="25" t="str">
        <x:v>Matthew Bair; Nicole Long</x:v>
      </x:c>
      <x:c r="E625" s="25" t="str">
        <x:v>JoCN Forum</x:v>
      </x:c>
      <x:c r="F625" s="25" t="str">
        <x:v>10.21428/8e6ba8ef.9107ffd6</x:v>
      </x:c>
      <x:c r="G625" s="25" t="str">
        <x:v>https://doi.org/10.21428/8e6ba8ef.9107ffd6</x:v>
      </x:c>
      <x:c r="H625" s="25" t="str">
        <x:v>Crossref</x:v>
      </x:c>
      <x:c r="I625" s="25" t="str">
        <x:v>C5_agent_memory</x:v>
      </x:c>
      <x:c r="J625" s="25" t="str">
        <x:v>Exclude</x:v>
      </x:c>
      <x:c r="K625" s="25" t="str">
        <x:v>Exclude: adjacent/redundant or insufficiently theory-generative for DC1</x:v>
      </x:c>
    </x:row>
    <x:row r="626">
      <x:c r="A626" s="20" t="str">
        <x:v>R0622</x:v>
      </x:c>
      <x:c r="B626" s="25" t="str">
        <x:v>Shared Autonomy and Teleoperation</x:v>
      </x:c>
      <x:c r="C626" s="25" t="n">
        <x:v>2017</x:v>
      </x:c>
      <x:c r="D626" s="25" t="str">
        <x:v>Takayuki Kanda; Hiroshi Ishiguro</x:v>
      </x:c>
      <x:c r="E626" s="25" t="str">
        <x:v>Human-Robot Interaction in Social Robotics</x:v>
      </x:c>
      <x:c r="F626" s="25" t="str">
        <x:v>10.1201/b13004-6</x:v>
      </x:c>
      <x:c r="G626" s="25" t="str">
        <x:v>https://doi.org/10.1201/b13004-6</x:v>
      </x:c>
      <x:c r="H626" s="25" t="str">
        <x:v>Crossref</x:v>
      </x:c>
      <x:c r="I626" s="25" t="str">
        <x:v>C4_uncertainty_shared_autonomy</x:v>
      </x:c>
      <x:c r="J626" s="25" t="str">
        <x:v>Exclude</x:v>
      </x:c>
      <x:c r="K626" s="25" t="str">
        <x:v>Exclude: adjacent/redundant or insufficiently theory-generative for DC1</x:v>
      </x:c>
    </x:row>
    <x:row r="627">
      <x:c r="A627" s="20" t="str">
        <x:v>R0623</x:v>
      </x:c>
      <x:c r="B627" s="25" t="str">
        <x:v>Shared Autonomy of a Robotic Manipulator for Grasping under Human Intent Uncertainty using POMDPs_supp1-3334631.mp4</x:v>
      </x:c>
      <x:c r="C627" s="25" t="str"/>
      <x:c r="D627" s="25" t="str">
        <x:v>J-Anne Yow</x:v>
      </x:c>
      <x:c r="E627" s="25" t="str"/>
      <x:c r="F627" s="25" t="str">
        <x:v>10.1109/tro.2023.3334631/mm1</x:v>
      </x:c>
      <x:c r="G627" s="25" t="str">
        <x:v>https://doi.org/10.1109/tro.2023.3334631/mm1</x:v>
      </x:c>
      <x:c r="H627" s="25" t="str">
        <x:v>Crossref</x:v>
      </x:c>
      <x:c r="I627" s="25" t="str">
        <x:v>C4_uncertainty_shared_autonomy</x:v>
      </x:c>
      <x:c r="J627" s="25" t="str">
        <x:v>Exclude</x:v>
      </x:c>
      <x:c r="K627" s="25" t="str">
        <x:v>Exclude: adjacent/redundant or insufficiently theory-generative for DC1</x:v>
      </x:c>
    </x:row>
    <x:row r="628">
      <x:c r="A628" s="20" t="str">
        <x:v>R0624</x:v>
      </x:c>
      <x:c r="B628" s="25" t="str">
        <x:v>Shared-autonomy control for improving Human-Robot collaboration in haptic teleoperation</x:v>
      </x:c>
      <x:c r="C628" s="25" t="str"/>
      <x:c r="D628" s="25" t="str">
        <x:v>; Elio Jabbour</x:v>
      </x:c>
      <x:c r="E628" s="25" t="str"/>
      <x:c r="F628" s="25" t="str">
        <x:v>10.70675/53c62ad1z37cbz4f1fz9b0cz76870058cc4f</x:v>
      </x:c>
      <x:c r="G628" s="25" t="str">
        <x:v>https://doi.org/10.70675/53c62ad1z37cbz4f1fz9b0cz76870058cc4f</x:v>
      </x:c>
      <x:c r="H628" s="25" t="str">
        <x:v>Crossref</x:v>
      </x:c>
      <x:c r="I628" s="25" t="str">
        <x:v>C4_uncertainty_shared_autonomy</x:v>
      </x:c>
      <x:c r="J628" s="25" t="str">
        <x:v>Exclude</x:v>
      </x:c>
      <x:c r="K628" s="25" t="str">
        <x:v>Exclude: adjacent/redundant or insufficiently theory-generative for DC1</x:v>
      </x:c>
    </x:row>
    <x:row r="629">
      <x:c r="A629" s="20" t="str">
        <x:v>R0625</x:v>
      </x:c>
      <x:c r="B629" s="25" t="str">
        <x:v>Studies on user intent analysis and mining</x:v>
      </x:c>
      <x:c r="C629" s="25" t="str"/>
      <x:c r="D629" s="25" t="str">
        <x:v>; Yue Shang; Xiaohua Hu</x:v>
      </x:c>
      <x:c r="E629" s="25" t="str"/>
      <x:c r="F629" s="25" t="str">
        <x:v>10.17918/etd-7659</x:v>
      </x:c>
      <x:c r="G629" s="25" t="str">
        <x:v>https://doi.org/10.17918/etd-7659</x:v>
      </x:c>
      <x:c r="H629" s="25" t="str">
        <x:v>Crossref</x:v>
      </x:c>
      <x:c r="I629" s="25" t="str">
        <x:v>C2_interaction_signals</x:v>
      </x:c>
      <x:c r="J629" s="25" t="str">
        <x:v>Exclude</x:v>
      </x:c>
      <x:c r="K629" s="25" t="str">
        <x:v>Exclude: adjacent/redundant or insufficiently theory-generative for DC1</x:v>
      </x:c>
    </x:row>
    <x:row r="630">
      <x:c r="A630" s="20" t="str">
        <x:v>R0626</x:v>
      </x:c>
      <x:c r="B630" s="25" t="str">
        <x:v>Supplemental Material for Semantic Integration as a Boundary Condition on Inhibitory Processes in Episodic Retrieval</x:v>
      </x:c>
      <x:c r="C630" s="25" t="n">
        <x:v>2011</x:v>
      </x:c>
      <x:c r="D630" s="25" t="str"/>
      <x:c r="E630" s="25" t="str">
        <x:v>Journal of Experimental Psychology: Learning, Memory, and Cognition</x:v>
      </x:c>
      <x:c r="F630" s="25" t="str">
        <x:v>10.1037/a0021963.supp</x:v>
      </x:c>
      <x:c r="G630" s="25" t="str">
        <x:v>https://doi.org/10.1037/a0021963.supp</x:v>
      </x:c>
      <x:c r="H630" s="25" t="str">
        <x:v>Crossref</x:v>
      </x:c>
      <x:c r="I630" s="25" t="str">
        <x:v>C5_agent_memory</x:v>
      </x:c>
      <x:c r="J630" s="25" t="str">
        <x:v>Exclude</x:v>
      </x:c>
      <x:c r="K630" s="25" t="str">
        <x:v>Exclude: topic mismatch</x:v>
      </x:c>
    </x:row>
    <x:row r="631">
      <x:c r="A631" s="20" t="str">
        <x:v>R0627</x:v>
      </x:c>
      <x:c r="B631" s="25" t="str">
        <x:v>Synergizing Natural Language Towards Enhanced Shared Autonomy</x:v>
      </x:c>
      <x:c r="C631" s="25" t="n">
        <x:v>2024</x:v>
      </x:c>
      <x:c r="D631" s="25" t="str">
        <x:v>Shalutha Rajapakshe; Atharva Dastenavar; André Schakkal; Emmanuel Senft</x:v>
      </x:c>
      <x:c r="E631" s="25" t="str">
        <x:v>Companion of the 2024 ACM/IEEE International Conference on Human-Robot Interaction</x:v>
      </x:c>
      <x:c r="F631" s="25" t="str">
        <x:v>10.1145/3610978.3640720</x:v>
      </x:c>
      <x:c r="G631" s="25" t="str">
        <x:v>https://doi.org/10.1145/3610978.3640720</x:v>
      </x:c>
      <x:c r="H631" s="25" t="str">
        <x:v>Crossref</x:v>
      </x:c>
      <x:c r="I631" s="25" t="str">
        <x:v>C4_uncertainty_shared_autonomy</x:v>
      </x:c>
      <x:c r="J631" s="25" t="str">
        <x:v>Exclude</x:v>
      </x:c>
      <x:c r="K631" s="25" t="str">
        <x:v>Exclude: adjacent/redundant or insufficiently theory-generative for DC1</x:v>
      </x:c>
    </x:row>
    <x:row r="632">
      <x:c r="A632" s="20" t="str">
        <x:v>R0628</x:v>
      </x:c>
      <x:c r="B632" s="25" t="str">
        <x:v>TOWARDS DIRECT SPATIAL MANIPULATION OF VIRTUAL 3D OBJECTS USING VISUAL TRACKING AND GESTURE RECOGNITION OF UNMARKED HANDS</x:v>
      </x:c>
      <x:c r="C632" s="25" t="str"/>
      <x:c r="D632" s="25" t="str">
        <x:v>SINISA KOLARIC</x:v>
      </x:c>
      <x:c r="E632" s="25" t="str"/>
      <x:c r="F632" s="25" t="str">
        <x:v>10.17771/pucrio.acad.12443</x:v>
      </x:c>
      <x:c r="G632" s="25" t="str">
        <x:v>https://doi.org/10.17771/pucrio.acad.12443</x:v>
      </x:c>
      <x:c r="H632" s="25" t="str">
        <x:v>Crossref</x:v>
      </x:c>
      <x:c r="I632" s="25" t="str">
        <x:v>C1_3D_mental_models; C8_AI_3D_authoring</x:v>
      </x:c>
      <x:c r="J632" s="25" t="str">
        <x:v>Exclude</x:v>
      </x:c>
      <x:c r="K632" s="25" t="str">
        <x:v>Exclude: adjacent/redundant or insufficiently theory-generative for DC1</x:v>
      </x:c>
    </x:row>
    <x:row r="633">
      <x:c r="A633" s="20" t="str">
        <x:v>R0629</x:v>
      </x:c>
      <x:c r="B633" s="25" t="str">
        <x:v>Table 3: Metrics about psychometric predicted validity of the Episodix, semantic memory and procedural memory games.</x:v>
      </x:c>
      <x:c r="C633" s="25" t="str"/>
      <x:c r="D633" s="25" t="str"/>
      <x:c r="E633" s="25" t="str"/>
      <x:c r="F633" s="25" t="str">
        <x:v>10.7717/peerj.5478/table-3</x:v>
      </x:c>
      <x:c r="G633" s="25" t="str">
        <x:v>https://doi.org/10.7717/peerj.5478/table-3</x:v>
      </x:c>
      <x:c r="H633" s="25" t="str">
        <x:v>Crossref</x:v>
      </x:c>
      <x:c r="I633" s="25" t="str">
        <x:v>C5_agent_memory</x:v>
      </x:c>
      <x:c r="J633" s="25" t="str">
        <x:v>Exclude</x:v>
      </x:c>
      <x:c r="K633" s="25" t="str">
        <x:v>Exclude: adjacent/redundant or insufficiently theory-generative for DC1</x:v>
      </x:c>
    </x:row>
    <x:row r="634">
      <x:c r="A634" s="20" t="str">
        <x:v>R0630</x:v>
      </x:c>
      <x:c r="B634" s="25" t="str">
        <x:v>Tangible interface for 3D object manipulation in public exhibitions</x:v>
      </x:c>
      <x:c r="C634" s="25" t="n">
        <x:v>2017</x:v>
      </x:c>
      <x:c r="D634" s="25" t="str">
        <x:v>F. Rayar</x:v>
      </x:c>
      <x:c r="E634" s="25" t="str">
        <x:v>Proceedings of the 29th Conference on l'Interaction Homme-Machine</x:v>
      </x:c>
      <x:c r="F634" s="25" t="str">
        <x:v>10.1145/3132129.3132149</x:v>
      </x:c>
      <x:c r="G634" s="25" t="str">
        <x:v>https://doi.org/10.1145/3132129.3132149</x:v>
      </x:c>
      <x:c r="H634" s="25" t="str">
        <x:v>Crossref</x:v>
      </x:c>
      <x:c r="I634" s="25" t="str">
        <x:v>C1_3D_mental_models</x:v>
      </x:c>
      <x:c r="J634" s="25" t="str">
        <x:v>Exclude</x:v>
      </x:c>
      <x:c r="K634" s="25" t="str">
        <x:v>Exclude: adjacent/redundant or insufficiently theory-generative for DC1</x:v>
      </x:c>
    </x:row>
    <x:row r="635">
      <x:c r="A635" s="20" t="str">
        <x:v>R0631</x:v>
      </x:c>
      <x:c r="B635" s="25" t="str">
        <x:v>The Alignment Paradox: A Semantic Reframing of AI-Human Co-Creation</x:v>
      </x:c>
      <x:c r="C635" s="25" t="n">
        <x:v>2025</x:v>
      </x:c>
      <x:c r="D635" s="25" t="str">
        <x:v>Aura Biru</x:v>
      </x:c>
      <x:c r="E635" s="25" t="str"/>
      <x:c r="F635" s="25" t="str">
        <x:v>10.22541/au.175615724.42368859/v1</x:v>
      </x:c>
      <x:c r="G635" s="25" t="str">
        <x:v>https://doi.org/10.22541/au.175615724.42368859/v1</x:v>
      </x:c>
      <x:c r="H635" s="25" t="str">
        <x:v>Crossref</x:v>
      </x:c>
      <x:c r="I635" s="25" t="str">
        <x:v>C7_creative_agency</x:v>
      </x:c>
      <x:c r="J635" s="25" t="str">
        <x:v>Exclude</x:v>
      </x:c>
      <x:c r="K635" s="25" t="str">
        <x:v>Exclude: adjacent/redundant or insufficiently theory-generative for DC1</x:v>
      </x:c>
    </x:row>
    <x:row r="636">
      <x:c r="A636" s="20" t="str">
        <x:v>R0632</x:v>
      </x:c>
      <x:c r="B636" s="25" t="str">
        <x:v>The C.O. AI&amp;amp;amp;I; Model: A Dyadic Framework for Human-AI Co-Creation</x:v>
      </x:c>
      <x:c r="C636" s="25" t="n">
        <x:v>2025</x:v>
      </x:c>
      <x:c r="D636" s="25" t="str">
        <x:v>Smadar Baciu</x:v>
      </x:c>
      <x:c r="E636" s="25" t="str"/>
      <x:c r="F636" s="25" t="str">
        <x:v>10.2139/ssrn.5491272</x:v>
      </x:c>
      <x:c r="G636" s="25" t="str">
        <x:v>https://doi.org/10.2139/ssrn.5491272</x:v>
      </x:c>
      <x:c r="H636" s="25" t="str">
        <x:v>Crossref</x:v>
      </x:c>
      <x:c r="I636" s="25" t="str">
        <x:v>C7_creative_agency</x:v>
      </x:c>
      <x:c r="J636" s="25" t="str">
        <x:v>Exclude</x:v>
      </x:c>
      <x:c r="K636" s="25" t="str">
        <x:v>Exclude: topic mismatch</x:v>
      </x:c>
    </x:row>
    <x:row r="637">
      <x:c r="A637" s="20" t="str">
        <x:v>R0633</x:v>
      </x:c>
      <x:c r="B637" s="25" t="str">
        <x:v>The Collaboration Protocol: Silent Intent Inference as an Accountability Challenge in Human-LLM Interaction</x:v>
      </x:c>
      <x:c r="C637" s="25" t="n">
        <x:v>2026</x:v>
      </x:c>
      <x:c r="D637" s="25" t="str">
        <x:v>Mohamed Salama</x:v>
      </x:c>
      <x:c r="E637" s="25" t="str"/>
      <x:c r="F637" s="25" t="str">
        <x:v>10.36227/techrxiv.177006153.39365379/v1</x:v>
      </x:c>
      <x:c r="G637" s="25" t="str">
        <x:v>https://doi.org/10.36227/techrxiv.177006153.39365379/v1</x:v>
      </x:c>
      <x:c r="H637" s="25" t="str">
        <x:v>Crossref</x:v>
      </x:c>
      <x:c r="I637" s="25" t="str">
        <x:v>C2_interaction_signals; C4_uncertainty_shared_autonomy; C6_frontend_GUI_intent</x:v>
      </x:c>
      <x:c r="J637" s="25" t="str">
        <x:v>Exclude</x:v>
      </x:c>
      <x:c r="K637" s="25" t="str">
        <x:v>Exclude: adjacent/redundant or insufficiently theory-generative for DC1</x:v>
      </x:c>
    </x:row>
    <x:row r="638">
      <x:c r="A638" s="20" t="str">
        <x:v>R0634</x:v>
      </x:c>
      <x:c r="B638" s="25" t="str">
        <x:v>The Dilemmas of Moral Autonomy in the Transfer of Human Consciousness to AI</x:v>
      </x:c>
      <x:c r="C638" s="25" t="n">
        <x:v>2025</x:v>
      </x:c>
      <x:c r="D638" s="25" t="str">
        <x:v>Denis Chiriac</x:v>
      </x:c>
      <x:c r="E638" s="25" t="str">
        <x:v>Proceedings of the AAAI/ACM Conference on AI, Ethics, and Society</x:v>
      </x:c>
      <x:c r="F638" s="25" t="str">
        <x:v>10.1609/aies.v8i3.36770</x:v>
      </x:c>
      <x:c r="G638" s="25" t="str">
        <x:v>https://doi.org/10.1609/aies.v8i3.36770</x:v>
      </x:c>
      <x:c r="H638" s="25" t="str">
        <x:v>Crossref</x:v>
      </x:c>
      <x:c r="I638" s="25" t="str">
        <x:v>C9_human_agent_handoff</x:v>
      </x:c>
      <x:c r="J638" s="25" t="str">
        <x:v>Exclude</x:v>
      </x:c>
      <x:c r="K638" s="25" t="str">
        <x:v>Exclude: adjacent/redundant or insufficiently theory-generative for DC1</x:v>
      </x:c>
    </x:row>
    <x:row r="639">
      <x:c r="A639" s="20" t="str">
        <x:v>R0635</x:v>
      </x:c>
      <x:c r="B639" s="25" t="str">
        <x:v>The Driver and Its GUI (Graphical User Interface)</x:v>
      </x:c>
      <x:c r="C639" s="25" t="n">
        <x:v>2018</x:v>
      </x:c>
      <x:c r="D639" s="25" t="str">
        <x:v>Mikuláš Hajduk; Marek Sukop; Matthias Haun</x:v>
      </x:c>
      <x:c r="E639" s="25" t="str">
        <x:v>Studies in Systems, Decision and Control</x:v>
      </x:c>
      <x:c r="F639" s="25" t="str">
        <x:v>10.1007/978-3-319-93687-1_10</x:v>
      </x:c>
      <x:c r="G639" s="25" t="str">
        <x:v>https://doi.org/10.1007/978-3-319-93687-1_10</x:v>
      </x:c>
      <x:c r="H639" s="25" t="str">
        <x:v>Crossref</x:v>
      </x:c>
      <x:c r="I639" s="25" t="str">
        <x:v>C6_frontend_GUI_intent</x:v>
      </x:c>
      <x:c r="J639" s="25" t="str">
        <x:v>Exclude</x:v>
      </x:c>
      <x:c r="K639" s="25" t="str">
        <x:v>Exclude: topic mismatch</x:v>
      </x:c>
    </x:row>
    <x:row r="640">
      <x:c r="A640" s="20" t="str">
        <x:v>R0636</x:v>
      </x:c>
      <x:c r="B640" s="25" t="str">
        <x:v>The Dynamics of Semantic and Temporal Cuing During Episodic Memory Retrieval</x:v>
      </x:c>
      <x:c r="C640" s="25" t="n">
        <x:v>2008</x:v>
      </x:c>
      <x:c r="D640" s="25" t="str">
        <x:v>Per B. Sederberg; Kenneth A. Norman</x:v>
      </x:c>
      <x:c r="E640" s="25" t="str">
        <x:v>PsycEXTRA Dataset</x:v>
      </x:c>
      <x:c r="F640" s="25" t="str">
        <x:v>10.1037/e527312012-919</x:v>
      </x:c>
      <x:c r="G640" s="25" t="str">
        <x:v>https://doi.org/10.1037/e527312012-919</x:v>
      </x:c>
      <x:c r="H640" s="25" t="str">
        <x:v>Crossref</x:v>
      </x:c>
      <x:c r="I640" s="25" t="str">
        <x:v>C5_agent_memory</x:v>
      </x:c>
      <x:c r="J640" s="25" t="str">
        <x:v>Exclude</x:v>
      </x:c>
      <x:c r="K640" s="25" t="str">
        <x:v>Exclude: adjacent/redundant or insufficiently theory-generative for DC1</x:v>
      </x:c>
    </x:row>
    <x:row r="641">
      <x:c r="A641" s="20" t="str">
        <x:v>R0637</x:v>
      </x:c>
      <x:c r="B641" s="25" t="str">
        <x:v>The Meaning Audit Protocol (MAP): A Forensic Audit Method for Detecting Interpretive Authority Transfer in Human-AI Interaction</x:v>
      </x:c>
      <x:c r="C641" s="25" t="n">
        <x:v>2026</x:v>
      </x:c>
      <x:c r="D641" s="25" t="str">
        <x:v>Hillary Segeren</x:v>
      </x:c>
      <x:c r="E641" s="25" t="str"/>
      <x:c r="F641" s="25" t="str">
        <x:v>10.2139/ssrn.6302141</x:v>
      </x:c>
      <x:c r="G641" s="25" t="str">
        <x:v>https://doi.org/10.2139/ssrn.6302141</x:v>
      </x:c>
      <x:c r="H641" s="25" t="str">
        <x:v>Crossref</x:v>
      </x:c>
      <x:c r="I641" s="25" t="str">
        <x:v>C9_human_agent_handoff</x:v>
      </x:c>
      <x:c r="J641" s="25" t="str">
        <x:v>Exclude</x:v>
      </x:c>
      <x:c r="K641" s="25" t="str">
        <x:v>Exclude: topic mismatch</x:v>
      </x:c>
    </x:row>
    <x:row r="642">
      <x:c r="A642" s="20" t="str">
        <x:v>R0638</x:v>
      </x:c>
      <x:c r="B642" s="25" t="str">
        <x:v>The Power of Multi-Modal Interactions</x:v>
      </x:c>
      <x:c r="C642" s="25" t="n">
        <x:v>2018</x:v>
      </x:c>
      <x:c r="D642" s="25" t="str">
        <x:v>Ritwik Dasgupta</x:v>
      </x:c>
      <x:c r="E642" s="25" t="str">
        <x:v>Voice User Interface Design</x:v>
      </x:c>
      <x:c r="F642" s="25" t="str">
        <x:v>10.1007/978-1-4842-4125-7_4</x:v>
      </x:c>
      <x:c r="G642" s="25" t="str">
        <x:v>https://doi.org/10.1007/978-1-4842-4125-7_4</x:v>
      </x:c>
      <x:c r="H642" s="25" t="str">
        <x:v>Crossref</x:v>
      </x:c>
      <x:c r="I642" s="25" t="str">
        <x:v>C6_frontend_GUI_intent</x:v>
      </x:c>
      <x:c r="J642" s="25" t="str">
        <x:v>Exclude</x:v>
      </x:c>
      <x:c r="K642" s="25" t="str">
        <x:v>Exclude: topic mismatch</x:v>
      </x:c>
    </x:row>
    <x:row r="643">
      <x:c r="A643" s="20" t="str">
        <x:v>R0639</x:v>
      </x:c>
      <x:c r="B643" s="25" t="str">
        <x:v>The Reasoning Paradigm: Evolution of E-commerce Ranking Models from Statistical Signals to User Intent Inference</x:v>
      </x:c>
      <x:c r="C643" s="25" t="n">
        <x:v>2025</x:v>
      </x:c>
      <x:c r="D643" s="25" t="str">
        <x:v>Kartikaya Purohit</x:v>
      </x:c>
      <x:c r="E643" s="25" t="str">
        <x:v>International Journal of Computational and Experimental Science and Engineering</x:v>
      </x:c>
      <x:c r="F643" s="25" t="str">
        <x:v>10.22399/ijcesen.4463</x:v>
      </x:c>
      <x:c r="G643" s="25" t="str">
        <x:v>https://doi.org/10.22399/ijcesen.4463</x:v>
      </x:c>
      <x:c r="H643" s="25" t="str">
        <x:v>Crossref</x:v>
      </x:c>
      <x:c r="I643" s="25" t="str">
        <x:v>C2_interaction_signals</x:v>
      </x:c>
      <x:c r="J643" s="25" t="str">
        <x:v>Exclude</x:v>
      </x:c>
      <x:c r="K643" s="25" t="str">
        <x:v>Exclude: adjacent/redundant or insufficiently theory-generative for DC1</x:v>
      </x:c>
    </x:row>
    <x:row r="644">
      <x:c r="A644" s="20" t="str">
        <x:v>R0640</x:v>
      </x:c>
      <x:c r="B644" s="25" t="str">
        <x:v>The responsible worker in the age of generative AI: How human-AI co-creation shapes experienced responsibility for work outcomes</x:v>
      </x:c>
      <x:c r="C644" s="25" t="n">
        <x:v>2026</x:v>
      </x:c>
      <x:c r="D644" s="25" t="str">
        <x:v>Richard Henkenjohann; Manuel Trenz</x:v>
      </x:c>
      <x:c r="E644" s="25" t="str">
        <x:v>Decision Support Systems</x:v>
      </x:c>
      <x:c r="F644" s="25" t="str">
        <x:v>10.1016/j.dss.2026.114699</x:v>
      </x:c>
      <x:c r="G644" s="25" t="str">
        <x:v>https://doi.org/10.1016/j.dss.2026.114699</x:v>
      </x:c>
      <x:c r="H644" s="25" t="str">
        <x:v>Crossref</x:v>
      </x:c>
      <x:c r="I644" s="25" t="str">
        <x:v>C3_mixed_initiative_cocreation</x:v>
      </x:c>
      <x:c r="J644" s="25" t="str">
        <x:v>Exclude</x:v>
      </x:c>
      <x:c r="K644" s="25" t="str">
        <x:v>Exclude: topic mismatch</x:v>
      </x:c>
    </x:row>
    <x:row r="645">
      <x:c r="A645" s="20" t="str">
        <x:v>R0641</x:v>
      </x:c>
      <x:c r="B645" s="25" t="str">
        <x:v>Toward Better Support for Screenwriters: Understanding How AI Co-Creation Transforms the Creative Process of Screenwriting</x:v>
      </x:c>
      <x:c r="C645" s="25" t="n">
        <x:v>2026</x:v>
      </x:c>
      <x:c r="D645" s="25" t="str">
        <x:v>Yuran Qian</x:v>
      </x:c>
      <x:c r="E645" s="25" t="str">
        <x:v>Proceedings of the 2026 Conference on Creativity and Cognition</x:v>
      </x:c>
      <x:c r="F645" s="25" t="str">
        <x:v>10.1145/3803784.3804476</x:v>
      </x:c>
      <x:c r="G645" s="25" t="str">
        <x:v>https://doi.org/10.1145/3803784.3804476</x:v>
      </x:c>
      <x:c r="H645" s="25" t="str">
        <x:v>Crossref</x:v>
      </x:c>
      <x:c r="I645" s="25" t="str">
        <x:v>C3_mixed_initiative_cocreation</x:v>
      </x:c>
      <x:c r="J645" s="25" t="str">
        <x:v>Exclude</x:v>
      </x:c>
      <x:c r="K645" s="25" t="str">
        <x:v>Exclude: adjacent/redundant or insufficiently theory-generative for DC1</x:v>
      </x:c>
    </x:row>
    <x:row r="646">
      <x:c r="A646" s="20" t="str">
        <x:v>R0642</x:v>
      </x:c>
      <x:c r="B646" s="25" t="str">
        <x:v>Towards Accessible and Intuitive Shared Autonomy</x:v>
      </x:c>
      <x:c r="C646" s="25" t="n">
        <x:v>2025</x:v>
      </x:c>
      <x:c r="D646" s="25" t="str">
        <x:v>Shalutha Rajapakshe</x:v>
      </x:c>
      <x:c r="E646" s="25" t="str">
        <x:v>2025 20th ACM/IEEE International Conference on Human-Robot Interaction (HRI)</x:v>
      </x:c>
      <x:c r="F646" s="25" t="str">
        <x:v>10.1109/hri61500.2025.10973987</x:v>
      </x:c>
      <x:c r="G646" s="25" t="str">
        <x:v>https://doi.org/10.1109/hri61500.2025.10973987</x:v>
      </x:c>
      <x:c r="H646" s="25" t="str">
        <x:v>Crossref</x:v>
      </x:c>
      <x:c r="I646" s="25" t="str">
        <x:v>C4_uncertainty_shared_autonomy</x:v>
      </x:c>
      <x:c r="J646" s="25" t="str">
        <x:v>Exclude</x:v>
      </x:c>
      <x:c r="K646" s="25" t="str">
        <x:v>Exclude: adjacent/redundant or insufficiently theory-generative for DC1</x:v>
      </x:c>
    </x:row>
    <x:row r="647">
      <x:c r="A647" s="20" t="str">
        <x:v>R0643</x:v>
      </x:c>
      <x:c r="B647" s="25" t="str">
        <x:v>Upgrade of the Graphical User Interface (GUI) of otsdaq</x:v>
      </x:c>
      <x:c r="C647" s="25" t="n">
        <x:v>2023</x:v>
      </x:c>
      <x:c r="D647" s="25" t="str">
        <x:v>Brenda Najjuma</x:v>
      </x:c>
      <x:c r="E647" s="25" t="str">
        <x:v>Upgrade of the Graphical User Interface (GUI) of otsdaq</x:v>
      </x:c>
      <x:c r="F647" s="25" t="str">
        <x:v>10.2172/1996530</x:v>
      </x:c>
      <x:c r="G647" s="25" t="str">
        <x:v>https://doi.org/10.2172/1996530</x:v>
      </x:c>
      <x:c r="H647" s="25" t="str">
        <x:v>Crossref</x:v>
      </x:c>
      <x:c r="I647" s="25" t="str">
        <x:v>C6_frontend_GUI_intent</x:v>
      </x:c>
      <x:c r="J647" s="25" t="str">
        <x:v>Exclude</x:v>
      </x:c>
      <x:c r="K647" s="25" t="str">
        <x:v>Exclude: topic mismatch</x:v>
      </x:c>
    </x:row>
    <x:row r="648">
      <x:c r="A648" s="20" t="str">
        <x:v>R0644</x:v>
      </x:c>
      <x:c r="B648" s="25" t="str">
        <x:v>User Intent Communication in Robot-Assisted Shopping for the Blind</x:v>
      </x:c>
      <x:c r="C648" s="25" t="n">
        <x:v>2009</x:v>
      </x:c>
      <x:c r="D648" s="25" t="str">
        <x:v>Vladimir A.; Chaitanya Gharpure</x:v>
      </x:c>
      <x:c r="E648" s="25" t="str">
        <x:v>Advances in Human-Robot Interaction</x:v>
      </x:c>
      <x:c r="F648" s="25" t="str">
        <x:v>10.5772/6842</x:v>
      </x:c>
      <x:c r="G648" s="25" t="str">
        <x:v>https://doi.org/10.5772/6842</x:v>
      </x:c>
      <x:c r="H648" s="25" t="str">
        <x:v>Crossref</x:v>
      </x:c>
      <x:c r="I648" s="25" t="str">
        <x:v>C2_interaction_signals</x:v>
      </x:c>
      <x:c r="J648" s="25" t="str">
        <x:v>Exclude</x:v>
      </x:c>
      <x:c r="K648" s="25" t="str">
        <x:v>Exclude: adjacent/redundant or insufficiently theory-generative for DC1</x:v>
      </x:c>
    </x:row>
    <x:row r="649">
      <x:c r="A649" s="20" t="str">
        <x:v>R0645</x:v>
      </x:c>
      <x:c r="B649" s="25" t="str">
        <x:v>User intent based recommendation for modern BI systems</x:v>
      </x:c>
      <x:c r="C649" s="25" t="str"/>
      <x:c r="D649" s="25" t="str">
        <x:v>; Krista Drushku</x:v>
      </x:c>
      <x:c r="E649" s="25" t="str"/>
      <x:c r="F649" s="25" t="str">
        <x:v>10.70675/e661694bz9248z4bdezb55fzac1558564ebf</x:v>
      </x:c>
      <x:c r="G649" s="25" t="str">
        <x:v>https://doi.org/10.70675/e661694bz9248z4bdezb55fzac1558564ebf</x:v>
      </x:c>
      <x:c r="H649" s="25" t="str">
        <x:v>Crossref</x:v>
      </x:c>
      <x:c r="I649" s="25" t="str">
        <x:v>C2_interaction_signals</x:v>
      </x:c>
      <x:c r="J649" s="25" t="str">
        <x:v>Exclude</x:v>
      </x:c>
      <x:c r="K649" s="25" t="str">
        <x:v>Exclude: adjacent/redundant or insufficiently theory-generative for DC1</x:v>
      </x:c>
    </x:row>
    <x:row r="650">
      <x:c r="A650" s="20" t="str">
        <x:v>R0646</x:v>
      </x:c>
      <x:c r="B650" s="25" t="str">
        <x:v>Value Ownership in Human–AI Co-Creation: A Multi-Level Framework of Distributed Agency and Ethical Tensions</x:v>
      </x:c>
      <x:c r="C650" s="25" t="n">
        <x:v>2026</x:v>
      </x:c>
      <x:c r="D650" s="25" t="str">
        <x:v>Richard Abdulloh Mundzir; Rohimat Nurhasan</x:v>
      </x:c>
      <x:c r="E650" s="25" t="str">
        <x:v>Manexia: Journal of Business, Management, and Creative Economy</x:v>
      </x:c>
      <x:c r="F650" s="25" t="str">
        <x:v>10.66203/manexia.02206</x:v>
      </x:c>
      <x:c r="G650" s="25" t="str">
        <x:v>https://doi.org/10.66203/manexia.02206</x:v>
      </x:c>
      <x:c r="H650" s="25" t="str">
        <x:v>Crossref</x:v>
      </x:c>
      <x:c r="I650" s="25" t="str">
        <x:v>C7_creative_agency</x:v>
      </x:c>
      <x:c r="J650" s="25" t="str">
        <x:v>Exclude</x:v>
      </x:c>
      <x:c r="K650" s="25" t="str">
        <x:v>Exclude: adjacent/redundant or insufficiently theory-generative for DC1</x:v>
      </x:c>
    </x:row>
    <x:row r="651">
      <x:c r="A651" s="20" t="str">
        <x:v>R0647</x:v>
      </x:c>
      <x:c r="B651" s="25" t="str">
        <x:v>Web-based, 3D-assisted editing of production dailies</x:v>
      </x:c>
      <x:c r="C651" s="25" t="n">
        <x:v>2013</x:v>
      </x:c>
      <x:c r="D651" s="25" t="str">
        <x:v>Alun Evans; Josep Blat</x:v>
      </x:c>
      <x:c r="E651" s="25" t="str">
        <x:v>Proceedings of the 18th International Conference on 3D Web Technology</x:v>
      </x:c>
      <x:c r="F651" s="25" t="str">
        <x:v>10.1145/2466533.2466570</x:v>
      </x:c>
      <x:c r="G651" s="25" t="str">
        <x:v>https://doi.org/10.1145/2466533.2466570</x:v>
      </x:c>
      <x:c r="H651" s="25" t="str">
        <x:v>Crossref</x:v>
      </x:c>
      <x:c r="I651" s="25" t="str">
        <x:v>C8_AI_3D_authoring</x:v>
      </x:c>
      <x:c r="J651" s="25" t="str">
        <x:v>Exclude</x:v>
      </x:c>
      <x:c r="K651" s="25" t="str">
        <x:v>Exclude: adjacent/redundant or insufficiently theory-generative for DC1</x:v>
      </x:c>
    </x:row>
    <x:row r="652">
      <x:c r="A652" s="20" t="str">
        <x:v>R0648</x:v>
      </x:c>
      <x:c r="B652" s="25" t="str">
        <x:v>When AI Creates: Perceived Creativity, Coolness, and Attitudes toward Human–AI Co-Creation</x:v>
      </x:c>
      <x:c r="C652" s="25" t="n">
        <x:v>2025</x:v>
      </x:c>
      <x:c r="D652" s="25" t="str">
        <x:v>Veronika Peráčková; Jana Comová</x:v>
      </x:c>
      <x:c r="E652" s="25" t="str">
        <x:v>Media &amp;amp; Marketing Identity</x:v>
      </x:c>
      <x:c r="F652" s="25" t="str">
        <x:v>10.34135/mmidentity-2025-54</x:v>
      </x:c>
      <x:c r="G652" s="25" t="str">
        <x:v>https://doi.org/10.34135/mmidentity-2025-54</x:v>
      </x:c>
      <x:c r="H652" s="25" t="str">
        <x:v>Crossref</x:v>
      </x:c>
      <x:c r="I652" s="25" t="str">
        <x:v>C3_mixed_initiative_cocreation</x:v>
      </x:c>
      <x:c r="J652" s="25" t="str">
        <x:v>Exclude</x:v>
      </x:c>
      <x:c r="K652" s="25" t="str">
        <x:v>Exclude: domain-specific signal model without transferable HCI theory</x:v>
      </x:c>
    </x:row>
  </x:sheetData>
  <x:mergeCells>
    <x:mergeCell ref="A1:K1"/>
    <x:mergeCell ref="A2:K2"/>
  </x:mergeCells>
  <x:conditionalFormatting sqref="J5:J652">
    <x:cfRule type="containsText" dxfId="0" priority="1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966a836d7eee43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8" hidden="0" customWidth="1"/>
    <x:col min="3" max="3" width="9" hidden="0" customWidth="1"/>
    <x:col min="4" max="4" width="30" hidden="0" customWidth="1"/>
    <x:col min="5" max="5" width="25" hidden="0" customWidth="1"/>
    <x:col min="6" max="6" width="24" hidden="0" customWidth="1"/>
    <x:col min="7" max="7" width="40" hidden="0" customWidth="1"/>
    <x:col min="8" max="8" width="18" hidden="0" customWidth="1"/>
    <x:col min="9" max="9" width="22" hidden="0" customWidth="1"/>
    <x:col min="10" max="10" width="52" hidden="0" customWidth="1"/>
    <x:col min="11" max="11" width="58" hidden="0" customWidth="1"/>
    <x:col min="12" max="12" width="55" hidden="0" customWidth="1"/>
    <x:col min="13" max="13" width="26" hidden="0" customWidth="1"/>
    <x:col min="14" max="14" width="11" hidden="0" customWidth="1"/>
  </x:cols>
  <x:sheetData>
    <x:row r="1" ht="30" customHeight="1">
      <x:c r="A1" s="3" t="str">
        <x:v>重点纳入文献</x:v>
      </x:c>
    </x:row>
    <x:row r="2" ht="30" customHeight="1">
      <x:c r="A2" s="7" t="str">
        <x:v>41 篇理论生成性文献；URL/DOI 可追溯，综合内容为分析性转述。</x:v>
      </x:c>
    </x:row>
    <x:row r="4" ht="30" customHeight="1">
      <x:c r="A4" s="24" t="str">
        <x:v>ID</x:v>
      </x:c>
      <x:c r="B4" s="24" t="str">
        <x:v>题名</x:v>
      </x:c>
      <x:c r="C4" s="24" t="str">
        <x:v>年份</x:v>
      </x:c>
      <x:c r="D4" s="24" t="str">
        <x:v>作者</x:v>
      </x:c>
      <x:c r="E4" s="24" t="str">
        <x:v>出处</x:v>
      </x:c>
      <x:c r="F4" s="24" t="str">
        <x:v>DOI</x:v>
      </x:c>
      <x:c r="G4" s="24" t="str">
        <x:v>URL</x:v>
      </x:c>
      <x:c r="H4" s="24" t="str">
        <x:v>发现渠道</x:v>
      </x:c>
      <x:c r="I4" s="24" t="str">
        <x:v>主题</x:v>
      </x:c>
      <x:c r="J4" s="24" t="str">
        <x:v>理论贡献</x:v>
      </x:c>
      <x:c r="K4" s="24" t="str">
        <x:v>对 DC1 的启示</x:v>
      </x:c>
      <x:c r="L4" s="24" t="str">
        <x:v>接管边界</x:v>
      </x:c>
      <x:c r="M4" s="24" t="str">
        <x:v>证据访问</x:v>
      </x:c>
      <x:c r="N4" s="24" t="str">
        <x:v>决定</x:v>
      </x:c>
    </x:row>
    <x:row r="5">
      <x:c r="A5" s="20" t="str">
        <x:v>I01</x:v>
      </x:c>
      <x:c r="B5" s="25" t="str">
        <x:v>Direct manipulation: a step beyond programming languages</x:v>
      </x:c>
      <x:c r="C5" s="25" t="n">
        <x:v>1983</x:v>
      </x:c>
      <x:c r="D5" s="25" t="str"/>
      <x:c r="E5" s="25" t="str"/>
      <x:c r="F5" s="25" t="str">
        <x:v>10.1109/MC.1983.1654471</x:v>
      </x:c>
      <x:c r="G5" s="25" t="str">
        <x:v>https://doi.org/10.1109/MC.1983.1654471</x:v>
      </x:c>
      <x:c r="H5" s="25" t="str">
        <x:v>Seed/snowball</x:v>
      </x:c>
      <x:c r="I5" s="25" t="str">
        <x:v>Direct manipulation</x:v>
      </x:c>
      <x:c r="J5" s="25" t="str">
        <x:v>Persistent visible objects; rapid, reversible, incremental action reduces translation burden.</x:v>
      </x:c>
      <x:c r="K5" s="25" t="str">
        <x:v>Treat select/brush/drag as meaningful manipulation of domain objects, not merely UI events.</x:v>
      </x:c>
      <x:c r="L5" s="25" t="str">
        <x:v>Keep human control; automate only reversible previews when intent is still ambiguous.</x:v>
      </x:c>
      <x:c r="M5" s="25" t="str">
        <x:v>Full text or extended abstract/author copy inspected</x:v>
      </x:c>
      <x:c r="N5" s="25" t="str">
        <x:v>Include</x:v>
      </x:c>
    </x:row>
    <x:row r="6">
      <x:c r="A6" s="20" t="str">
        <x:v>I02</x:v>
      </x:c>
      <x:c r="B6" s="25" t="str">
        <x:v>Direct Manipulation Interfaces</x:v>
      </x:c>
      <x:c r="C6" s="25" t="n">
        <x:v>1985</x:v>
      </x:c>
      <x:c r="D6" s="25" t="str"/>
      <x:c r="E6" s="25" t="str"/>
      <x:c r="F6" s="25" t="str">
        <x:v>10.1207/s15327051hci0104_2</x:v>
      </x:c>
      <x:c r="G6" s="25" t="str">
        <x:v>https://doi.org/10.1207/s15327051hci0104_2</x:v>
      </x:c>
      <x:c r="H6" s="25" t="str">
        <x:v>Seed/snowball</x:v>
      </x:c>
      <x:c r="I6" s="25" t="str">
        <x:v>Mental models &amp; directness</x:v>
      </x:c>
      <x:c r="J6" s="25" t="str">
        <x:v>Directness depends on semantic/articulatory distance and engagement with a model-world.</x:v>
      </x:c>
      <x:c r="K6" s="25" t="str">
        <x:v>DC1 should infer the smallest semantic explanation consistent with the visible object, action and feedback loop.</x:v>
      </x:c>
      <x:c r="L6" s="25" t="str">
        <x:v>High semantic distance or indirect mappings should trigger interpretation preview or clarification.</x:v>
      </x:c>
      <x:c r="M6" s="25" t="str">
        <x:v>Full text or extended abstract/author copy inspected</x:v>
      </x:c>
      <x:c r="N6" s="25" t="str">
        <x:v>Include</x:v>
      </x:c>
    </x:row>
    <x:row r="7">
      <x:c r="A7" s="20" t="str">
        <x:v>I03</x:v>
      </x:c>
      <x:c r="B7" s="25" t="str">
        <x:v>On distinguishing epistemic from pragmatic action</x:v>
      </x:c>
      <x:c r="C7" s="25" t="n">
        <x:v>1994</x:v>
      </x:c>
      <x:c r="D7" s="25" t="str"/>
      <x:c r="E7" s="25" t="str"/>
      <x:c r="F7" s="25" t="str">
        <x:v>10.1207/s15516709cog1804_1</x:v>
      </x:c>
      <x:c r="G7" s="25" t="str">
        <x:v>https://doi.org/10.1207/s15516709cog1804_1</x:v>
      </x:c>
      <x:c r="H7" s="25" t="str">
        <x:v>Seed/snowball</x:v>
      </x:c>
      <x:c r="I7" s="25" t="str">
        <x:v>Embodied cognition</x:v>
      </x:c>
      <x:c r="J7" s="25" t="str">
        <x:v>Actions can change the world to achieve a goal or change cognition to reveal/construct information.</x:v>
      </x:c>
      <x:c r="K7" s="25" t="str">
        <x:v>Repeated rotations, temporary drags and comparisons may be epistemic probes rather than commitment to geometry.</x:v>
      </x:c>
      <x:c r="L7" s="25" t="str">
        <x:v>Do not commit edits while signals resemble exploration; preserve cheap reversible experimentation.</x:v>
      </x:c>
      <x:c r="M7" s="25" t="str">
        <x:v>Full text or extended abstract/author copy inspected</x:v>
      </x:c>
      <x:c r="N7" s="25" t="str">
        <x:v>Include</x:v>
      </x:c>
    </x:row>
    <x:row r="8">
      <x:c r="A8" s="20" t="str">
        <x:v>I04</x:v>
      </x:c>
      <x:c r="B8" s="25" t="str">
        <x:v>Action understanding as inverse planning</x:v>
      </x:c>
      <x:c r="C8" s="25" t="n">
        <x:v>2009</x:v>
      </x:c>
      <x:c r="D8" s="25" t="str"/>
      <x:c r="E8" s="25" t="str"/>
      <x:c r="F8" s="25" t="str">
        <x:v>10.1016/j.cognition.2009.07.005</x:v>
      </x:c>
      <x:c r="G8" s="25" t="str">
        <x:v>https://doi.org/10.1016/j.cognition.2009.07.005</x:v>
      </x:c>
      <x:c r="H8" s="25" t="str">
        <x:v>Seed/snowball</x:v>
      </x:c>
      <x:c r="I8" s="25" t="str">
        <x:v>Intent inference</x:v>
      </x:c>
      <x:c r="J8" s="25" t="str">
        <x:v>Infer latent goals by inverting an approximately rational action-generation model under uncertainty.</x:v>
      </x:c>
      <x:c r="K8" s="25" t="str">
        <x:v>Rank intent hypotheses from action sequence, object state, constraints and plausible design goals rather than single-event classification.</x:v>
      </x:c>
      <x:c r="L8" s="25" t="str">
        <x:v>Low posterior concentration means assist softly, ask, or show alternatives rather than execute.</x:v>
      </x:c>
      <x:c r="M8" s="25" t="str">
        <x:v>Full text or extended abstract/author copy inspected</x:v>
      </x:c>
      <x:c r="N8" s="25" t="str">
        <x:v>Include</x:v>
      </x:c>
    </x:row>
    <x:row r="9">
      <x:c r="A9" s="20" t="str">
        <x:v>I05</x:v>
      </x:c>
      <x:c r="B9" s="25" t="str">
        <x:v>Legibility and Predictability of Robot Motion</x:v>
      </x:c>
      <x:c r="C9" s="25" t="n">
        <x:v>2013</x:v>
      </x:c>
      <x:c r="D9" s="25" t="str"/>
      <x:c r="E9" s="25" t="str"/>
      <x:c r="F9" s="25" t="str">
        <x:v>10.1109/HRI.2013.6483603</x:v>
      </x:c>
      <x:c r="G9" s="25" t="str">
        <x:v>https://doi.org/10.1109/HRI.2013.6483603</x:v>
      </x:c>
      <x:c r="H9" s="25" t="str">
        <x:v>Seed/snowball</x:v>
      </x:c>
      <x:c r="I9" s="25" t="str">
        <x:v>Intent legibility</x:v>
      </x:c>
      <x:c r="J9" s="25" t="str">
        <x:v>Predictability and legibility are distinct: an action can be expected yet fail to reveal its goal.</x:v>
      </x:c>
      <x:c r="K9" s="25" t="str">
        <x:v>Use the distinction bidirectionally: user actions provide intent evidence; agent previews should reveal what it thinks will change.</x:v>
      </x:c>
      <x:c r="L9" s="25" t="str">
        <x:v>Before impactful action, require the agent's planned edit to be legible to the user.</x:v>
      </x:c>
      <x:c r="M9" s="25" t="str">
        <x:v>Full text or extended abstract/author copy inspected</x:v>
      </x:c>
      <x:c r="N9" s="25" t="str">
        <x:v>Include</x:v>
      </x:c>
    </x:row>
    <x:row r="10">
      <x:c r="A10" s="20" t="str">
        <x:v>I06</x:v>
      </x:c>
      <x:c r="B10" s="25" t="str">
        <x:v>Principles of Mixed-Initiative User Interfaces</x:v>
      </x:c>
      <x:c r="C10" s="25" t="n">
        <x:v>1999</x:v>
      </x:c>
      <x:c r="D10" s="25" t="str"/>
      <x:c r="E10" s="25" t="str"/>
      <x:c r="F10" s="25" t="str">
        <x:v>10.1145/302979.303030</x:v>
      </x:c>
      <x:c r="G10" s="25" t="str">
        <x:v>https://doi.org/10.1145/302979.303030</x:v>
      </x:c>
      <x:c r="H10" s="25" t="str">
        <x:v>Seed/snowball</x:v>
      </x:c>
      <x:c r="I10" s="25" t="str">
        <x:v>Mixed initiative</x:v>
      </x:c>
      <x:c r="J10" s="25" t="str">
        <x:v>Initiative should follow expected utility, uncertainty, interruption cost, timing and user attention.</x:v>
      </x:c>
      <x:c r="K10" s="25" t="str">
        <x:v>Compute an intervention policy from confidence, expected benefit, reversibility and creative interruption cost.</x:v>
      </x:c>
      <x:c r="L10" s="25" t="str">
        <x:v>Agent takes initiative only when expected benefit exceeds interruption/error cost; otherwise suggest or wait.</x:v>
      </x:c>
      <x:c r="M10" s="25" t="str">
        <x:v>Full text or extended abstract/author copy inspected</x:v>
      </x:c>
      <x:c r="N10" s="25" t="str">
        <x:v>Include</x:v>
      </x:c>
    </x:row>
    <x:row r="11">
      <x:c r="A11" s="20" t="str">
        <x:v>I07</x:v>
      </x:c>
      <x:c r="B11" s="25" t="str">
        <x:v>A model for types and levels of human interaction with automation</x:v>
      </x:c>
      <x:c r="C11" s="25" t="n">
        <x:v>2000</x:v>
      </x:c>
      <x:c r="D11" s="25" t="str"/>
      <x:c r="E11" s="25" t="str"/>
      <x:c r="F11" s="25" t="str">
        <x:v>10.1109/3468.844354</x:v>
      </x:c>
      <x:c r="G11" s="25" t="str">
        <x:v>https://doi.org/10.1109/3468.844354</x:v>
      </x:c>
      <x:c r="H11" s="25" t="str">
        <x:v>Seed/snowball</x:v>
      </x:c>
      <x:c r="I11" s="25" t="str">
        <x:v>Levels of automation</x:v>
      </x:c>
      <x:c r="J11" s="25" t="str">
        <x:v>Automation can differ across acquisition, analysis, decision selection and action implementation.</x:v>
      </x:c>
      <x:c r="K11" s="25" t="str">
        <x:v>FlowStudio can automate signal capture/analysis strongly while keeping semantic choice and final application under user control.</x:v>
      </x:c>
      <x:c r="L11" s="25" t="str">
        <x:v>Separate 'infer', 'recommend', 'preview', and 'apply'; do not collapse them into one autonomy level.</x:v>
      </x:c>
      <x:c r="M11" s="25" t="str">
        <x:v>Full text or extended abstract/author copy inspected</x:v>
      </x:c>
      <x:c r="N11" s="25" t="str">
        <x:v>Include</x:v>
      </x:c>
    </x:row>
    <x:row r="12">
      <x:c r="A12" s="20" t="str">
        <x:v>I08</x:v>
      </x:c>
      <x:c r="B12" s="25" t="str">
        <x:v>Guidelines for Human-AI Interaction</x:v>
      </x:c>
      <x:c r="C12" s="25" t="n">
        <x:v>2019</x:v>
      </x:c>
      <x:c r="D12" s="25" t="str"/>
      <x:c r="E12" s="25" t="str"/>
      <x:c r="F12" s="25" t="str">
        <x:v>10.1145/3290605.3300233</x:v>
      </x:c>
      <x:c r="G12" s="25" t="str">
        <x:v>https://doi.org/10.1145/3290605.3300233</x:v>
      </x:c>
      <x:c r="H12" s="25" t="str">
        <x:v>Seed/snowball</x:v>
      </x:c>
      <x:c r="I12" s="25" t="str">
        <x:v>Human-AI interaction</x:v>
      </x:c>
      <x:c r="J12" s="25" t="str">
        <x:v>Communicate capabilities, make contextually relevant help, support correction, dismissal and learning from behavior.</x:v>
      </x:c>
      <x:c r="K12" s="25" t="str">
        <x:v>Expose evidence and uncertainty, let users correct target/scope/meaning, and remember corrections.</x:v>
      </x:c>
      <x:c r="L12" s="25" t="str">
        <x:v>Any learned or proactive behavior must remain dismissible, correctable and reversible.</x:v>
      </x:c>
      <x:c r="M12" s="25" t="str">
        <x:v>Full text or extended abstract/author copy inspected</x:v>
      </x:c>
      <x:c r="N12" s="25" t="str">
        <x:v>Include</x:v>
      </x:c>
    </x:row>
    <x:row r="13">
      <x:c r="A13" s="20" t="str">
        <x:v>I09</x:v>
      </x:c>
      <x:c r="B13" s="25" t="str">
        <x:v>Power to the People: The Role of Humans in Interactive Machine Learning</x:v>
      </x:c>
      <x:c r="C13" s="25" t="n">
        <x:v>2014</x:v>
      </x:c>
      <x:c r="D13" s="25" t="str"/>
      <x:c r="E13" s="25" t="str"/>
      <x:c r="F13" s="25" t="str">
        <x:v>10.1609/aimag.v35i4.2513</x:v>
      </x:c>
      <x:c r="G13" s="25" t="str">
        <x:v>https://doi.org/10.1609/aimag.v35i4.2513</x:v>
      </x:c>
      <x:c r="H13" s="25" t="str">
        <x:v>Seed/snowball</x:v>
      </x:c>
      <x:c r="I13" s="25" t="str">
        <x:v>Interactive ML</x:v>
      </x:c>
      <x:c r="J13" s="25" t="str">
        <x:v>End users shape learning systems through iterative examples, feedback and correction; interface design affects learnability.</x:v>
      </x:c>
      <x:c r="K13" s="25" t="str">
        <x:v>Accept/reject, undo and alternative selection should be explicit training signals with provenance.</x:v>
      </x:c>
      <x:c r="L13" s="25" t="str">
        <x:v>Do not silently generalize from sparse feedback; require repeated or high-quality evidence for durable memory.</x:v>
      </x:c>
      <x:c r="M13" s="25" t="str">
        <x:v>Full text or extended abstract/author copy inspected</x:v>
      </x:c>
      <x:c r="N13" s="25" t="str">
        <x:v>Include</x:v>
      </x:c>
    </x:row>
    <x:row r="14">
      <x:c r="A14" s="20" t="str">
        <x:v>I10</x:v>
      </x:c>
      <x:c r="B14" s="25" t="str">
        <x:v>Re-examining Whether, Why, and How Human-AI Interaction Is Uniquely Difficult to Design</x:v>
      </x:c>
      <x:c r="C14" s="25" t="n">
        <x:v>2020</x:v>
      </x:c>
      <x:c r="D14" s="25" t="str">
        <x:v>Qian Yang; Aaron Steinfeld; Carolyn Penstein Rosé; John Zimmerman</x:v>
      </x:c>
      <x:c r="E14" s="25" t="str"/>
      <x:c r="F14" s="25" t="str">
        <x:v>10.1145/3313831.3376301</x:v>
      </x:c>
      <x:c r="G14" s="25" t="str">
        <x:v>https://doi.org/10.1145/3313831.3376301</x:v>
      </x:c>
      <x:c r="H14" s="25" t="str">
        <x:v>OpenAlex</x:v>
      </x:c>
      <x:c r="I14" s="25" t="str">
        <x:v>Human-AI uncertainty</x:v>
      </x:c>
      <x:c r="J14" s="25" t="str">
        <x:v>AI behavior is probabilistic, adaptive and hard to anticipate, producing capability and mental-model gaps.</x:v>
      </x:c>
      <x:c r="K14" s="25" t="str">
        <x:v>Make the agent's current hypothesis and scope inspectable rather than presenting outputs as deterministic understanding.</x:v>
      </x:c>
      <x:c r="L14" s="25" t="str">
        <x:v>Escalate to user control when the model is out-of-distribution, inconsistent or unable to explain its basis.</x:v>
      </x:c>
      <x:c r="M14" s="25" t="str">
        <x:v>Full text or extended abstract/author copy inspected</x:v>
      </x:c>
      <x:c r="N14" s="25" t="str">
        <x:v>Include</x:v>
      </x:c>
    </x:row>
    <x:row r="15">
      <x:c r="A15" s="20" t="str">
        <x:v>I11</x:v>
      </x:c>
      <x:c r="B15" s="25" t="str">
        <x:v>Level of automation effects on performance, situation awareness and workload in a dynamic control task</x:v>
      </x:c>
      <x:c r="C15" s="25" t="n">
        <x:v>1999</x:v>
      </x:c>
      <x:c r="D15" s="25" t="str"/>
      <x:c r="E15" s="25" t="str"/>
      <x:c r="F15" s="25" t="str">
        <x:v>10.1080/001401399185595</x:v>
      </x:c>
      <x:c r="G15" s="25" t="str">
        <x:v>https://doi.org/10.1080/001401399185595</x:v>
      </x:c>
      <x:c r="H15" s="25" t="str">
        <x:v>Seed/snowball</x:v>
      </x:c>
      <x:c r="I15" s="25" t="str">
        <x:v>Handoff &amp; awareness</x:v>
      </x:c>
      <x:c r="J15" s="25" t="str">
        <x:v>Intermediate automation can balance performance with involvement; high automation risks out-of-the-loop loss of awareness.</x:v>
      </x:c>
      <x:c r="K15" s="25" t="str">
        <x:v>Keep users aware through previews, preserved history and visible system state even when the agent performs low-level work.</x:v>
      </x:c>
      <x:c r="L15" s="25" t="str">
        <x:v>Avoid surprise takeover; require continuous state observability and rapid reclaim of control.</x:v>
      </x:c>
      <x:c r="M15" s="25" t="str">
        <x:v>Full text or extended abstract/author copy inspected</x:v>
      </x:c>
      <x:c r="N15" s="25" t="str">
        <x:v>Include</x:v>
      </x:c>
    </x:row>
    <x:row r="16">
      <x:c r="A16" s="20" t="str">
        <x:v>I12</x:v>
      </x:c>
      <x:c r="B16" s="25" t="str">
        <x:v>Trust in automation: Designing for appropriate reliance</x:v>
      </x:c>
      <x:c r="C16" s="25" t="n">
        <x:v>2004</x:v>
      </x:c>
      <x:c r="D16" s="25" t="str"/>
      <x:c r="E16" s="25" t="str"/>
      <x:c r="F16" s="25" t="str">
        <x:v>10.1518/hfes.46.1.50_30392</x:v>
      </x:c>
      <x:c r="G16" s="25" t="str">
        <x:v>https://doi.org/10.1518/hfes.46.1.50_30392</x:v>
      </x:c>
      <x:c r="H16" s="25" t="str">
        <x:v>Seed/snowball</x:v>
      </x:c>
      <x:c r="I16" s="25" t="str">
        <x:v>Calibrated trust</x:v>
      </x:c>
      <x:c r="J16" s="25" t="str">
        <x:v>Trust should be calibrated to capability and context rather than maximized.</x:v>
      </x:c>
      <x:c r="K16" s="25" t="str">
        <x:v>Show uncertainty, failure modes and evidence so creators can rely selectively on the intent interpreter.</x:v>
      </x:c>
      <x:c r="L16" s="25" t="str">
        <x:v>High impact plus poorly calibrated confidence requires confirmation or manual mode.</x:v>
      </x:c>
      <x:c r="M16" s="25" t="str">
        <x:v>Full text or extended abstract/author copy inspected</x:v>
      </x:c>
      <x:c r="N16" s="25" t="str">
        <x:v>Include</x:v>
      </x:c>
    </x:row>
    <x:row r="17">
      <x:c r="A17" s="20" t="str">
        <x:v>I13</x:v>
      </x:c>
      <x:c r="B17" s="25" t="str">
        <x:v>Probabilistic Human Intent Recognition for Shared Autonomy in Assistive Robotics</x:v>
      </x:c>
      <x:c r="C17" s="25" t="n">
        <x:v>2019</x:v>
      </x:c>
      <x:c r="D17" s="25" t="str">
        <x:v>Siddarth Jain; Brenna Argall</x:v>
      </x:c>
      <x:c r="E17" s="25" t="str">
        <x:v>ACM Transactions on Human-Robot Interaction</x:v>
      </x:c>
      <x:c r="F17" s="25" t="str">
        <x:v>10.1145/3359614</x:v>
      </x:c>
      <x:c r="G17" s="25" t="str">
        <x:v>https://doi.org/10.1145/3359614</x:v>
      </x:c>
      <x:c r="H17" s="25" t="str">
        <x:v>Crossref; OpenAlex</x:v>
      </x:c>
      <x:c r="I17" s="25" t="str">
        <x:v>Shared autonomy</x:v>
      </x:c>
      <x:c r="J17" s="25" t="str">
        <x:v>Recursive Bayesian filtering fuses nonverbal observations and user behavior while keeping a distribution over goals.</x:v>
      </x:c>
      <x:c r="K17" s="25" t="str">
        <x:v>Maintain multiple design-intent hypotheses and update them online from geometry, timing, tool, context and history.</x:v>
      </x:c>
      <x:c r="L17" s="25" t="str">
        <x:v>Assistance strength should fall as goal entropy rises; never force a single goal prematurely.</x:v>
      </x:c>
      <x:c r="M17" s="25" t="str">
        <x:v>Full text or extended abstract/author copy inspected</x:v>
      </x:c>
      <x:c r="N17" s="25" t="str">
        <x:v>Include</x:v>
      </x:c>
    </x:row>
    <x:row r="18">
      <x:c r="A18" s="20" t="str">
        <x:v>I14</x:v>
      </x:c>
      <x:c r="B18" s="25" t="str">
        <x:v>Shared Autonomy via Hindsight Optimization</x:v>
      </x:c>
      <x:c r="C18" s="25" t="n">
        <x:v>2015</x:v>
      </x:c>
      <x:c r="D18" s="25" t="str">
        <x:v>Shervin Javdani; Siddhartha S Srinivasa; Andrew Bagnell</x:v>
      </x:c>
      <x:c r="E18" s="25" t="str"/>
      <x:c r="F18" s="25" t="str">
        <x:v>10.15607/RSS.2015.XI.032</x:v>
      </x:c>
      <x:c r="G18" s="25" t="str">
        <x:v>https://doi.org/10.15607/rss.2015.xi.032</x:v>
      </x:c>
      <x:c r="H18" s="25" t="str">
        <x:v>OpenAlex</x:v>
      </x:c>
      <x:c r="I18" s="25" t="str">
        <x:v>Shared autonomy</x:v>
      </x:c>
      <x:c r="J18" s="25" t="str">
        <x:v>Assist toward likely goals while accounting for uncertainty over user intent.</x:v>
      </x:c>
      <x:c r="K18" s="25" t="str">
        <x:v>Generate reversible candidate trajectories/edits for several plausible intents instead of committing to one.</x:v>
      </x:c>
      <x:c r="L18" s="25" t="str">
        <x:v>If plausible goals imply conflicting irreversible edits, defer and ask.</x:v>
      </x:c>
      <x:c r="M18" s="25" t="str">
        <x:v>Full text or extended abstract/author copy inspected</x:v>
      </x:c>
      <x:c r="N18" s="25" t="str">
        <x:v>Include</x:v>
      </x:c>
    </x:row>
    <x:row r="19">
      <x:c r="A19" s="20" t="str">
        <x:v>I15</x:v>
      </x:c>
      <x:c r="B19" s="25" t="str">
        <x:v>Balanced Information Gathering and Goal-Oriented Actions in Shared Autonomy</x:v>
      </x:c>
      <x:c r="C19" s="25" t="n">
        <x:v>2019</x:v>
      </x:c>
      <x:c r="D19" s="25" t="str">
        <x:v>Connor Brooks; Daniel Szafir</x:v>
      </x:c>
      <x:c r="E19" s="25" t="str">
        <x:v>2019 14th ACM/IEEE International Conference on Human-Robot Interaction (HRI)</x:v>
      </x:c>
      <x:c r="F19" s="25" t="str">
        <x:v>10.1109/HRI.2019.8673192</x:v>
      </x:c>
      <x:c r="G19" s="25" t="str">
        <x:v>https://doi.org/10.1109/hri.2019.8673192</x:v>
      </x:c>
      <x:c r="H19" s="25" t="str">
        <x:v>Crossref</x:v>
      </x:c>
      <x:c r="I19" s="25" t="str">
        <x:v>Active intent inference</x:v>
      </x:c>
      <x:c r="J19" s="25" t="str">
        <x:v>Assistance can both make task progress and gather information that disambiguates intent.</x:v>
      </x:c>
      <x:c r="K19" s="25" t="str">
        <x:v>Offer probes or contrastive candidates whose user response is informative about intended scope/style.</x:v>
      </x:c>
      <x:c r="L19" s="25" t="str">
        <x:v>Prefer information-gathering previews when uncertainty is high and probe cost is low.</x:v>
      </x:c>
      <x:c r="M19" s="25" t="str">
        <x:v>Full text or extended abstract/author copy inspected</x:v>
      </x:c>
      <x:c r="N19" s="25" t="str">
        <x:v>Include</x:v>
      </x:c>
    </x:row>
    <x:row r="20">
      <x:c r="A20" s="20" t="str">
        <x:v>I16</x:v>
      </x:c>
      <x:c r="B20" s="25" t="str">
        <x:v>Dimensions of Adjustable Autonomy and Mixed-Initiative Interaction</x:v>
      </x:c>
      <x:c r="C20" s="25" t="n">
        <x:v>2004</x:v>
      </x:c>
      <x:c r="D20" s="25" t="str">
        <x:v>Jeffrey M. Bradshaw; Paul J. Feltovich; Hyuckchul Jung; Shriniwas Kulkarni; William Taysom; Andrzej Uszok</x:v>
      </x:c>
      <x:c r="E20" s="25" t="str">
        <x:v>Lecture Notes in Computer Science</x:v>
      </x:c>
      <x:c r="F20" s="25" t="str">
        <x:v>10.1007/978-3-540-25928-2_3</x:v>
      </x:c>
      <x:c r="G20" s="25" t="str">
        <x:v>https://doi.org/10.1007/978-3-540-25928-2_3</x:v>
      </x:c>
      <x:c r="H20" s="25" t="str">
        <x:v>Crossref</x:v>
      </x:c>
      <x:c r="I20" s="25" t="str">
        <x:v>Adjustable autonomy</x:v>
      </x:c>
      <x:c r="J20" s="25" t="str">
        <x:v>Autonomy is multidimensional and can be transferred or negotiated rather than treated as a binary switch.</x:v>
      </x:c>
      <x:c r="K20" s="25" t="str">
        <x:v>Represent authority separately for sensing, interpretation, candidate generation, selection and application.</x:v>
      </x:c>
      <x:c r="L20" s="25" t="str">
        <x:v>Transfer only the minimum necessary function; allow immediate reclaim and log who decided what.</x:v>
      </x:c>
      <x:c r="M20" s="25" t="str">
        <x:v>Full text or extended abstract/author copy inspected</x:v>
      </x:c>
      <x:c r="N20" s="25" t="str">
        <x:v>Include</x:v>
      </x:c>
    </x:row>
    <x:row r="21">
      <x:c r="A21" s="20" t="str">
        <x:v>I17</x:v>
      </x:c>
      <x:c r="B21" s="25" t="str">
        <x:v>A Negotiation-Theoretic Framework for Control Authority Transfer in Mixed-Initiative Robotic Systems</x:v>
      </x:c>
      <x:c r="C21" s="25" t="n">
        <x:v>2022</x:v>
      </x:c>
      <x:c r="D21" s="25" t="str">
        <x:v>Simon Rothfus; Manolis Chiou; Jairo Inga; Soren Hohmann; Rustam Stolkin</x:v>
      </x:c>
      <x:c r="E21" s="25" t="str">
        <x:v>2022 IEEE International Conference on Systems, Man, and Cybernetics (SMC)</x:v>
      </x:c>
      <x:c r="F21" s="25" t="str">
        <x:v>10.1109/SMC53654.2022.9945196</x:v>
      </x:c>
      <x:c r="G21" s="25" t="str">
        <x:v>https://doi.org/10.1109/smc53654.2022.9945196</x:v>
      </x:c>
      <x:c r="H21" s="25" t="str">
        <x:v>Crossref</x:v>
      </x:c>
      <x:c r="I21" s="25" t="str">
        <x:v>Authority transfer</x:v>
      </x:c>
      <x:c r="J21" s="25" t="str">
        <x:v>Control transfer can be treated as negotiation under competing human/agent assessments.</x:v>
      </x:c>
      <x:c r="K21" s="25" t="str">
        <x:v>Use explicit takeover requests containing reason, scope, duration and expected benefit.</x:v>
      </x:c>
      <x:c r="L21" s="25" t="str">
        <x:v>No silent authority transfer for high-impact actions; disagreement resolves to safe preview/manual control.</x:v>
      </x:c>
      <x:c r="M21" s="25" t="str">
        <x:v>Full text or extended abstract/author copy inspected</x:v>
      </x:c>
      <x:c r="N21" s="25" t="str">
        <x:v>Include</x:v>
      </x:c>
    </x:row>
    <x:row r="22">
      <x:c r="A22" s="20" t="str">
        <x:v>I18</x:v>
      </x:c>
      <x:c r="B22" s="25" t="str">
        <x:v>A Hierarchical Variable Autonomy Mixed-Initiative Framework for Human-Robot Teaming in Mobile Robotics</x:v>
      </x:c>
      <x:c r="C22" s="25" t="n">
        <x:v>2022</x:v>
      </x:c>
      <x:c r="D22" s="25" t="str">
        <x:v>Dimitris Panagopoulos; Giannis Petousakis; Aniketh Ramesh; Tianshu Ruan; Grigoris Nikolaou; Rustam Stolkin; Manolis Chiou</x:v>
      </x:c>
      <x:c r="E22" s="25" t="str">
        <x:v>2022 IEEE 3rd International Conference on Human-Machine Systems (ICHMS)</x:v>
      </x:c>
      <x:c r="F22" s="25" t="str">
        <x:v>10.1109/ICHMS56717.2022.9980686</x:v>
      </x:c>
      <x:c r="G22" s="25" t="str">
        <x:v>https://doi.org/10.1109/ichms56717.2022.9980686</x:v>
      </x:c>
      <x:c r="H22" s="25" t="str">
        <x:v>Crossref</x:v>
      </x:c>
      <x:c r="I22" s="25" t="str">
        <x:v>Variable autonomy</x:v>
      </x:c>
      <x:c r="J22" s="25" t="str">
        <x:v>Criticality-aware hierarchical switching can reduce control conflict and improve safety.</x:v>
      </x:c>
      <x:c r="K22" s="25" t="str">
        <x:v>Map edit criticality from local/reversible to global/structural and vary autonomy accordingly.</x:v>
      </x:c>
      <x:c r="L22" s="25" t="str">
        <x:v>Global topology or accepted-structure changes require higher evidence and explicit authorization.</x:v>
      </x:c>
      <x:c r="M22" s="25" t="str">
        <x:v>Full text or extended abstract/author copy inspected</x:v>
      </x:c>
      <x:c r="N22" s="25" t="str">
        <x:v>Include</x:v>
      </x:c>
    </x:row>
    <x:row r="23">
      <x:c r="A23" s="20" t="str">
        <x:v>I19</x:v>
      </x:c>
      <x:c r="B23" s="25" t="str">
        <x:v>SARI: Shared Autonomy across Repeated Interaction</x:v>
      </x:c>
      <x:c r="C23" s="25" t="n">
        <x:v>2024</x:v>
      </x:c>
      <x:c r="D23" s="25" t="str">
        <x:v>Ananth Jonnavittula; Shaunak A. Mehta; Dylan P. Losey</x:v>
      </x:c>
      <x:c r="E23" s="25" t="str">
        <x:v>ACM Transactions on Human-Robot Interaction</x:v>
      </x:c>
      <x:c r="F23" s="25" t="str">
        <x:v>10.1145/3651994</x:v>
      </x:c>
      <x:c r="G23" s="25" t="str">
        <x:v>https://doi.org/10.1145/3651994</x:v>
      </x:c>
      <x:c r="H23" s="25" t="str">
        <x:v>Crossref; OpenAlex</x:v>
      </x:c>
      <x:c r="I23" s="25" t="str">
        <x:v>Repeated interaction</x:v>
      </x:c>
      <x:c r="J23" s="25" t="str">
        <x:v>Shared autonomy can personalize across repeated interactions while tracking user-specific behavior.</x:v>
      </x:c>
      <x:c r="K23" s="25" t="str">
        <x:v>Learn creator-specific mappings only from repeated episodes and keep session vs long-term preferences distinct.</x:v>
      </x:c>
      <x:c r="L23" s="25" t="str">
        <x:v>Long-term personalization must be reviewable, resettable and overridden by current-session evidence.</x:v>
      </x:c>
      <x:c r="M23" s="25" t="str">
        <x:v>Full text or extended abstract/author copy inspected</x:v>
      </x:c>
      <x:c r="N23" s="25" t="str">
        <x:v>Include</x:v>
      </x:c>
    </x:row>
    <x:row r="24">
      <x:c r="A24" s="20" t="str">
        <x:v>I20</x:v>
      </x:c>
      <x:c r="B24" s="25" t="str">
        <x:v>Mixed-Initiative Creative Interfaces</x:v>
      </x:c>
      <x:c r="C24" s="25" t="n">
        <x:v>2017</x:v>
      </x:c>
      <x:c r="D24" s="25" t="str">
        <x:v>Sebastian Deterding; Jonathan Hook; Rebecca Fiebrink; Marco Gillies; Jeremy Gow; Memo Akten; Gillian Smith; Antonios Liapis; Kate Compton</x:v>
      </x:c>
      <x:c r="E24" s="25" t="str"/>
      <x:c r="F24" s="25" t="str">
        <x:v>10.1145/3027063.3027072</x:v>
      </x:c>
      <x:c r="G24" s="25" t="str">
        <x:v>https://doi.org/10.1145/3027063.3027072</x:v>
      </x:c>
      <x:c r="H24" s="25" t="str">
        <x:v>OpenAlex</x:v>
      </x:c>
      <x:c r="I24" s="25" t="str">
        <x:v>Mixed-initiative co-creation</x:v>
      </x:c>
      <x:c r="J24" s="25" t="str">
        <x:v>Human and computer alternately suggest, produce, evaluate, modify and select creative outputs.</x:v>
      </x:c>
      <x:c r="K24" s="25" t="str">
        <x:v>Model creation as a reciprocal loop; agent initiative includes proposing and critiquing, not only executing commands.</x:v>
      </x:c>
      <x:c r="L24" s="25" t="str">
        <x:v>Agent initiative should create options, not overwrite emerging authorship or accepted commitments.</x:v>
      </x:c>
      <x:c r="M24" s="25" t="str">
        <x:v>Full text or extended abstract/author copy inspected</x:v>
      </x:c>
      <x:c r="N24" s="25" t="str">
        <x:v>Include</x:v>
      </x:c>
    </x:row>
    <x:row r="25">
      <x:c r="A25" s="20" t="str">
        <x:v>I21</x:v>
      </x:c>
      <x:c r="B25" s="25" t="str">
        <x:v>Mapping the Landscape of Creativity Support Tools in HCI</x:v>
      </x:c>
      <x:c r="C25" s="25" t="n">
        <x:v>2019</x:v>
      </x:c>
      <x:c r="D25" s="25" t="str"/>
      <x:c r="E25" s="25" t="str"/>
      <x:c r="F25" s="25" t="str">
        <x:v>10.1145/3290605.3300619</x:v>
      </x:c>
      <x:c r="G25" s="25" t="str">
        <x:v>https://doi.org/10.1145/3290605.3300619</x:v>
      </x:c>
      <x:c r="H25" s="25" t="str">
        <x:v>Seed/snowball</x:v>
      </x:c>
      <x:c r="I25" s="25" t="str">
        <x:v>Creativity support tools</x:v>
      </x:c>
      <x:c r="J25" s="25" t="str">
        <x:v>CST research spans ideation, making and evaluation; tools should be compared by supported creative activity and context.</x:v>
      </x:c>
      <x:c r="K25" s="25" t="str">
        <x:v>Evaluate DC1 by exploration, expressive completeness, control and iteration—not intent accuracy alone.</x:v>
      </x:c>
      <x:c r="L25" s="25" t="str">
        <x:v>Automation is acceptable when it expands creative capacity without obscuring authorship and process.</x:v>
      </x:c>
      <x:c r="M25" s="25" t="str">
        <x:v>Full text or extended abstract/author copy inspected</x:v>
      </x:c>
      <x:c r="N25" s="25" t="str">
        <x:v>Include</x:v>
      </x:c>
    </x:row>
    <x:row r="26">
      <x:c r="A26" s="20" t="str">
        <x:v>I22</x:v>
      </x:c>
      <x:c r="B26" s="25" t="str">
        <x:v>Towards a procedural content generation framework for game development</x:v>
      </x:c>
      <x:c r="C26" s="25" t="n">
        <x:v>2014</x:v>
      </x:c>
      <x:c r="D26" s="25" t="str"/>
      <x:c r="E26" s="25" t="str"/>
      <x:c r="F26" s="25" t="str">
        <x:v>10.7551/978-0-262-32621-6-ch089</x:v>
      </x:c>
      <x:c r="G26" s="25" t="str">
        <x:v>https://doi.org/10.7551/978-0-262-32621-6-ch089</x:v>
      </x:c>
      <x:c r="H26" s="25" t="str">
        <x:v>Seed/snowball</x:v>
      </x:c>
      <x:c r="I26" s="25" t="str">
        <x:v>Mixed-initiative co-creativity</x:v>
      </x:c>
      <x:c r="J26" s="25" t="str">
        <x:v>Mixed-initiative co-creativity distributes generation and evaluation across human and machine.</x:v>
      </x:c>
      <x:c r="K26" s="25" t="str">
        <x:v>Separate who initiates, who generates, who evaluates and who selects in each FlowStudio stage.</x:v>
      </x:c>
      <x:c r="L26" s="25" t="str">
        <x:v>Human retains veto and final selection when subjective creative values dominate.</x:v>
      </x:c>
      <x:c r="M26" s="25" t="str">
        <x:v>Full text or extended abstract/author copy inspected</x:v>
      </x:c>
      <x:c r="N26" s="25" t="str">
        <x:v>Include</x:v>
      </x:c>
    </x:row>
    <x:row r="27">
      <x:c r="A27" s="20" t="str">
        <x:v>I23</x:v>
      </x:c>
      <x:c r="B27" s="25" t="str">
        <x:v>Designing Creative AI Partners with COFI: A Framework for Modeling Interaction in Human-AI Co-Creative Systems</x:v>
      </x:c>
      <x:c r="C27" s="25" t="n">
        <x:v>2023</x:v>
      </x:c>
      <x:c r="D27" s="25" t="str"/>
      <x:c r="E27" s="25" t="str"/>
      <x:c r="F27" s="25" t="str">
        <x:v>10.1145/3519026</x:v>
      </x:c>
      <x:c r="G27" s="25" t="str">
        <x:v>https://doi.org/10.1145/3519026</x:v>
      </x:c>
      <x:c r="H27" s="25" t="str">
        <x:v>Seed/snowball</x:v>
      </x:c>
      <x:c r="I27" s="25" t="str">
        <x:v>Co-creative interaction</x:v>
      </x:c>
      <x:c r="J27" s="25" t="str">
        <x:v>COFI structures turn-taking, contribution type, communication and creative-process interaction.</x:v>
      </x:c>
      <x:c r="K27" s="25" t="str">
        <x:v>Use COFI to specify synchronous/asynchronous turns, contribution scope, feedback and communication channels.</x:v>
      </x:c>
      <x:c r="L27" s="25" t="str">
        <x:v>Initiative changes should be visible and matched to the negotiated collaboration style.</x:v>
      </x:c>
      <x:c r="M27" s="25" t="str">
        <x:v>Full text or extended abstract/author copy inspected</x:v>
      </x:c>
      <x:c r="N27" s="25" t="str">
        <x:v>Include</x:v>
      </x:c>
    </x:row>
    <x:row r="28">
      <x:c r="A28" s="20" t="str">
        <x:v>I24</x:v>
      </x:c>
      <x:c r="B28" s="25" t="str">
        <x:v>Drawing Apprentice: An Enactive Co-Creative Agent for Artistic Collaboration</x:v>
      </x:c>
      <x:c r="C28" s="25" t="n">
        <x:v>2015</x:v>
      </x:c>
      <x:c r="D28" s="25" t="str"/>
      <x:c r="E28" s="25" t="str"/>
      <x:c r="F28" s="25" t="str">
        <x:v>10.1145/2757226.2764555</x:v>
      </x:c>
      <x:c r="G28" s="25" t="str">
        <x:v>https://doi.org/10.1145/2757226.2764555</x:v>
      </x:c>
      <x:c r="H28" s="25" t="str">
        <x:v>Seed/snowball</x:v>
      </x:c>
      <x:c r="I28" s="25" t="str">
        <x:v>Co-creative systems</x:v>
      </x:c>
      <x:c r="J28" s="25" t="str">
        <x:v>Real-time reciprocal drawing and explicit evaluation create participatory sense-making.</x:v>
      </x:c>
      <x:c r="K28" s="25" t="str">
        <x:v>Treat manipulations and reactions as a dialogue; use feedback to adjust transformation strategy.</x:v>
      </x:c>
      <x:c r="L28" s="25" t="str">
        <x:v>Real-time agent contributions need pause, correction and creativity/divergence controls.</x:v>
      </x:c>
      <x:c r="M28" s="25" t="str">
        <x:v>Full text or extended abstract/author copy inspected</x:v>
      </x:c>
      <x:c r="N28" s="25" t="str">
        <x:v>Include</x:v>
      </x:c>
    </x:row>
    <x:row r="29">
      <x:c r="A29" s="20" t="str">
        <x:v>I25</x:v>
      </x:c>
      <x:c r="B29" s="25" t="str">
        <x:v>Novice-AI Music Co-Creation via AI-Steering Tools for Deep Generative Models</x:v>
      </x:c>
      <x:c r="C29" s="25" t="n">
        <x:v>2020</x:v>
      </x:c>
      <x:c r="D29" s="25" t="str">
        <x:v>Ryan Louie; Andy Coenen; Cheng Zhi Huang; Michael Terry; Carrie J. Cai</x:v>
      </x:c>
      <x:c r="E29" s="25" t="str"/>
      <x:c r="F29" s="25" t="str">
        <x:v>10.1145/3313831.3376739</x:v>
      </x:c>
      <x:c r="G29" s="25" t="str">
        <x:v>https://doi.org/10.1145/3313831.3376739</x:v>
      </x:c>
      <x:c r="H29" s="25" t="str">
        <x:v>OpenAlex</x:v>
      </x:c>
      <x:c r="I29" s="25" t="str">
        <x:v>AI steering</x:v>
      </x:c>
      <x:c r="J29" s="25" t="str">
        <x:v>Steering tools let non-experts shape generative models through higher-level controls and iterative feedback.</x:v>
      </x:c>
      <x:c r="K29" s="25" t="str">
        <x:v>Offer semantic steering over preservation, scope and divergence alongside direct 3D manipulation.</x:v>
      </x:c>
      <x:c r="L29" s="25" t="str">
        <x:v>Only apply high-divergence transformations when the user explicitly opens that design space.</x:v>
      </x:c>
      <x:c r="M29" s="25" t="str">
        <x:v>Full text or extended abstract/author copy inspected</x:v>
      </x:c>
      <x:c r="N29" s="25" t="str">
        <x:v>Include</x:v>
      </x:c>
    </x:row>
    <x:row r="30">
      <x:c r="A30" s="20" t="str">
        <x:v>I26</x:v>
      </x:c>
      <x:c r="B30" s="25" t="str">
        <x:v>AI as Social Glue: Uncovering the Roles of Deep Generative AI during Social Music Composition</x:v>
      </x:c>
      <x:c r="C30" s="25" t="n">
        <x:v>2021</x:v>
      </x:c>
      <x:c r="D30" s="25" t="str">
        <x:v>Minhyang Suh; Emily Youngblom; Michael Terry; Carrie J. Cai</x:v>
      </x:c>
      <x:c r="E30" s="25" t="str"/>
      <x:c r="F30" s="25" t="str">
        <x:v>10.1145/3411764.3445219</x:v>
      </x:c>
      <x:c r="G30" s="25" t="str">
        <x:v>https://doi.org/10.1145/3411764.3445219</x:v>
      </x:c>
      <x:c r="H30" s="25" t="str">
        <x:v>OpenAlex</x:v>
      </x:c>
      <x:c r="I30" s="25" t="str">
        <x:v>Creative collaboration</x:v>
      </x:c>
      <x:c r="J30" s="25" t="str">
        <x:v>Generative AI can mediate coordination and idea exchange, not merely produce artifacts.</x:v>
      </x:c>
      <x:c r="K30" s="25" t="str">
        <x:v>Agent memory should store rationale, rejected directions and shared commitments, not only geometry states.</x:v>
      </x:c>
      <x:c r="L30" s="25" t="str">
        <x:v>Do not revive rejected directions unless context changed or the user explicitly reopens them.</x:v>
      </x:c>
      <x:c r="M30" s="25" t="str">
        <x:v>Full text or extended abstract/author copy inspected</x:v>
      </x:c>
      <x:c r="N30" s="25" t="str">
        <x:v>Include</x:v>
      </x:c>
    </x:row>
    <x:row r="31">
      <x:c r="A31" s="20" t="str">
        <x:v>I27</x:v>
      </x:c>
      <x:c r="B31" s="25" t="str">
        <x:v>DirectGPT: A Direct Manipulation Interface to Interact with Large Language Models</x:v>
      </x:c>
      <x:c r="C31" s="25" t="n">
        <x:v>2024</x:v>
      </x:c>
      <x:c r="D31" s="25" t="str">
        <x:v>Damien Masson; Sylvain Malacria; Géry Casiez; Daniel Vogel</x:v>
      </x:c>
      <x:c r="E31" s="25" t="str"/>
      <x:c r="F31" s="25" t="str">
        <x:v>10.1145/3613904.3642462</x:v>
      </x:c>
      <x:c r="G31" s="25" t="str">
        <x:v>https://doi.org/10.1145/3613904.3642462</x:v>
      </x:c>
      <x:c r="H31" s="25" t="str">
        <x:v>OpenAlex</x:v>
      </x:c>
      <x:c r="I31" s="25" t="str">
        <x:v>Direct manipulation + LLM</x:v>
      </x:c>
      <x:c r="J31" s="25" t="str">
        <x:v>Direct manipulation can ground LLM operations in visible selections and transformations.</x:v>
      </x:c>
      <x:c r="K31" s="25" t="str">
        <x:v>Bind prompts and agent actions to selected 3D entities, local context and visible before/after state.</x:v>
      </x:c>
      <x:c r="L31" s="25" t="str">
        <x:v>Selection narrows scope but does not fully specify intent; use preview for ambiguous transformations.</x:v>
      </x:c>
      <x:c r="M31" s="25" t="str">
        <x:v>Full text or extended abstract/author copy inspected</x:v>
      </x:c>
      <x:c r="N31" s="25" t="str">
        <x:v>Include</x:v>
      </x:c>
    </x:row>
    <x:row r="32">
      <x:c r="A32" s="20" t="str">
        <x:v>I28</x:v>
      </x:c>
      <x:c r="B32" s="25" t="str">
        <x:v>Generative Agents: Interactive Simulacra of Human Behavior</x:v>
      </x:c>
      <x:c r="C32" s="25" t="n">
        <x:v>2023</x:v>
      </x:c>
      <x:c r="D32" s="25" t="str"/>
      <x:c r="E32" s="25" t="str"/>
      <x:c r="F32" s="25" t="str">
        <x:v>10.1145/3586183.3606763</x:v>
      </x:c>
      <x:c r="G32" s="25" t="str">
        <x:v>https://doi.org/10.1145/3586183.3606763</x:v>
      </x:c>
      <x:c r="H32" s="25" t="str">
        <x:v>Seed/snowball</x:v>
      </x:c>
      <x:c r="I32" s="25" t="str">
        <x:v>Agent memory</x:v>
      </x:c>
      <x:c r="J32" s="25" t="str">
        <x:v>A memory stream with relevance, recency and importance retrieval plus reflection supports coherent behavior.</x:v>
      </x:c>
      <x:c r="K32" s="25" t="str">
        <x:v>Retrieve interaction episodes using semantic relevance, temporal recency, design-stage match and commitment importance.</x:v>
      </x:c>
      <x:c r="L32" s="25" t="str">
        <x:v>Reflections must remain traceable to source episodes and should not override explicit current intent.</x:v>
      </x:c>
      <x:c r="M32" s="25" t="str">
        <x:v>Full text or extended abstract/author copy inspected</x:v>
      </x:c>
      <x:c r="N32" s="25" t="str">
        <x:v>Include</x:v>
      </x:c>
    </x:row>
    <x:row r="33">
      <x:c r="A33" s="20" t="str">
        <x:v>I29</x:v>
      </x:c>
      <x:c r="B33" s="25" t="str">
        <x:v>MemGPT: Towards LLMs as Operating Systems</x:v>
      </x:c>
      <x:c r="C33" s="25" t="n">
        <x:v>2023</x:v>
      </x:c>
      <x:c r="D33" s="25" t="str"/>
      <x:c r="E33" s="25" t="str"/>
      <x:c r="F33" s="25" t="str">
        <x:v>10.48550/arXiv.2310.08560</x:v>
      </x:c>
      <x:c r="G33" s="25" t="str">
        <x:v>https://doi.org/10.48550/arXiv.2310.08560</x:v>
      </x:c>
      <x:c r="H33" s="25" t="str">
        <x:v>Seed/snowball</x:v>
      </x:c>
      <x:c r="I33" s="25" t="str">
        <x:v>Agent memory architecture</x:v>
      </x:c>
      <x:c r="J33" s="25" t="str">
        <x:v>Hierarchical context management moves information between working and long-term memory tiers.</x:v>
      </x:c>
      <x:c r="K33" s="25" t="str">
        <x:v>Keep current object/selection/hypotheses in working memory; page older episodes and preferences on demand.</x:v>
      </x:c>
      <x:c r="L33" s="25" t="str">
        <x:v>Memory retrieval is advisory evidence; stale memory is down-weighted and never silently controls edits.</x:v>
      </x:c>
      <x:c r="M33" s="25" t="str">
        <x:v>Full text or extended abstract/author copy inspected</x:v>
      </x:c>
      <x:c r="N33" s="25" t="str">
        <x:v>Include</x:v>
      </x:c>
    </x:row>
    <x:row r="34">
      <x:c r="A34" s="20" t="str">
        <x:v>I30</x:v>
      </x:c>
      <x:c r="B34" s="25" t="str">
        <x:v>Cognitive Architectures for Language Agents</x:v>
      </x:c>
      <x:c r="C34" s="25" t="n">
        <x:v>2023</x:v>
      </x:c>
      <x:c r="D34" s="25" t="str">
        <x:v>Theodore R. Sumers; Shunyu Yao; Karthik Narasimhan; Thomas L. Griffiths</x:v>
      </x:c>
      <x:c r="E34" s="25" t="str">
        <x:v>arXiv (Cornell University)</x:v>
      </x:c>
      <x:c r="F34" s="25" t="str">
        <x:v>10.48550/arXiv.2309.02427</x:v>
      </x:c>
      <x:c r="G34" s="25" t="str">
        <x:v>http://arxiv.org/abs/2309.02427</x:v>
      </x:c>
      <x:c r="H34" s="25" t="str">
        <x:v>OpenAlex</x:v>
      </x:c>
      <x:c r="I34" s="25" t="str">
        <x:v>Cognitive agent architecture</x:v>
      </x:c>
      <x:c r="J34" s="25" t="str">
        <x:v>Organizes language agents around perception, memory, action selection and learning loops.</x:v>
      </x:c>
      <x:c r="K34" s="25" t="str">
        <x:v>Implement DC1 as observe→hypothesize→retrieve→decide→act→learn with inspectable intermediate state.</x:v>
      </x:c>
      <x:c r="L34" s="25" t="str">
        <x:v>Gate action selection on hypothesis confidence and authority policy, not merely LLM output.</x:v>
      </x:c>
      <x:c r="M34" s="25" t="str">
        <x:v>Full text or extended abstract/author copy inspected</x:v>
      </x:c>
      <x:c r="N34" s="25" t="str">
        <x:v>Include</x:v>
      </x:c>
    </x:row>
    <x:row r="35">
      <x:c r="A35" s="20" t="str">
        <x:v>I31</x:v>
      </x:c>
      <x:c r="B35" s="25" t="str">
        <x:v>Memory Matters: The Need to Improve Long-Term Memory in LLM-Agents</x:v>
      </x:c>
      <x:c r="C35" s="25" t="n">
        <x:v>2024</x:v>
      </x:c>
      <x:c r="D35" s="25" t="str">
        <x:v>Kostas Hatalis; Despina Christou; J. Myers; Steve Jones; Keith Lambert; Adam Amos‐Binks; Zohreh A. Dannenhauer; Dustin Dannenhauer</x:v>
      </x:c>
      <x:c r="E35" s="25" t="str">
        <x:v>Proceedings of the AAAI Symposium Series</x:v>
      </x:c>
      <x:c r="F35" s="25" t="str">
        <x:v>10.1609/aaaiss.v2i1.27688</x:v>
      </x:c>
      <x:c r="G35" s="25" t="str">
        <x:v>https://doi.org/10.1609/aaaiss.v2i1.27688</x:v>
      </x:c>
      <x:c r="H35" s="25" t="str">
        <x:v>OpenAlex</x:v>
      </x:c>
      <x:c r="I35" s="25" t="str">
        <x:v>Memory taxonomy</x:v>
      </x:c>
      <x:c r="J35" s="25" t="str">
        <x:v>Separating episodic, semantic and procedural memory exposes distinct storage and retrieval needs.</x:v>
      </x:c>
      <x:c r="K35" s="25" t="str">
        <x:v>Store episodes, stable creator preferences and reusable operation policies separately.</x:v>
      </x:c>
      <x:c r="L35" s="25" t="str">
        <x:v>Procedures require success evidence; preferences require repetition; episodes retain provenance and decay.</x:v>
      </x:c>
      <x:c r="M35" s="25" t="str">
        <x:v>Full text or extended abstract/author copy inspected</x:v>
      </x:c>
      <x:c r="N35" s="25" t="str">
        <x:v>Include</x:v>
      </x:c>
    </x:row>
    <x:row r="36">
      <x:c r="A36" s="20" t="str">
        <x:v>I32</x:v>
      </x:c>
      <x:c r="B36" s="25" t="str">
        <x:v>A Survey on the Memory Mechanism of Large Language Model-based Agents</x:v>
      </x:c>
      <x:c r="C36" s="25" t="n">
        <x:v>2025</x:v>
      </x:c>
      <x:c r="D36" s="25" t="str"/>
      <x:c r="E36" s="25" t="str"/>
      <x:c r="F36" s="25" t="str">
        <x:v>10.1145/3748302</x:v>
      </x:c>
      <x:c r="G36" s="25" t="str">
        <x:v>https://doi.org/10.1145/3748302</x:v>
      </x:c>
      <x:c r="H36" s="25" t="str">
        <x:v>Seed/snowball</x:v>
      </x:c>
      <x:c r="I36" s="25" t="str">
        <x:v>Memory retrieval</x:v>
      </x:c>
      <x:c r="J36" s="25" t="str">
        <x:v>Surveys memory forms, operations, structures and retrieval/management trade-offs.</x:v>
      </x:c>
      <x:c r="K36" s="25" t="str">
        <x:v>Use typed memory, hybrid retrieval, update/conflict handling and evaluation of retrieval usefulness.</x:v>
      </x:c>
      <x:c r="L36" s="25" t="str">
        <x:v>Conflicting or low-provenance memories trigger user review, not automatic consolidation.</x:v>
      </x:c>
      <x:c r="M36" s="25" t="str">
        <x:v>Full text or extended abstract/author copy inspected</x:v>
      </x:c>
      <x:c r="N36" s="25" t="str">
        <x:v>Include</x:v>
      </x:c>
    </x:row>
    <x:row r="37">
      <x:c r="A37" s="20" t="str">
        <x:v>I33</x:v>
      </x:c>
      <x:c r="B37" s="25" t="str">
        <x:v>An Introduction to 3-D User Interface Design</x:v>
      </x:c>
      <x:c r="C37" s="25" t="n">
        <x:v>2001</x:v>
      </x:c>
      <x:c r="D37" s="25" t="str"/>
      <x:c r="E37" s="25" t="str"/>
      <x:c r="F37" s="25" t="str">
        <x:v>10.1162/105474601750182342</x:v>
      </x:c>
      <x:c r="G37" s="25" t="str">
        <x:v>https://doi.org/10.1162/105474601750182342</x:v>
      </x:c>
      <x:c r="H37" s="25" t="str">
        <x:v>Seed/snowball</x:v>
      </x:c>
      <x:c r="I37" s="25" t="str">
        <x:v>3D interaction taxonomy</x:v>
      </x:c>
      <x:c r="J37" s="25" t="str">
        <x:v>3D interaction comprises navigation, selection/manipulation and system control with task-specific techniques.</x:v>
      </x:c>
      <x:c r="K37" s="25" t="str">
        <x:v>Interpret a gesture relative to task class, reference frame, device constraints and selected object/part.</x:v>
      </x:c>
      <x:c r="L37" s="25" t="str">
        <x:v>Navigation signals must not be misread as object-edit intent; mode/task context is a hard boundary.</x:v>
      </x:c>
      <x:c r="M37" s="25" t="str">
        <x:v>Full text or extended abstract/author copy inspected</x:v>
      </x:c>
      <x:c r="N37" s="25" t="str">
        <x:v>Include</x:v>
      </x:c>
    </x:row>
    <x:row r="38">
      <x:c r="A38" s="20" t="str">
        <x:v>I34</x:v>
      </x:c>
      <x:c r="B38" s="25" t="str">
        <x:v>A Direct Manipulation Technique for Specifying 3D Object Transformations with a 2D Input Device</x:v>
      </x:c>
      <x:c r="C38" s="25" t="n">
        <x:v>1990</x:v>
      </x:c>
      <x:c r="D38" s="25" t="str"/>
      <x:c r="E38" s="25" t="str"/>
      <x:c r="F38" s="25" t="str">
        <x:v>10.1111/j.1467-8659.1990.tb00427.x</x:v>
      </x:c>
      <x:c r="G38" s="25" t="str">
        <x:v>https://doi.org/10.1111/j.1467-8659.1990.tb00427.x</x:v>
      </x:c>
      <x:c r="H38" s="25" t="str">
        <x:v>Seed/snowball</x:v>
      </x:c>
      <x:c r="I38" s="25" t="str">
        <x:v>3D mental model</x:v>
      </x:c>
      <x:c r="J38" s="25" t="str">
        <x:v>2D pick-and-drag can specify 3D transforms when mappings align with designers' manipulation models.</x:v>
      </x:c>
      <x:c r="K38" s="25" t="str">
        <x:v>Decode drag using view plane, object axes, constraints and visible handles; retain competing frame interpretations when ambiguous.</x:v>
      </x:c>
      <x:c r="L38" s="25" t="str">
        <x:v>Ambiguous depth/axis mappings require constrained preview or explicit frame selection.</x:v>
      </x:c>
      <x:c r="M38" s="25" t="str">
        <x:v>Full text or extended abstract/author copy inspected</x:v>
      </x:c>
      <x:c r="N38" s="25" t="str">
        <x:v>Include</x:v>
      </x:c>
    </x:row>
    <x:row r="39">
      <x:c r="A39" s="20" t="str">
        <x:v>I35</x:v>
      </x:c>
      <x:c r="B39" s="25" t="str">
        <x:v>A screen-space formulation for 2D and 3D direct manipulation</x:v>
      </x:c>
      <x:c r="C39" s="25" t="n">
        <x:v>2009</x:v>
      </x:c>
      <x:c r="D39" s="25" t="str">
        <x:v>Jason L. Reisman; Philip L. Davidson; Jefferson Y. Han</x:v>
      </x:c>
      <x:c r="E39" s="25" t="str">
        <x:v>Proceedings of the 22nd annual ACM symposium on User interface software and technology</x:v>
      </x:c>
      <x:c r="F39" s="25" t="str">
        <x:v>10.1145/1622176.1622190</x:v>
      </x:c>
      <x:c r="G39" s="25" t="str">
        <x:v>https://doi.org/10.1145/1622176.1622190</x:v>
      </x:c>
      <x:c r="H39" s="25" t="str">
        <x:v>Crossref</x:v>
      </x:c>
      <x:c r="I39" s="25" t="str">
        <x:v>3D manipulation</x:v>
      </x:c>
      <x:c r="J39" s="25" t="str">
        <x:v>Screen-space constraints make manipulation behavior consistent with visible cursor motion.</x:v>
      </x:c>
      <x:c r="K39" s="25" t="str">
        <x:v>Use screen-space displacement as evidence while reasoning over 3D constraints and object semantics.</x:v>
      </x:c>
      <x:c r="L39" s="25" t="str">
        <x:v>If screen-space intention conflicts with geometric feasibility, show constraint-preserving alternatives.</x:v>
      </x:c>
      <x:c r="M39" s="25" t="str">
        <x:v>Full text or extended abstract/author copy inspected</x:v>
      </x:c>
      <x:c r="N39" s="25" t="str">
        <x:v>Include</x:v>
      </x:c>
    </x:row>
    <x:row r="40">
      <x:c r="A40" s="20" t="str">
        <x:v>I36</x:v>
      </x:c>
      <x:c r="B40" s="25" t="str">
        <x:v>Teddy: a sketching interface for 3D freeform design</x:v>
      </x:c>
      <x:c r="C40" s="25" t="n">
        <x:v>1999</x:v>
      </x:c>
      <x:c r="D40" s="25" t="str"/>
      <x:c r="E40" s="25" t="str"/>
      <x:c r="F40" s="25" t="str">
        <x:v>10.1145/311535.311602</x:v>
      </x:c>
      <x:c r="G40" s="25" t="str">
        <x:v>https://doi.org/10.1145/311535.311602</x:v>
      </x:c>
      <x:c r="H40" s="25" t="str">
        <x:v>Seed/snowball</x:v>
      </x:c>
      <x:c r="I40" s="25" t="str">
        <x:v>Sketch-based 3D creation</x:v>
      </x:c>
      <x:c r="J40" s="25" t="str">
        <x:v>Simple strokes are interpreted as 3D creation/editing operations for rapid freeform modeling.</x:v>
      </x:c>
      <x:c r="K40" s="25" t="str">
        <x:v>Sketch/brush signals are compact but ambiguous semantic evidence; interpretations depend on state and stroke context.</x:v>
      </x:c>
      <x:c r="L40" s="25" t="str">
        <x:v>Keep stroke interpretation provisional until a 3D preview makes the inferred operation visible.</x:v>
      </x:c>
      <x:c r="M40" s="25" t="str">
        <x:v>Full text or extended abstract/author copy inspected</x:v>
      </x:c>
      <x:c r="N40" s="25" t="str">
        <x:v>Include</x:v>
      </x:c>
    </x:row>
    <x:row r="41">
      <x:c r="A41" s="20" t="str">
        <x:v>I37</x:v>
      </x:c>
      <x:c r="B41" s="25" t="str">
        <x:v>Modeling by example</x:v>
      </x:c>
      <x:c r="C41" s="25" t="n">
        <x:v>2004</x:v>
      </x:c>
      <x:c r="D41" s="25" t="str"/>
      <x:c r="E41" s="25" t="str"/>
      <x:c r="F41" s="25" t="str">
        <x:v>10.1145/1015706.1015775</x:v>
      </x:c>
      <x:c r="G41" s="25" t="str">
        <x:v>https://doi.org/10.1145/1015706.1015775</x:v>
      </x:c>
      <x:c r="H41" s="25" t="str">
        <x:v>Seed/snowball</x:v>
      </x:c>
      <x:c r="I41" s="25" t="str">
        <x:v>Example-based 3D modeling</x:v>
      </x:c>
      <x:c r="J41" s="25" t="str">
        <x:v>Example-based composition lets users express intent through choosing and arranging meaningful parts.</x:v>
      </x:c>
      <x:c r="K41" s="25" t="str">
        <x:v>Selections and accepted variants provide semantic-part and style evidence that can guide retrieval and generation.</x:v>
      </x:c>
      <x:c r="L41" s="25" t="str">
        <x:v>Preserve interfaces and accepted neighboring structure when replacing a part.</x:v>
      </x:c>
      <x:c r="M41" s="25" t="str">
        <x:v>Full text or extended abstract/author copy inspected</x:v>
      </x:c>
      <x:c r="N41" s="25" t="str">
        <x:v>Include</x:v>
      </x:c>
    </x:row>
    <x:row r="42">
      <x:c r="A42" s="20" t="str">
        <x:v>I38</x:v>
      </x:c>
      <x:c r="B42" s="25" t="str">
        <x:v>iWIRES: an analyze-and-edit approach to shape manipulation</x:v>
      </x:c>
      <x:c r="C42" s="25" t="n">
        <x:v>2009</x:v>
      </x:c>
      <x:c r="D42" s="25" t="str"/>
      <x:c r="E42" s="25" t="str"/>
      <x:c r="F42" s="25" t="str">
        <x:v>10.1145/1576246.1531375</x:v>
      </x:c>
      <x:c r="G42" s="25" t="str">
        <x:v>https://doi.org/10.1145/1576246.1531375</x:v>
      </x:c>
      <x:c r="H42" s="25" t="str">
        <x:v>Seed/snowball</x:v>
      </x:c>
      <x:c r="I42" s="25" t="str">
        <x:v>Structure-aware shape editing</x:v>
      </x:c>
      <x:c r="J42" s="25" t="str">
        <x:v>Structural relationships guide editing so global shape regularities survive local manipulation.</x:v>
      </x:c>
      <x:c r="K42" s="25" t="str">
        <x:v>Infer intended change jointly with symmetry, alignment, contact and part relations.</x:v>
      </x:c>
      <x:c r="L42" s="25" t="str">
        <x:v>Structural constraints are guardrails; breaking them requires explicit intent or clear preview.</x:v>
      </x:c>
      <x:c r="M42" s="25" t="str">
        <x:v>Full text or extended abstract/author copy inspected</x:v>
      </x:c>
      <x:c r="N42" s="25" t="str">
        <x:v>Include</x:v>
      </x:c>
    </x:row>
    <x:row r="43">
      <x:c r="A43" s="20" t="str">
        <x:v>I39</x:v>
      </x:c>
      <x:c r="B43" s="25" t="str">
        <x:v>Extended 3D annotations as a new mechanism to explicitly communicate geometric design intent and increase CAD model reusability</x:v>
      </x:c>
      <x:c r="C43" s="25" t="n">
        <x:v>2014</x:v>
      </x:c>
      <x:c r="D43" s="25" t="str">
        <x:v>Jorge D. Camba; Manuel Contero; Michael Johnson</x:v>
      </x:c>
      <x:c r="E43" s="25" t="str">
        <x:v>Computer-Aided Design</x:v>
      </x:c>
      <x:c r="F43" s="25" t="str">
        <x:v>10.1016/j.cad.2014.07.001</x:v>
      </x:c>
      <x:c r="G43" s="25" t="str">
        <x:v>https://doi.org/10.1016/j.cad.2014.07.001</x:v>
      </x:c>
      <x:c r="H43" s="25" t="str">
        <x:v>OpenAlex</x:v>
      </x:c>
      <x:c r="I43" s="25" t="str">
        <x:v>Design intent representation</x:v>
      </x:c>
      <x:c r="J43" s="25" t="str">
        <x:v>Explicit annotations preserve geometric design intent beyond raw final geometry.</x:v>
      </x:c>
      <x:c r="K43" s="25" t="str">
        <x:v>Store inferred target, scope, preserved constraints, rationale and confidence as editable intent annotations.</x:v>
      </x:c>
      <x:c r="L43" s="25" t="str">
        <x:v>Inferred annotations remain hypotheses until confirmed; never present them as user-authored facts.</x:v>
      </x:c>
      <x:c r="M43" s="25" t="str">
        <x:v>Full text or extended abstract/author copy inspected</x:v>
      </x:c>
      <x:c r="N43" s="25" t="str">
        <x:v>Include</x:v>
      </x:c>
    </x:row>
    <x:row r="44">
      <x:c r="A44" s="20" t="str">
        <x:v>I40</x:v>
      </x:c>
      <x:c r="B44" s="25" t="str">
        <x:v>A Survey on 3D Virtual Object Manipulation: From the Desktop to Immersive Virtual Environments</x:v>
      </x:c>
      <x:c r="C44" s="25" t="n">
        <x:v>2019</x:v>
      </x:c>
      <x:c r="D44" s="25" t="str"/>
      <x:c r="E44" s="25" t="str"/>
      <x:c r="F44" s="25" t="str">
        <x:v>10.1111/cgf.13390</x:v>
      </x:c>
      <x:c r="G44" s="25" t="str">
        <x:v>https://doi.org/10.1111/cgf.13390</x:v>
      </x:c>
      <x:c r="H44" s="25" t="str">
        <x:v>Seed/snowball</x:v>
      </x:c>
      <x:c r="I44" s="25" t="str">
        <x:v>3D manipulation survey</x:v>
      </x:c>
      <x:c r="J44" s="25" t="str">
        <x:v>Taxonomizes manipulation techniques, input modalities, trends and open challenges.</x:v>
      </x:c>
      <x:c r="K44" s="25" t="str">
        <x:v>Use device/modality/task taxonomies to normalize interaction signals before semantic inference.</x:v>
      </x:c>
      <x:c r="L44" s="25" t="str">
        <x:v>Boundary thresholds should adapt to device noise, degrees of freedom and manipulation technique.</x:v>
      </x:c>
      <x:c r="M44" s="25" t="str">
        <x:v>Full text or extended abstract/author copy inspected</x:v>
      </x:c>
      <x:c r="N44" s="25" t="str">
        <x:v>Include</x:v>
      </x:c>
    </x:row>
    <x:row r="45">
      <x:c r="A45" s="20" t="str">
        <x:v>I41</x:v>
      </x:c>
      <x:c r="B45" s="25" t="str">
        <x:v>Sketch-based modeling: A survey</x:v>
      </x:c>
      <x:c r="C45" s="25" t="n">
        <x:v>2009</x:v>
      </x:c>
      <x:c r="D45" s="25" t="str"/>
      <x:c r="E45" s="25" t="str"/>
      <x:c r="F45" s="25" t="str">
        <x:v>10.1016/j.cag.2008.09.013</x:v>
      </x:c>
      <x:c r="G45" s="25" t="str">
        <x:v>https://doi.org/10.1016/j.cag.2008.09.013</x:v>
      </x:c>
      <x:c r="H45" s="25" t="str">
        <x:v>Seed/snowball</x:v>
      </x:c>
      <x:c r="I45" s="25" t="str">
        <x:v>Sketch ambiguity</x:v>
      </x:c>
      <x:c r="J45" s="25" t="str">
        <x:v>Sketch-based systems interpret input as create, detail or deform, and must cope with intrinsic ambiguity.</x:v>
      </x:c>
      <x:c r="K45" s="25" t="str">
        <x:v>Treat brush/sketch as a distribution over operation families conditioned on stage and current geometry.</x:v>
      </x:c>
      <x:c r="L45" s="25" t="str">
        <x:v>When create/detail/deform hypotheses are close, present contrastive previews rather than choose silently.</x:v>
      </x:c>
      <x:c r="M45" s="25" t="str">
        <x:v>Full text or extended abstract/author copy inspected</x:v>
      </x:c>
      <x:c r="N45" s="25" t="str">
        <x:v>Include</x:v>
      </x:c>
    </x:row>
  </x:sheetData>
  <x:mergeCells>
    <x:mergeCell ref="A1:N1"/>
    <x:mergeCell ref="A2:N2"/>
  </x:mergeCells>
  <x:conditionalFormatting sqref="N5:N45">
    <x:cfRule type="containsText" dxfId="1" priority="1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58745eb7b70c4d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52" hidden="0" customWidth="1"/>
    <x:col min="4" max="4" width="56" hidden="0" customWidth="1"/>
    <x:col min="5" max="5" width="34" hidden="0" customWidth="1"/>
    <x:col min="6" max="6" width="30" hidden="0" customWidth="1"/>
    <x:col min="7" max="7" width="12" hidden="0" customWidth="1"/>
  </x:cols>
  <x:sheetData>
    <x:row r="1" ht="30" customHeight="1">
      <x:c r="A1" s="3" t="str">
        <x:v>理论 → 计算机制 → DC1 可检验主张</x:v>
      </x:c>
    </x:row>
    <x:row r="2" ht="30" customHeight="1">
      <x:c r="A2" s="7" t="str">
        <x:v>将文献综述转化为可以在系统与研究中验证的结构。</x:v>
      </x:c>
    </x:row>
    <x:row r="4" ht="30" customHeight="1">
      <x:c r="A4" s="24" t="str">
        <x:v>理论</x:v>
      </x:c>
      <x:c r="B4" s="24" t="str">
        <x:v>核心构念</x:v>
      </x:c>
      <x:c r="C4" s="24" t="str">
        <x:v>计算化机制</x:v>
      </x:c>
      <x:c r="D4" s="24" t="str">
        <x:v>DC1 可检验主张</x:v>
      </x:c>
      <x:c r="E4" s="24" t="str">
        <x:v>关键来源</x:v>
      </x:c>
      <x:c r="F4" s="24" t="str">
        <x:v>建议指标</x:v>
      </x:c>
      <x:c r="G4" s="24" t="str">
        <x:v>优先级</x:v>
      </x:c>
    </x:row>
    <x:row r="5">
      <x:c r="A5" s="25" t="str">
        <x:v>Directness / semantic distance</x:v>
      </x:c>
      <x:c r="B5" s="25" t="str">
        <x:v>动作与目标语义之间的翻译距离</x:v>
      </x:c>
      <x:c r="C5" s="25" t="str">
        <x:v>对象/部件/参考系条件化的事件解释</x:v>
      </x:c>
      <x:c r="D5" s="25" t="str">
        <x:v>相同 drag 在不同对象、部件与阶段产生不同意图后验</x:v>
      </x:c>
      <x:c r="E5" s="25" t="str">
        <x:v>Hutchins et al.; Shneiderman</x:v>
      </x:c>
      <x:c r="F5" s="25" t="str">
        <x:v>意图解释正确率 + 用户修正次数</x:v>
      </x:c>
      <x:c r="G5" s="25" t="str">
        <x:v>核心</x:v>
      </x:c>
    </x:row>
    <x:row r="6">
      <x:c r="A6" s="25" t="str">
        <x:v>Epistemic action</x:v>
      </x:c>
      <x:c r="B6" s="25" t="str">
        <x:v>用户通过行动思考、探测和外化认知</x:v>
      </x:c>
      <x:c r="C6" s="25" t="str">
        <x:v>探索状态/承诺状态隐变量；undo/compare/repeat 作为证据</x:v>
      </x:c>
      <x:c r="D6" s="25" t="str">
        <x:v>系统区分试探与承诺后可减少错误自动应用</x:v>
      </x:c>
      <x:c r="E6" s="25" t="str">
        <x:v>Kirsh &amp; Maglio</x:v>
      </x:c>
      <x:c r="F6" s="25" t="str">
        <x:v>误提交率；探索广度；撤销后恢复</x:v>
      </x:c>
      <x:c r="G6" s="25" t="str">
        <x:v>核心</x:v>
      </x:c>
    </x:row>
    <x:row r="7">
      <x:c r="A7" s="25" t="str">
        <x:v>Situated action</x:v>
      </x:c>
      <x:c r="B7" s="25" t="str">
        <x:v>计划在情境中形成并被修订</x:v>
      </x:c>
      <x:c r="C7" s="25" t="str">
        <x:v>以当前对象状态、工具、阶段和历史持续更新假设</x:v>
      </x:c>
      <x:c r="D7" s="25" t="str">
        <x:v>序列模型优于孤立事件分类</x:v>
      </x:c>
      <x:c r="E7" s="25" t="str">
        <x:v>Suchman；本综述推论</x:v>
      </x:c>
      <x:c r="F7" s="25" t="str">
        <x:v>序列 vs 单事件消融</x:v>
      </x:c>
      <x:c r="G7" s="25" t="str">
        <x:v>补充</x:v>
      </x:c>
    </x:row>
    <x:row r="8">
      <x:c r="A8" s="25" t="str">
        <x:v>Bayesian inverse planning</x:v>
      </x:c>
      <x:c r="B8" s="25" t="str">
        <x:v>从近似理性动作反推潜在目标</x:v>
      </x:c>
      <x:c r="C8" s="25" t="str">
        <x:v>P(intent|trajectory,state,constraints) 多假设推断</x:v>
      </x:c>
      <x:c r="D8" s="25" t="str">
        <x:v>保留分布而非 top-1 可改善歧义处理</x:v>
      </x:c>
      <x:c r="E8" s="25" t="str">
        <x:v>Baker et al.; Jain &amp; Argall</x:v>
      </x:c>
      <x:c r="F8" s="25" t="str">
        <x:v>Top-k、校准误差、熵-错误关系</x:v>
      </x:c>
      <x:c r="G8" s="25" t="str">
        <x:v>核心</x:v>
      </x:c>
    </x:row>
    <x:row r="9">
      <x:c r="A9" s="25" t="str">
        <x:v>Legibility vs predictability</x:v>
      </x:c>
      <x:c r="B9" s="25" t="str">
        <x:v>可预期动作不等于可读意图</x:v>
      </x:c>
      <x:c r="C9" s="25" t="str">
        <x:v>交互解释预览；agent edit 的 intent-expressive preview</x:v>
      </x:c>
      <x:c r="D9" s="25" t="str">
        <x:v>显示保留/改变范围能提升用户理解与接管效率</x:v>
      </x:c>
      <x:c r="E9" s="25" t="str">
        <x:v>Dragan et al.</x:v>
      </x:c>
      <x:c r="F9" s="25" t="str">
        <x:v>理解正确率；接管反应时间</x:v>
      </x:c>
      <x:c r="G9" s="25" t="str">
        <x:v>核心</x:v>
      </x:c>
    </x:row>
    <x:row r="10">
      <x:c r="A10" s="25" t="str">
        <x:v>Mixed-initiative expected utility</x:v>
      </x:c>
      <x:c r="B10" s="25" t="str">
        <x:v>主动性依赖收益、不确定性和打扰成本</x:v>
      </x:c>
      <x:c r="C10" s="25" t="str">
        <x:v>initiative policy = f(confidence,risk,reversibility,stage)</x:v>
      </x:c>
      <x:c r="D10" s="25" t="str">
        <x:v>情境化主动性优于固定主动或固定被动</x:v>
      </x:c>
      <x:c r="E10" s="25" t="str">
        <x:v>Horvitz</x:v>
      </x:c>
      <x:c r="F10" s="25" t="str">
        <x:v>控制冲突；接受率；打扰评分</x:v>
      </x:c>
      <x:c r="G10" s="25" t="str">
        <x:v>核心</x:v>
      </x:c>
    </x:row>
    <x:row r="11">
      <x:c r="A11" s="25" t="str">
        <x:v>Levels of automation</x:v>
      </x:c>
      <x:c r="B11" s="25" t="str">
        <x:v>感知、分析、决策、执行可不同程度自动化</x:v>
      </x:c>
      <x:c r="C11" s="25" t="str">
        <x:v>分层权限：observe→infer→suggest→preview→apply</x:v>
      </x:c>
      <x:c r="D11" s="25" t="str">
        <x:v>高分析自动化 + 低最终执行自动化可兼顾效率与控制</x:v>
      </x:c>
      <x:c r="E11" s="25" t="str">
        <x:v>Parasuraman et al.</x:v>
      </x:c>
      <x:c r="F11" s="25" t="str">
        <x:v>任务时间；控制感；情况感知</x:v>
      </x:c>
      <x:c r="G11" s="25" t="str">
        <x:v>核心</x:v>
      </x:c>
    </x:row>
    <x:row r="12">
      <x:c r="A12" s="25" t="str">
        <x:v>Calibrated trust</x:v>
      </x:c>
      <x:c r="B12" s="25" t="str">
        <x:v>信任应匹配系统能力与情境</x:v>
      </x:c>
      <x:c r="C12" s="25" t="str">
        <x:v>置信度、证据、失败模式与可撤销性显示</x:v>
      </x:c>
      <x:c r="D12" s="25" t="str">
        <x:v>校准信息能减少过度依赖和不当拒绝</x:v>
      </x:c>
      <x:c r="E12" s="25" t="str">
        <x:v>Lee &amp; See; Amershi et al.</x:v>
      </x:c>
      <x:c r="F12" s="25" t="str">
        <x:v>适当依赖率；信任校准</x:v>
      </x:c>
      <x:c r="G12" s="25" t="str">
        <x:v>核心</x:v>
      </x:c>
    </x:row>
    <x:row r="13">
      <x:c r="A13" s="25" t="str">
        <x:v>COFI / reciprocal co-creation</x:v>
      </x:c>
      <x:c r="B13" s="25" t="str">
        <x:v>共创由轮次、贡献类型和沟通结构组成</x:v>
      </x:c>
      <x:c r="C13" s="25" t="str">
        <x:v>定义 agent 何时提议/修改/评价/选择</x:v>
      </x:c>
      <x:c r="D13" s="25" t="str">
        <x:v>显式协作协议能减少主动权冲突</x:v>
      </x:c>
      <x:c r="E13" s="25" t="str">
        <x:v>Rezwana &amp; Maher; Deterding et al.</x:v>
      </x:c>
      <x:c r="F13" s="25" t="str">
        <x:v>协作流畅度；agency；ownership</x:v>
      </x:c>
      <x:c r="G13" s="25" t="str">
        <x:v>核心</x:v>
      </x:c>
    </x:row>
    <x:row r="14">
      <x:c r="A14" s="25" t="str">
        <x:v>Typed agent memory</x:v>
      </x:c>
      <x:c r="B14" s="25" t="str">
        <x:v>情节、语义、程序记忆承担不同功能</x:v>
      </x:c>
      <x:c r="C14" s="25" t="str">
        <x:v>分库写入与混合检索；来源/时间/置信度</x:v>
      </x:c>
      <x:c r="D14" s="25" t="str">
        <x:v>类型化记忆优于扁平聊天历史</x:v>
      </x:c>
      <x:c r="E14" s="25" t="str">
        <x:v>Generative Agents; MemGPT; memory surveys</x:v>
      </x:c>
      <x:c r="F14" s="25" t="str">
        <x:v>检索准确、利用率、过时记忆错误</x:v>
      </x:c>
      <x:c r="G14" s="25" t="str">
        <x:v>核心</x:v>
      </x:c>
    </x:row>
    <x:row r="15">
      <x:c r="A15" s="25" t="str">
        <x:v>3D task taxonomy &amp; constraints</x:v>
      </x:c>
      <x:c r="B15" s="25" t="str">
        <x:v>导航、选择、操控与系统控制需要区分</x:v>
      </x:c>
      <x:c r="C15" s="25" t="str">
        <x:v>事件归一化 + reference-frame/constraint/part reasoning</x:v>
      </x:c>
      <x:c r="D15" s="25" t="str">
        <x:v>加入几何约束和任务模式能降低动作歧义</x:v>
      </x:c>
      <x:c r="E15" s="25" t="str">
        <x:v>Bowman; Mendes; iWIRES</x:v>
      </x:c>
      <x:c r="F15" s="25" t="str">
        <x:v>歧义率；约束破坏率</x:v>
      </x:c>
      <x:c r="G15" s="25" t="str">
        <x:v>核心</x:v>
      </x:c>
    </x:row>
    <x:row r="16">
      <x:c r="A16" s="25" t="str">
        <x:v>Sketch ambiguity</x:v>
      </x:c>
      <x:c r="B16" s="25" t="str">
        <x:v>同一笔迹可表示创建、细化或变形</x:v>
      </x:c>
      <x:c r="C16" s="25" t="str">
        <x:v>按阶段维持 operation-family 分布并给对比预览</x:v>
      </x:c>
      <x:c r="D16" s="25" t="str">
        <x:v>对比预览优于静默单一解释</x:v>
      </x:c>
      <x:c r="E16" s="25" t="str">
        <x:v>Olsen et al.; Teddy</x:v>
      </x:c>
      <x:c r="F16" s="25" t="str">
        <x:v>修正次数；首次意图命中</x:v>
      </x:c>
      <x:c r="G16" s="25" t="str">
        <x:v>核心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17"/>
      <x:c r="B19" s="17"/>
      <x:c r="C19" s="17"/>
      <x:c r="D19" s="17"/>
      <x:c r="E19" s="17"/>
      <x:c r="F19" s="17"/>
      <x:c r="G19" s="17"/>
    </x:row>
    <x:row r="20">
      <x:c r="A20" s="17"/>
      <x:c r="B20" s="17"/>
      <x:c r="C20" s="17"/>
      <x:c r="D20" s="17"/>
      <x:c r="E20" s="17"/>
      <x:c r="F20" s="17"/>
      <x:c r="G20" s="17"/>
    </x:row>
    <x:row r="21">
      <x:c r="A21" s="17"/>
      <x:c r="B21" s="17"/>
      <x:c r="C21" s="17"/>
      <x:c r="D21" s="17"/>
      <x:c r="E21" s="17"/>
      <x:c r="F21" s="17"/>
      <x:c r="G21" s="17"/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af6db66acd64f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48" hidden="0" customWidth="1"/>
    <x:col min="4" max="4" width="24" hidden="0" customWidth="1"/>
    <x:col min="5" max="5" width="42" hidden="0" customWidth="1"/>
    <x:col min="6" max="6" width="38" hidden="0" customWidth="1"/>
    <x:col min="7" max="7" width="50" hidden="0" customWidth="1"/>
    <x:col min="8" max="8" width="32" hidden="0" customWidth="1"/>
  </x:cols>
  <x:sheetData>
    <x:row r="1" ht="30" customHeight="1">
      <x:c r="A1" s="3" t="str">
        <x:v>交互信号 → 意图假设 → 记忆</x:v>
      </x:c>
    </x:row>
    <x:row r="2" ht="30" customHeight="1">
      <x:c r="A2" s="7" t="str">
        <x:v>信号从来不是单独的命令；必须与对象、时序、设计阶段和历史一起解释。</x:v>
      </x:c>
    </x:row>
    <x:row r="4" ht="30" customHeight="1">
      <x:c r="A4" s="24" t="str">
        <x:v>信号</x:v>
      </x:c>
      <x:c r="B4" s="24" t="str">
        <x:v>候选意图</x:v>
      </x:c>
      <x:c r="C4" s="24" t="str">
        <x:v>联合上下文</x:v>
      </x:c>
      <x:c r="D4" s="24" t="str">
        <x:v>记忆类型</x:v>
      </x:c>
      <x:c r="E4" s="24" t="str">
        <x:v>检索键</x:v>
      </x:c>
      <x:c r="F4" s="24" t="str">
        <x:v>主要风险</x:v>
      </x:c>
      <x:c r="G4" s="24" t="str">
        <x:v>系统响应</x:v>
      </x:c>
      <x:c r="H4" s="24" t="str">
        <x:v>理论依据</x:v>
      </x:c>
    </x:row>
    <x:row r="5">
      <x:c r="A5" s="25" t="str">
        <x:v>Select / hover</x:v>
      </x:c>
      <x:c r="B5" s="25" t="str">
        <x:v>对象或部件是当前关注目标</x:v>
      </x:c>
      <x:c r="C5" s="25" t="str">
        <x:v>语义部件、邻接、可供性、先前选择</x:v>
      </x:c>
      <x:c r="D5" s="25" t="str">
        <x:v>工作记忆 + 情节</x:v>
      </x:c>
      <x:c r="E5" s="25" t="str">
        <x:v>object/part id；stage；recency</x:v>
      </x:c>
      <x:c r="F5" s="25" t="str">
        <x:v>中：选中不等于要修改</x:v>
      </x:c>
      <x:c r="G5" s="25" t="str">
        <x:v>显示当前 scope，并允许扩/缩范围</x:v>
      </x:c>
      <x:c r="H5" s="25" t="str">
        <x:v>Selection is deictic focus</x:v>
      </x:c>
    </x:row>
    <x:row r="6">
      <x:c r="A6" s="25" t="str">
        <x:v>Brush / lasso</x:v>
      </x:c>
      <x:c r="B6" s="25" t="str">
        <x:v>局部工作区、边界或语义焦点</x:v>
      </x:c>
      <x:c r="C6" s="25" t="str">
        <x:v>覆盖率、边界、部件分割、刷速、重复</x:v>
      </x:c>
      <x:c r="D6" s="25" t="str">
        <x:v>情节</x:v>
      </x:c>
      <x:c r="E6" s="25" t="str">
        <x:v>spatial overlap；part semantics</x:v>
      </x:c>
      <x:c r="F6" s="25" t="str">
        <x:v>高：替换/精修/标注多义</x:v>
      </x:c>
      <x:c r="G6" s="25" t="str">
        <x:v>输出多个 operation-family 预览</x:v>
      </x:c>
      <x:c r="H6" s="25" t="str">
        <x:v>Teddy; sketch surveys</x:v>
      </x:c>
    </x:row>
    <x:row r="7">
      <x:c r="A7" s="25" t="str">
        <x:v>Drag vector</x:v>
      </x:c>
      <x:c r="B7" s="25" t="str">
        <x:v>移动、缩放、拉伸、姿态或表达性变化</x:v>
      </x:c>
      <x:c r="C7" s="25" t="str">
        <x:v>屏幕向量、物体轴、视角、约束、手柄、幅度</x:v>
      </x:c>
      <x:c r="D7" s="25" t="str">
        <x:v>情节 + 程序</x:v>
      </x:c>
      <x:c r="E7" s="25" t="str">
        <x:v>trajectory similarity；reference frame</x:v>
      </x:c>
      <x:c r="F7" s="25" t="str">
        <x:v>高：2D→3D 深度/轴歧义</x:v>
      </x:c>
      <x:c r="G7" s="25" t="str">
        <x:v>约束化预览；必要时选轴</x:v>
      </x:c>
      <x:c r="H7" s="25" t="str">
        <x:v>van Emmerik; Reisman</x:v>
      </x:c>
    </x:row>
    <x:row r="8">
      <x:c r="A8" s="25" t="str">
        <x:v>Repeated micro-adjustment</x:v>
      </x:c>
      <x:c r="B8" s="25" t="str">
        <x:v>精修、寻找阈值或系统误解</x:v>
      </x:c>
      <x:c r="C8" s="25" t="str">
        <x:v>往返、幅度衰减、undo、停顿</x:v>
      </x:c>
      <x:c r="D8" s="25" t="str">
        <x:v>情节</x:v>
      </x:c>
      <x:c r="E8" s="25" t="str">
        <x:v>temporal pattern；same target</x:v>
      </x:c>
      <x:c r="F8" s="25" t="str">
        <x:v>中：可能是认知探测</x:v>
      </x:c>
      <x:c r="G8" s="25" t="str">
        <x:v>降低 agent 主动性，保留连续控制</x:v>
      </x:c>
      <x:c r="H8" s="25" t="str">
        <x:v>Epistemic action</x:v>
      </x:c>
    </x:row>
    <x:row r="9">
      <x:c r="A9" s="25" t="str">
        <x:v>Compare / accept / reject</x:v>
      </x:c>
      <x:c r="B9" s="25" t="str">
        <x:v>偏好、方向承诺或反例</x:v>
      </x:c>
      <x:c r="C9" s="25" t="str">
        <x:v>候选差异、决策时间、后续回退</x:v>
      </x:c>
      <x:c r="D9" s="25" t="str">
        <x:v>情节→语义偏好</x:v>
      </x:c>
      <x:c r="E9" s="25" t="str">
        <x:v>similar past alternatives；stage</x:v>
      </x:c>
      <x:c r="F9" s="25" t="str">
        <x:v>中：一次选择未必稳定</x:v>
      </x:c>
      <x:c r="G9" s="25" t="str">
        <x:v>局部更新；重复后才固化长期偏好</x:v>
      </x:c>
      <x:c r="H9" s="25" t="str">
        <x:v>CST; co-creation</x:v>
      </x:c>
    </x:row>
    <x:row r="10">
      <x:c r="A10" s="25" t="str">
        <x:v>Undo / restore</x:v>
      </x:c>
      <x:c r="B10" s="25" t="str">
        <x:v>结果不合意、范围错误或探索结束</x:v>
      </x:c>
      <x:c r="C10" s="25" t="str">
        <x:v>撤销链、撤销速度、是否继续同方向</x:v>
      </x:c>
      <x:c r="D10" s="25" t="str">
        <x:v>情节 + 程序失败</x:v>
      </x:c>
      <x:c r="E10" s="25" t="str">
        <x:v>edit provenance；failure similarity</x:v>
      </x:c>
      <x:c r="F10" s="25" t="str">
        <x:v>高：原因不可直接观测</x:v>
      </x:c>
      <x:c r="G10" s="25" t="str">
        <x:v>询问/推断原因但不永久归因</x:v>
      </x:c>
      <x:c r="H10" s="25" t="str">
        <x:v>Interactive ML</x:v>
      </x:c>
    </x:row>
    <x:row r="11">
      <x:c r="A11" s="25" t="str">
        <x:v>Camera navigation</x:v>
      </x:c>
      <x:c r="B11" s="25" t="str">
        <x:v>观察、检查遮挡或比较视角</x:v>
      </x:c>
      <x:c r="C11" s="25" t="str">
        <x:v>相机状态、对象是否固定、当前模式</x:v>
      </x:c>
      <x:c r="D11" s="25" t="str">
        <x:v>工作记忆</x:v>
      </x:c>
      <x:c r="E11" s="25" t="str">
        <x:v>viewpoint；visibility</x:v>
      </x:c>
      <x:c r="F11" s="25" t="str">
        <x:v>高：不得当作对象操作</x:v>
      </x:c>
      <x:c r="G11" s="25" t="str">
        <x:v>硬规则隔离 navigation 与 edit</x:v>
      </x:c>
      <x:c r="H11" s="25" t="str">
        <x:v>Bowman taxonomy</x:v>
      </x:c>
    </x:row>
    <x:row r="12">
      <x:c r="A12" s="25" t="str">
        <x:v>Tool / mode</x:v>
      </x:c>
      <x:c r="B12" s="25" t="str">
        <x:v>限制可行操作族</x:v>
      </x:c>
      <x:c r="C12" s="25" t="str">
        <x:v>active tool、gizmo、selection mode</x:v>
      </x:c>
      <x:c r="D12" s="25" t="str">
        <x:v>程序</x:v>
      </x:c>
      <x:c r="E12" s="25" t="str">
        <x:v>tool-operation compatibility</x:v>
      </x:c>
      <x:c r="F12" s="25" t="str">
        <x:v>低到中</x:v>
      </x:c>
      <x:c r="G12" s="25" t="str">
        <x:v>作为强先验但允许例外</x:v>
      </x:c>
      <x:c r="H12" s="25" t="str">
        <x:v>3D UI taxonomy</x:v>
      </x:c>
    </x:row>
    <x:row r="13">
      <x:c r="A13" s="25" t="str">
        <x:v>Geometry / constraints</x:v>
      </x:c>
      <x:c r="B13" s="25" t="str">
        <x:v>可行且结构合理的改变</x:v>
      </x:c>
      <x:c r="C13" s="25" t="str">
        <x:v>对称、接触、对齐、拓扑、接口</x:v>
      </x:c>
      <x:c r="D13" s="25" t="str">
        <x:v>语义 + 程序</x:v>
      </x:c>
      <x:c r="E13" s="25" t="str">
        <x:v>constraint graph；part relation</x:v>
      </x:c>
      <x:c r="F13" s="25" t="str">
        <x:v>高：错误会破坏结构</x:v>
      </x:c>
      <x:c r="G13" s="25" t="str">
        <x:v>默认保留；破坏需确认</x:v>
      </x:c>
      <x:c r="H13" s="25" t="str">
        <x:v>iWIRES; CAD intent</x:v>
      </x:c>
    </x:row>
    <x:row r="14">
      <x:c r="A14" s="25" t="str">
        <x:v>Design stage / commitment</x:v>
      </x:c>
      <x:c r="B14" s="25" t="str">
        <x:v>发散范围与保真度</x:v>
      </x:c>
      <x:c r="C14" s="25" t="str">
        <x:v>已接受结构、编辑历史、候选收敛</x:v>
      </x:c>
      <x:c r="D14" s="25" t="str">
        <x:v>语义状态</x:v>
      </x:c>
      <x:c r="E14" s="25" t="str">
        <x:v>stage match；commitment strength</x:v>
      </x:c>
      <x:c r="F14" s="25" t="str">
        <x:v>高：阶段误判会过度发散</x:v>
      </x:c>
      <x:c r="G14" s="25" t="str">
        <x:v>阶段可见、可手动修正</x:v>
      </x:c>
      <x:c r="H14" s="25" t="str">
        <x:v>CST; staged divergence</x:v>
      </x:c>
    </x:row>
    <x:row r="15">
      <x:c r="A15" s="25" t="str">
        <x:v>Past episodes / preferences</x:v>
      </x:c>
      <x:c r="B15" s="25" t="str">
        <x:v>个性化意图先验</x:v>
      </x:c>
      <x:c r="C15" s="25" t="str">
        <x:v>相似对象/部件/阶段及用户反馈</x:v>
      </x:c>
      <x:c r="D15" s="25" t="str">
        <x:v>情节/语义/程序分层</x:v>
      </x:c>
      <x:c r="E15" s="25" t="str">
        <x:v>relevance+recency+importance+stage</x:v>
      </x:c>
      <x:c r="F15" s="25" t="str">
        <x:v>高：陈旧/冲突记忆</x:v>
      </x:c>
      <x:c r="G15" s="25" t="str">
        <x:v>显示来源；衰减；当前证据优先</x:v>
      </x:c>
      <x:c r="H15" s="25" t="str">
        <x:v>Generative Agents; MemGPT</x:v>
      </x:c>
    </x:row>
    <x:row r="16">
      <x:c r="A16" s="17"/>
      <x:c r="B16" s="17"/>
      <x:c r="C16" s="17"/>
      <x:c r="D16" s="17"/>
      <x:c r="E16" s="17"/>
      <x:c r="F16" s="17"/>
      <x:c r="G16" s="17"/>
      <x:c r="H16" s="17"/>
    </x:row>
    <x:row r="17">
      <x:c r="A17" s="17"/>
      <x:c r="B17" s="17"/>
      <x:c r="C17" s="17"/>
      <x:c r="D17" s="17"/>
      <x:c r="E17" s="17"/>
      <x:c r="F17" s="17"/>
      <x:c r="G17" s="17"/>
      <x:c r="H17" s="17"/>
    </x:row>
    <x:row r="18">
      <x:c r="A18" s="17"/>
      <x:c r="B18" s="17"/>
      <x:c r="C18" s="17"/>
      <x:c r="D18" s="17"/>
      <x:c r="E18" s="17"/>
      <x:c r="F18" s="17"/>
      <x:c r="G18" s="17"/>
      <x:c r="H18" s="17"/>
    </x:row>
    <x:row r="19">
      <x:c r="A19" s="17"/>
      <x:c r="B19" s="17"/>
      <x:c r="C19" s="17"/>
      <x:c r="D19" s="17"/>
      <x:c r="E19" s="17"/>
      <x:c r="F19" s="17"/>
      <x:c r="G19" s="17"/>
      <x:c r="H19" s="17"/>
    </x:row>
    <x:row r="20">
      <x:c r="A20" s="17"/>
      <x:c r="B20" s="17"/>
      <x:c r="C20" s="17"/>
      <x:c r="D20" s="17"/>
      <x:c r="E20" s="17"/>
      <x:c r="F20" s="17"/>
      <x:c r="G20" s="17"/>
      <x:c r="H20" s="17"/>
    </x:row>
    <x:row r="21">
      <x:c r="A21" s="17"/>
      <x:c r="B21" s="17"/>
      <x:c r="C21" s="17"/>
      <x:c r="D21" s="17"/>
      <x:c r="E21" s="17"/>
      <x:c r="F21" s="17"/>
      <x:c r="G21" s="17"/>
      <x:c r="H21" s="17"/>
    </x:row>
    <x:row r="22">
      <x:c r="A22" s="17"/>
      <x:c r="B22" s="17"/>
      <x:c r="C22" s="17"/>
      <x:c r="D22" s="17"/>
      <x:c r="E22" s="17"/>
      <x:c r="F22" s="17"/>
      <x:c r="G22" s="17"/>
      <x:c r="H22" s="17"/>
    </x:row>
    <x:row r="23">
      <x:c r="A23" s="17"/>
      <x:c r="B23" s="17"/>
      <x:c r="C23" s="17"/>
      <x:c r="D23" s="17"/>
      <x:c r="E23" s="17"/>
      <x:c r="F23" s="17"/>
      <x:c r="G23" s="17"/>
      <x:c r="H23" s="17"/>
    </x:row>
    <x:row r="24">
      <x:c r="A24" s="17"/>
      <x:c r="B24" s="17"/>
      <x:c r="C24" s="17"/>
      <x:c r="D24" s="17"/>
      <x:c r="E24" s="17"/>
      <x:c r="F24" s="17"/>
      <x:c r="G24" s="17"/>
      <x:c r="H24" s="17"/>
    </x:row>
    <x:row r="25">
      <x:c r="A25" s="17"/>
      <x:c r="B25" s="17"/>
      <x:c r="C25" s="17"/>
      <x:c r="D25" s="17"/>
      <x:c r="E25" s="17"/>
      <x:c r="F25" s="17"/>
      <x:c r="G25" s="17"/>
      <x:c r="H25" s="17"/>
    </x:row>
    <x:row r="26">
      <x:c r="A26" s="17"/>
      <x:c r="B26" s="17"/>
      <x:c r="C26" s="17"/>
      <x:c r="D26" s="17"/>
      <x:c r="E26" s="17"/>
      <x:c r="F26" s="17"/>
      <x:c r="G26" s="17"/>
      <x:c r="H26" s="17"/>
    </x:row>
    <x:row r="27">
      <x:c r="A27" s="17"/>
      <x:c r="B27" s="17"/>
      <x:c r="C27" s="17"/>
      <x:c r="D27" s="17"/>
      <x:c r="E27" s="17"/>
      <x:c r="F27" s="17"/>
      <x:c r="G27" s="17"/>
      <x:c r="H27" s="17"/>
    </x:row>
    <x:row r="28">
      <x:c r="A28" s="17"/>
      <x:c r="B28" s="17"/>
      <x:c r="C28" s="17"/>
      <x:c r="D28" s="17"/>
      <x:c r="E28" s="17"/>
      <x:c r="F28" s="17"/>
      <x:c r="G28" s="17"/>
      <x:c r="H28" s="17"/>
    </x:row>
    <x:row r="29">
      <x:c r="A29" s="17"/>
      <x:c r="B29" s="17"/>
      <x:c r="C29" s="17"/>
      <x:c r="D29" s="17"/>
      <x:c r="E29" s="17"/>
      <x:c r="F29" s="17"/>
      <x:c r="G29" s="17"/>
      <x:c r="H29" s="17"/>
    </x:row>
    <x:row r="30">
      <x:c r="A30" s="17"/>
      <x:c r="B30" s="17"/>
      <x:c r="C30" s="17"/>
      <x:c r="D30" s="17"/>
      <x:c r="E30" s="17"/>
      <x:c r="F30" s="17"/>
      <x:c r="G30" s="17"/>
      <x:c r="H30" s="1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566d614d4fd4a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5" hidden="0" customWidth="1"/>
    <x:col min="3" max="3" width="55" hidden="0" customWidth="1"/>
    <x:col min="4" max="4" width="28" hidden="0" customWidth="1"/>
    <x:col min="5" max="5" width="35" hidden="0" customWidth="1"/>
    <x:col min="6" max="6" width="12" hidden="0" customWidth="1"/>
    <x:col min="7" max="7" width="52" hidden="0" customWidth="1"/>
  </x:cols>
  <x:sheetData>
    <x:row r="1" ht="30" customHeight="1">
      <x:c r="A1" s="3" t="str">
        <x:v>人机接管 / Authority Transfer 边界条件</x:v>
      </x:c>
    </x:row>
    <x:row r="2" ht="30" customHeight="1">
      <x:c r="A2" s="7" t="str">
        <x:v>阈值为待实验校准的设计假设，不是既定事实。原则：最小必要权限、可见理由、可逆性和随时返还控制。</x:v>
      </x:c>
    </x:row>
    <x:row r="4" ht="30" customHeight="1">
      <x:c r="A4" s="24" t="str">
        <x:v>边界变量</x:v>
      </x:c>
      <x:c r="B4" s="24" t="str">
        <x:v>触发条件</x:v>
      </x:c>
      <x:c r="C4" s="24" t="str">
        <x:v>允许的 Agent 行为</x:v>
      </x:c>
      <x:c r="D4" s="24" t="str">
        <x:v>权限/接管级别</x:v>
      </x:c>
      <x:c r="E4" s="24" t="str">
        <x:v>理论来源</x:v>
      </x:c>
      <x:c r="F4" s="24" t="str">
        <x:v>风险</x:v>
      </x:c>
      <x:c r="G4" s="24" t="str">
        <x:v>实现备注</x:v>
      </x:c>
    </x:row>
    <x:row r="5">
      <x:c r="A5" s="25" t="str">
        <x:v>意图置信度/熵</x:v>
      </x:c>
      <x:c r="B5" s="25" t="str">
        <x:v>低或多个假设接近</x:v>
      </x:c>
      <x:c r="C5" s="25" t="str">
        <x:v>只观察、提问、展示对比候选</x:v>
      </x:c>
      <x:c r="D5" s="25" t="str">
        <x:v>不执行</x:v>
      </x:c>
      <x:c r="E5" s="25" t="str">
        <x:v>Bayesian intent inference</x:v>
      </x:c>
      <x:c r="F5" s="25" t="str">
        <x:v>高</x:v>
      </x:c>
      <x:c r="G5" s="25" t="str">
        <x:v>用校准曲线而非裸 softmax</x:v>
      </x:c>
    </x:row>
    <x:row r="6">
      <x:c r="A6" s="25" t="str">
        <x:v>可逆性</x:v>
      </x:c>
      <x:c r="B6" s="25" t="str">
        <x:v>完全可撤销且局部</x:v>
      </x:c>
      <x:c r="C6" s="25" t="str">
        <x:v>可自动生成并预览；用户允许时应用</x:v>
      </x:c>
      <x:c r="D6" s="25" t="str">
        <x:v>预览/局部执行</x:v>
      </x:c>
      <x:c r="E6" s="25" t="str">
        <x:v>Mixed initiative; direct manipulation</x:v>
      </x:c>
      <x:c r="F6" s="25" t="str">
        <x:v>中</x:v>
      </x:c>
      <x:c r="G6" s="25" t="str">
        <x:v>撤销必须真实恢复几何、语义和记忆</x:v>
      </x:c>
    </x:row>
    <x:row r="7">
      <x:c r="A7" s="25" t="str">
        <x:v>影响范围</x:v>
      </x:c>
      <x:c r="B7" s="25" t="str">
        <x:v>跨部件、全局比例、拓扑或已接受结构</x:v>
      </x:c>
      <x:c r="C7" s="25" t="str">
        <x:v>解释影响并请求确认</x:v>
      </x:c>
      <x:c r="D7" s="25" t="str">
        <x:v>显式确认</x:v>
      </x:c>
      <x:c r="E7" s="25" t="str">
        <x:v>Variable autonomy</x:v>
      </x:c>
      <x:c r="F7" s="25" t="str">
        <x:v>高</x:v>
      </x:c>
      <x:c r="G7" s="25" t="str">
        <x:v>blast radius 比置信度更优先</x:v>
      </x:c>
    </x:row>
    <x:row r="8">
      <x:c r="A8" s="25" t="str">
        <x:v>设计承诺</x:v>
      </x:c>
      <x:c r="B8" s="25" t="str">
        <x:v>已选择/反复保留/进入精修</x:v>
      </x:c>
      <x:c r="C8" s="25" t="str">
        <x:v>锁定已承诺结构；只开放选定部分</x:v>
      </x:c>
      <x:c r="D8" s="25" t="str">
        <x:v>人主导</x:v>
      </x:c>
      <x:c r="E8" s="25" t="str">
        <x:v>Creativity support</x:v>
      </x:c>
      <x:c r="F8" s="25" t="str">
        <x:v>高</x:v>
      </x:c>
      <x:c r="G8" s="25" t="str">
        <x:v>允许用户显式重新打开设计空间</x:v>
      </x:c>
    </x:row>
    <x:row r="9">
      <x:c r="A9" s="25" t="str">
        <x:v>结构约束</x:v>
      </x:c>
      <x:c r="B9" s="25" t="str">
        <x:v>可能破坏对称、接触、接口或拓扑</x:v>
      </x:c>
      <x:c r="C9" s="25" t="str">
        <x:v>提供保约束版本与破约束版本</x:v>
      </x:c>
      <x:c r="D9" s="25" t="str">
        <x:v>确认后破约束</x:v>
      </x:c>
      <x:c r="E9" s="25" t="str">
        <x:v>Structure-aware editing</x:v>
      </x:c>
      <x:c r="F9" s="25" t="str">
        <x:v>高</x:v>
      </x:c>
      <x:c r="G9" s="25" t="str">
        <x:v>约束不是永恒真理，但破坏必须可见</x:v>
      </x:c>
    </x:row>
    <x:row r="10">
      <x:c r="A10" s="25" t="str">
        <x:v>模型分布外/解释失败</x:v>
      </x:c>
      <x:c r="B10" s="25" t="str">
        <x:v>新工具、异常轨迹、上下文冲突</x:v>
      </x:c>
      <x:c r="C10" s="25" t="str">
        <x:v>降级到建议/手动；记录未知</x:v>
      </x:c>
      <x:c r="D10" s="25" t="str">
        <x:v>人接管</x:v>
      </x:c>
      <x:c r="E10" s="25" t="str">
        <x:v>Human-AI uncertainty</x:v>
      </x:c>
      <x:c r="F10" s="25" t="str">
        <x:v>高</x:v>
      </x:c>
      <x:c r="G10" s="25" t="str">
        <x:v>不能解释时不应以高置信度执行</x:v>
      </x:c>
    </x:row>
    <x:row r="11">
      <x:c r="A11" s="25" t="str">
        <x:v>记忆冲突/陈旧</x:v>
      </x:c>
      <x:c r="B11" s="25" t="str">
        <x:v>当前行为与长期偏好冲突</x:v>
      </x:c>
      <x:c r="C11" s="25" t="str">
        <x:v>当前会话优先；显示冲突并允许修正</x:v>
      </x:c>
      <x:c r="D11" s="25" t="str">
        <x:v>暂停长期记忆影响</x:v>
      </x:c>
      <x:c r="E11" s="25" t="str">
        <x:v>Agent memory</x:v>
      </x:c>
      <x:c r="F11" s="25" t="str">
        <x:v>高</x:v>
      </x:c>
      <x:c r="G11" s="25" t="str">
        <x:v>每条记忆保留来源、时间、版本</x:v>
      </x:c>
    </x:row>
    <x:row r="12">
      <x:c r="A12" s="25" t="str">
        <x:v>时间压力</x:v>
      </x:c>
      <x:c r="B12" s="25" t="str">
        <x:v>任务紧迫但错误可恢复</x:v>
      </x:c>
      <x:c r="C12" s="25" t="str">
        <x:v>提高建议/预览速度，不越过确认边界</x:v>
      </x:c>
      <x:c r="D12" s="25" t="str">
        <x:v>动态但受上限约束</x:v>
      </x:c>
      <x:c r="E12" s="25" t="str">
        <x:v>Mixed initiative</x:v>
      </x:c>
      <x:c r="F12" s="25" t="str">
        <x:v>中</x:v>
      </x:c>
      <x:c r="G12" s="25" t="str">
        <x:v>时间压力不授权不可逆结构改动</x:v>
      </x:c>
    </x:row>
    <x:row r="13">
      <x:c r="A13" s="25" t="str">
        <x:v>用户注意/中断成本</x:v>
      </x:c>
      <x:c r="B13" s="25" t="str">
        <x:v>用户在连续精细操作中</x:v>
      </x:c>
      <x:c r="C13" s="25" t="str">
        <x:v>延迟非关键建议；不中断控制流</x:v>
      </x:c>
      <x:c r="D13" s="25" t="str">
        <x:v>等待</x:v>
      </x:c>
      <x:c r="E13" s="25" t="str">
        <x:v>Horvitz</x:v>
      </x:c>
      <x:c r="F13" s="25" t="str">
        <x:v>中</x:v>
      </x:c>
      <x:c r="G13" s="25" t="str">
        <x:v>在自然断点介入</x:v>
      </x:c>
    </x:row>
    <x:row r="14">
      <x:c r="A14" s="25" t="str">
        <x:v>控制冲突</x:v>
      </x:c>
      <x:c r="B14" s="25" t="str">
        <x:v>用户立即反向操作、撤销或抢回 gizmo</x:v>
      </x:c>
      <x:c r="C14" s="25" t="str">
        <x:v>Agent 立刻停止并返还控制</x:v>
      </x:c>
      <x:c r="D14" s="25" t="str">
        <x:v>强制人接管</x:v>
      </x:c>
      <x:c r="E14" s="25" t="str">
        <x:v>Adjustable autonomy</x:v>
      </x:c>
      <x:c r="F14" s="25" t="str">
        <x:v>高</x:v>
      </x:c>
      <x:c r="G14" s="25" t="str">
        <x:v>抢回优先级最高，无辩论式阻塞</x:v>
      </x:c>
    </x:row>
    <x:row r="15">
      <x:c r="A15" s="25" t="str">
        <x:v>Agent 贡献 legibility</x:v>
      </x:c>
      <x:c r="B15" s="25" t="str">
        <x:v>用户无法预测会改变什么</x:v>
      </x:c>
      <x:c r="C15" s="25" t="str">
        <x:v>只给 before/after、scope、保留项解释</x:v>
      </x:c>
      <x:c r="D15" s="25" t="str">
        <x:v>禁止应用</x:v>
      </x:c>
      <x:c r="E15" s="25" t="str">
        <x:v>Legibility</x:v>
      </x:c>
      <x:c r="F15" s="25" t="str">
        <x:v>高</x:v>
      </x:c>
      <x:c r="G15" s="25" t="str">
        <x:v>先让系统意图可读，再谈自动化</x:v>
      </x:c>
    </x:row>
    <x:row r="16">
      <x:c r="A16" s="25" t="str">
        <x:v>重复成功证据</x:v>
      </x:c>
      <x:c r="B16" s="25" t="str">
        <x:v>同类场景多次接受且无纠正</x:v>
      </x:c>
      <x:c r="C16" s="25" t="str">
        <x:v>可逐步提高局部可逆自动化</x:v>
      </x:c>
      <x:c r="D16" s="25" t="str">
        <x:v>可学习升级</x:v>
      </x:c>
      <x:c r="E16" s="25" t="str">
        <x:v>SARI; IML</x:v>
      </x:c>
      <x:c r="F16" s="25" t="str">
        <x:v>中</x:v>
      </x:c>
      <x:c r="G16" s="25" t="str">
        <x:v>升级需可撤销、可重置、可审计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27" t="str">
        <x:v>推荐权限阶梯</x:v>
      </x:c>
      <x:c r="B19" s="17"/>
      <x:c r="C19" s="17"/>
      <x:c r="D19" s="17"/>
      <x:c r="E19" s="17"/>
      <x:c r="F19" s="17"/>
      <x:c r="G19" s="17"/>
    </x:row>
    <x:row r="20">
      <x:c r="A20" s="17" t="str">
        <x:v>L0 Observe</x:v>
      </x:c>
      <x:c r="B20" s="17" t="str">
        <x:v>只记录信号和状态</x:v>
      </x:c>
      <x:c r="C20" s="17" t="str">
        <x:v>无外显干预</x:v>
      </x:c>
      <x:c r="D20" s="17" t="str">
        <x:v>默认起点</x:v>
      </x:c>
      <x:c r="E20" s="17" t="str">
        <x:v>任何情境</x:v>
      </x:c>
      <x:c r="F20" s="17" t="str"/>
      <x:c r="G20" s="17"/>
    </x:row>
    <x:row r="21">
      <x:c r="A21" s="17" t="str">
        <x:v>L1 Infer</x:v>
      </x:c>
      <x:c r="B21" s="17" t="str">
        <x:v>形成并显示多假设</x:v>
      </x:c>
      <x:c r="C21" s="17" t="str">
        <x:v>用户可修正</x:v>
      </x:c>
      <x:c r="D21" s="17" t="str">
        <x:v>低置信度/高歧义</x:v>
      </x:c>
      <x:c r="E21" s="17" t="str">
        <x:v>不改变模型</x:v>
      </x:c>
      <x:c r="F21" s="17" t="str"/>
      <x:c r="G21" s="17"/>
    </x:row>
    <x:row r="22">
      <x:c r="A22" s="17" t="str">
        <x:v>L2 Suggest</x:v>
      </x:c>
      <x:c r="B22" s="17" t="str">
        <x:v>提出操作/检索结果</x:v>
      </x:c>
      <x:c r="C22" s="17" t="str">
        <x:v>不生成最终改动</x:v>
      </x:c>
      <x:c r="D22" s="17" t="str">
        <x:v>中等置信度</x:v>
      </x:c>
      <x:c r="E22" s="17" t="str">
        <x:v>用户忙碌时延迟</x:v>
      </x:c>
      <x:c r="F22" s="17" t="str"/>
      <x:c r="G22" s="17"/>
    </x:row>
    <x:row r="23">
      <x:c r="A23" s="17" t="str">
        <x:v>L3 Preview</x:v>
      </x:c>
      <x:c r="B23" s="17" t="str">
        <x:v>生成可逆候选/ghost preview</x:v>
      </x:c>
      <x:c r="C23" s="17" t="str">
        <x:v>不写入已承诺模型</x:v>
      </x:c>
      <x:c r="D23" s="17" t="str">
        <x:v>中高置信度</x:v>
      </x:c>
      <x:c r="E23" s="17" t="str">
        <x:v>推荐默认 Agent 主动级</x:v>
      </x:c>
      <x:c r="F23" s="17" t="str"/>
      <x:c r="G23" s="17"/>
    </x:row>
    <x:row r="24">
      <x:c r="A24" s="17" t="str">
        <x:v>L4 Apply local</x:v>
      </x:c>
      <x:c r="B24" s="17" t="str">
        <x:v>执行局部、可逆、低 blast-radius 操作</x:v>
      </x:c>
      <x:c r="C24" s="17" t="str">
        <x:v>完整 undo + 日志</x:v>
      </x:c>
      <x:c r="D24" s="17" t="str">
        <x:v>高置信度且有重复成功证据</x:v>
      </x:c>
      <x:c r="E24" s="17" t="str">
        <x:v>用户可全局关闭</x:v>
      </x:c>
      <x:c r="F24" s="17" t="str"/>
      <x:c r="G24" s="17"/>
    </x:row>
    <x:row r="25">
      <x:c r="A25" s="17" t="str">
        <x:v>L5 Structural apply</x:v>
      </x:c>
      <x:c r="B25" s="17" t="str">
        <x:v>全局/拓扑/已承诺结构修改</x:v>
      </x:c>
      <x:c r="C25" s="17" t="str">
        <x:v>必须显式确认</x:v>
      </x:c>
      <x:c r="D25" s="17" t="str">
        <x:v>无论模型置信度</x:v>
      </x:c>
      <x:c r="E25" s="17" t="str">
        <x:v>最高风险</x:v>
      </x:c>
      <x:c r="F25" s="17" t="str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H1"/>
    <x:mergeCell ref="A2:H2"/>
    <x:mergeCell ref="A19:H19"/>
  </x:mergeCells>
  <x:pageMargins left="0.7" right="0.7" top="0.75" bottom="0.75" header="0.3" footer="0.3"/>
  <x:tableParts count="1">
    <x:tablePart xmlns:r="http://schemas.openxmlformats.org/officeDocument/2006/relationships" r:id="R9a73b69fe5f646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  <x:col min="3" max="3" width="62" hidden="0" customWidth="1"/>
    <x:col min="4" max="4" width="36" hidden="0" customWidth="1"/>
    <x:col min="5" max="5" width="28" hidden="0" customWidth="1"/>
  </x:cols>
  <x:sheetData>
    <x:row r="1" ht="30" customHeight="1">
      <x:c r="A1" s="3" t="str">
        <x:v>DC1：从三维认知心智模型解释直觉型交互信号</x:v>
      </x:c>
    </x:row>
    <x:row r="2" ht="30" customHeight="1">
      <x:c r="A2" s="7" t="str">
        <x:v>可直接转写进论文的 design requirements / hypotheses 草案。</x:v>
      </x:c>
    </x:row>
    <x:row r="4" ht="30" customHeight="1">
      <x:c r="A4" s="24" t="str">
        <x:v>编号</x:v>
      </x:c>
      <x:c r="B4" s="24" t="str">
        <x:v>要求/假设</x:v>
      </x:c>
      <x:c r="C4" s="24" t="str">
        <x:v>操作化</x:v>
      </x:c>
      <x:c r="D4" s="24" t="str">
        <x:v>理论来源</x:v>
      </x:c>
      <x:c r="E4" s="24" t="str">
        <x:v>验证位置</x:v>
      </x:c>
    </x:row>
    <x:row r="5">
      <x:c r="A5" s="25" t="str">
        <x:v>DR1</x:v>
      </x:c>
      <x:c r="B5" s="25" t="str">
        <x:v>将意图表示为可修订的概率假设，而不是固定命令</x:v>
      </x:c>
      <x:c r="C5" s="25" t="str">
        <x:v>每个假设含 target、operation family、scope、preserve constraints、confidence、evidence</x:v>
      </x:c>
      <x:c r="D5" s="25" t="str">
        <x:v>Baker; Jain &amp; Argall</x:v>
      </x:c>
      <x:c r="E5" s="25" t="str">
        <x:v>核心架构</x:v>
      </x:c>
    </x:row>
    <x:row r="6">
      <x:c r="A6" s="25" t="str">
        <x:v>DR2</x:v>
      </x:c>
      <x:c r="B6" s="25" t="str">
        <x:v>用对象/部件语义和 3D 参考系解释动作</x:v>
      </x:c>
      <x:c r="C6" s="25" t="str">
        <x:v>同时编码 screen/world/object/local frame 与 active constraints</x:v>
      </x:c>
      <x:c r="D6" s="25" t="str">
        <x:v>van Emmerik; Bowman; Reisman</x:v>
      </x:c>
      <x:c r="E6" s="25" t="str">
        <x:v>交互理解</x:v>
      </x:c>
    </x:row>
    <x:row r="7">
      <x:c r="A7" s="25" t="str">
        <x:v>DR3</x:v>
      </x:c>
      <x:c r="B7" s="25" t="str">
        <x:v>区分 epistemic exploration 与 pragmatic commitment</x:v>
      </x:c>
      <x:c r="C7" s="25" t="str">
        <x:v>从重复、停顿、比较、撤销和幅度变化估计承诺状态</x:v>
      </x:c>
      <x:c r="D7" s="25" t="str">
        <x:v>Kirsh &amp; Maglio</x:v>
      </x:c>
      <x:c r="E7" s="25" t="str">
        <x:v>避免过早执行</x:v>
      </x:c>
    </x:row>
    <x:row r="8">
      <x:c r="A8" s="25" t="str">
        <x:v>DR4</x:v>
      </x:c>
      <x:c r="B8" s="25" t="str">
        <x:v>检索相似情节必须匹配对象、部件、阶段与意图，而非只做文本相似</x:v>
      </x:c>
      <x:c r="C8" s="25" t="str">
        <x:v>hybrid score = semantic relevance + stage + recency + importance + provenance</x:v>
      </x:c>
      <x:c r="D8" s="25" t="str">
        <x:v>Generative Agents; memory survey</x:v>
      </x:c>
      <x:c r="E8" s="25" t="str">
        <x:v>记忆检索</x:v>
      </x:c>
    </x:row>
    <x:row r="9">
      <x:c r="A9" s="25" t="str">
        <x:v>DR5</x:v>
      </x:c>
      <x:c r="B9" s="25" t="str">
        <x:v>分离 episodic / semantic / procedural memory</x:v>
      </x:c>
      <x:c r="C9" s="25" t="str">
        <x:v>情节保存发生过什么；语义保存稳定偏好；程序保存验证过的策略</x:v>
      </x:c>
      <x:c r="D9" s="25" t="str">
        <x:v>Memory Matters; MemGPT</x:v>
      </x:c>
      <x:c r="E9" s="25" t="str">
        <x:v>记忆架构</x:v>
      </x:c>
    </x:row>
    <x:row r="10">
      <x:c r="A10" s="25" t="str">
        <x:v>DR6</x:v>
      </x:c>
      <x:c r="B10" s="25" t="str">
        <x:v>让系统意图 legible</x:v>
      </x:c>
      <x:c r="C10" s="25" t="str">
        <x:v>执行前显示改变范围、保留项、约束、理由和候选差异</x:v>
      </x:c>
      <x:c r="D10" s="25" t="str">
        <x:v>Dragan; Amershi</x:v>
      </x:c>
      <x:c r="E10" s="25" t="str">
        <x:v>可理解与纠错</x:v>
      </x:c>
    </x:row>
    <x:row r="11">
      <x:c r="A11" s="25" t="str">
        <x:v>DR7</x:v>
      </x:c>
      <x:c r="B11" s="25" t="str">
        <x:v>按功能分配自动化，不做全局二元接管</x:v>
      </x:c>
      <x:c r="C11" s="25" t="str">
        <x:v>信号采集与分析可高自动；方案选择和结构应用由人把关</x:v>
      </x:c>
      <x:c r="D11" s="25" t="str">
        <x:v>Parasuraman; adjustable autonomy</x:v>
      </x:c>
      <x:c r="E11" s="25" t="str">
        <x:v>接管边界</x:v>
      </x:c>
    </x:row>
    <x:row r="12">
      <x:c r="A12" s="25" t="str">
        <x:v>DR8</x:v>
      </x:c>
      <x:c r="B12" s="25" t="str">
        <x:v>Agent 主动性由置信度 × 可逆性 × 影响范围 × 打扰成本共同决定</x:v>
      </x:c>
      <x:c r="C12" s="25" t="str">
        <x:v>低置信度提问；中等预览；高置信局部可逆执行；结构改动确认</x:v>
      </x:c>
      <x:c r="D12" s="25" t="str">
        <x:v>Horvitz; Lee &amp; See</x:v>
      </x:c>
      <x:c r="E12" s="25" t="str">
        <x:v>主动策略</x:v>
      </x:c>
    </x:row>
    <x:row r="13">
      <x:c r="A13" s="25" t="str">
        <x:v>DR9</x:v>
      </x:c>
      <x:c r="B13" s="25" t="str">
        <x:v>把 accept/reject/undo/correction 作为带来源的学习信号</x:v>
      </x:c>
      <x:c r="C13" s="25" t="str">
        <x:v>一次反馈只更新情节；跨情节稳定后再更新长期偏好/程序</x:v>
      </x:c>
      <x:c r="D13" s="25" t="str">
        <x:v>Interactive ML; SARI</x:v>
      </x:c>
      <x:c r="E13" s="25" t="str">
        <x:v>在线学习</x:v>
      </x:c>
    </x:row>
    <x:row r="14">
      <x:c r="A14" s="25" t="str">
        <x:v>DR10</x:v>
      </x:c>
      <x:c r="B14" s="25" t="str">
        <x:v>维护并尊重设计承诺，同时允许显式重新打开局部空间</x:v>
      </x:c>
      <x:c r="C14" s="25" t="str">
        <x:v>accepted structure 转为 guardrail；selected part 可 reopen</x:v>
      </x:c>
      <x:c r="D14" s="25" t="str">
        <x:v>CST; COFI; staged divergence</x:v>
      </x:c>
      <x:c r="E14" s="25" t="str">
        <x:v>创造性与控制</x:v>
      </x:c>
    </x:row>
    <x:row r="15">
      <x:c r="A15" s="25" t="str">
        <x:v>H1</x:v>
      </x:c>
      <x:c r="B15" s="25" t="str">
        <x:v>联合上下文模型优于单事件模型</x:v>
      </x:c>
      <x:c r="C15" s="25" t="str">
        <x:v>比较 action-only vs action+geometry+stage+history 的 top-k 与校准</x:v>
      </x:c>
      <x:c r="D15" s="25" t="str">
        <x:v>理论矩阵</x:v>
      </x:c>
      <x:c r="E15" s="25" t="str">
        <x:v>技术评估</x:v>
      </x:c>
    </x:row>
    <x:row r="16">
      <x:c r="A16" s="25" t="str">
        <x:v>H2</x:v>
      </x:c>
      <x:c r="B16" s="25" t="str">
        <x:v>多假设预览比 top-1 自动应用减少错误并提高控制感</x:v>
      </x:c>
      <x:c r="C16" s="25" t="str">
        <x:v>测修正率、控制感、任务时间和探索广度</x:v>
      </x:c>
      <x:c r="D16" s="25" t="str">
        <x:v>Mixed initiative</x:v>
      </x:c>
      <x:c r="E16" s="25" t="str">
        <x:v>用户研究</x:v>
      </x:c>
    </x:row>
    <x:row r="17">
      <x:c r="A17" s="25" t="str">
        <x:v>H3</x:v>
      </x:c>
      <x:c r="B17" s="25" t="str">
        <x:v>类型化记忆比扁平历史提高相关检索并减少过时偏好干扰</x:v>
      </x:c>
      <x:c r="C17" s="25" t="str">
        <x:v>离线检索评测 + 长程任务</x:v>
      </x:c>
      <x:c r="D17" s="25" t="str">
        <x:v>Agent memory</x:v>
      </x:c>
      <x:c r="E17" s="25" t="str">
        <x:v>技术评估</x:v>
      </x:c>
    </x:row>
    <x:row r="18">
      <x:c r="A18" s="25" t="str">
        <x:v>H4</x:v>
      </x:c>
      <x:c r="B18" s="25" t="str">
        <x:v>阶段/承诺感知的主动策略比固定主动策略提高 agency 且不降低产出质量</x:v>
      </x:c>
      <x:c r="C18" s="25" t="str">
        <x:v>三条件：prompt-only / fixed initiative / adaptive initiative</x:v>
      </x:c>
      <x:c r="D18" s="25" t="str">
        <x:v>CST + autonomy</x:v>
      </x:c>
      <x:c r="E18" s="25" t="str">
        <x:v>用户研究</x:v>
      </x:c>
    </x:row>
    <x:row r="19">
      <x:c r="A19" s="17"/>
      <x:c r="B19" s="17"/>
      <x:c r="C19" s="17"/>
      <x:c r="D19" s="17"/>
      <x:c r="E19" s="17"/>
    </x:row>
    <x:row r="20">
      <x:c r="A20" s="17"/>
      <x:c r="B20" s="17"/>
      <x:c r="C20" s="17"/>
      <x:c r="D20" s="17"/>
      <x:c r="E20" s="17"/>
    </x:row>
    <x:row r="21">
      <x:c r="A21" s="17"/>
      <x:c r="B21" s="17"/>
      <x:c r="C21" s="17"/>
      <x:c r="D21" s="17"/>
      <x:c r="E21" s="17"/>
    </x:row>
    <x:row r="22">
      <x:c r="A22" s="17"/>
      <x:c r="B22" s="17"/>
      <x:c r="C22" s="17"/>
      <x:c r="D22" s="17"/>
      <x:c r="E22" s="17"/>
    </x:row>
    <x:row r="23">
      <x:c r="A23" s="17"/>
      <x:c r="B23" s="17"/>
      <x:c r="C23" s="17"/>
      <x:c r="D23" s="17"/>
      <x:c r="E23" s="17"/>
    </x:row>
    <x:row r="24">
      <x:c r="A24" s="17"/>
      <x:c r="B24" s="17"/>
      <x:c r="C24" s="17"/>
      <x:c r="D24" s="17"/>
      <x:c r="E24" s="17"/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a2734ac8c8c4331"/>
  </x:tableParts>
</x:worksheet>
</file>