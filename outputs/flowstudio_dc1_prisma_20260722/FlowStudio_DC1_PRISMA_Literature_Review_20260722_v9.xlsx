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14.xml" ContentType="application/vnd.openxmlformats-officedocument.spreadsheetml.worksheet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worksheets/sheet15.xml" ContentType="application/vnd.openxmlformats-officedocument.spreadsheetml.worksheet+xml"/>
  <Override PartName="/xl/tables/table17.xml" ContentType="application/vnd.openxmlformats-officedocument.spreadsheetml.table+xml"/>
  <Override PartName="/xl/worksheets/sheet16.xml" ContentType="application/vnd.openxmlformats-officedocument.spreadsheetml.worksheet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worksheets/sheet17.xml" ContentType="application/vnd.openxmlformats-officedocument.spreadsheetml.worksheet+xml"/>
  <Override PartName="/xl/tables/table20.xml" ContentType="application/vnd.openxmlformats-officedocument.spreadsheetml.table+xml"/>
  <Override PartName="/xl/tables/table2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fa60e99ffc43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概览" sheetId="1" r:id="R0f0b336827374c93"/>
    <x:sheet xmlns:r="http://schemas.openxmlformats.org/officeDocument/2006/relationships" name="PRISMA流程" sheetId="2" r:id="R85d494bebe044c7a"/>
    <x:sheet xmlns:r="http://schemas.openxmlformats.org/officeDocument/2006/relationships" name="检索日志" sheetId="3" r:id="R722b2b3063fc4ed1"/>
    <x:sheet xmlns:r="http://schemas.openxmlformats.org/officeDocument/2006/relationships" name="筛选记录_1262" sheetId="4" r:id="R02291fcb06d042ce"/>
    <x:sheet xmlns:r="http://schemas.openxmlformats.org/officeDocument/2006/relationships" name="纳入文献_97" sheetId="5" r:id="R9ceae054bf6b47b4"/>
    <x:sheet xmlns:r="http://schemas.openxmlformats.org/officeDocument/2006/relationships" name="理论矩阵" sheetId="6" r:id="Raec67eb252ab4f8d"/>
    <x:sheet xmlns:r="http://schemas.openxmlformats.org/officeDocument/2006/relationships" name="信号_意图_记忆" sheetId="7" r:id="Rd3a880b1bb3b4e75"/>
    <x:sheet xmlns:r="http://schemas.openxmlformats.org/officeDocument/2006/relationships" name="接管边界" sheetId="8" r:id="R3fb6e37113f04cf4"/>
    <x:sheet xmlns:r="http://schemas.openxmlformats.org/officeDocument/2006/relationships" name="DC1设计要求" sheetId="9" r:id="Rf69ed2f6f0104454"/>
    <x:sheet xmlns:r="http://schemas.openxmlformats.org/officeDocument/2006/relationships" name="关键Insights" sheetId="10" r:id="Ra5ec4a273e0546de"/>
    <x:sheet xmlns:r="http://schemas.openxmlformats.org/officeDocument/2006/relationships" name="机制模型" sheetId="11" r:id="Rd1456be9cff64f51"/>
    <x:sheet xmlns:r="http://schemas.openxmlformats.org/officeDocument/2006/relationships" name="案例检索规范" sheetId="12" r:id="Rab88a7bc0bf042ce"/>
    <x:sheet xmlns:r="http://schemas.openxmlformats.org/officeDocument/2006/relationships" name="权限状态机" sheetId="13" r:id="Ra20e0954c8024d24"/>
    <x:sheet xmlns:r="http://schemas.openxmlformats.org/officeDocument/2006/relationships" name="IntentGraph规范" sheetId="14" r:id="R935314f9e0ac405b"/>
    <x:sheet xmlns:r="http://schemas.openxmlformats.org/officeDocument/2006/relationships" name="证据质量审计" sheetId="15" r:id="R4cbfb2637ecb4760"/>
    <x:sheet xmlns:r="http://schemas.openxmlformats.org/officeDocument/2006/relationships" name="DC1验证协议" sheetId="16" r:id="Rc3164c152bad4b52"/>
    <x:sheet xmlns:r="http://schemas.openxmlformats.org/officeDocument/2006/relationships" name="消融_指标矩阵" sheetId="17" r:id="Rd8d46b4b32b84c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.00"/>
  </x:numFmts>
  <x:fonts count="11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8323F"/>
      <x:name val="Carlito"/>
    </x:font>
    <x:font>
      <x:b/>
      <x:sz val="11"/>
      <x:color rgb="FFFFFFFF"/>
      <x:name val="Carlito"/>
    </x:font>
    <x:font>
      <x:b/>
      <x:sz val="12"/>
      <x:color rgb="FF17324D"/>
      <x:name val="Carlito"/>
    </x:font>
    <x:font>
      <x:b/>
      <x:sz val="11"/>
      <x:color rgb="FF17324D"/>
      <x:name val="Carlito"/>
    </x:font>
    <x:font>
      <x:sz val="9"/>
      <x:color rgb="FF18323F"/>
      <x:name val="Carlito"/>
    </x:font>
    <x:font>
      <x:b/>
      <x:sz val="9"/>
      <x:color rgb="FFFFFFFF"/>
      <x:name val="Carlito"/>
    </x:font>
    <x:font>
      <x:sz val="11"/>
      <x:color rgb="FF18323F"/>
      <x:name val="Carlito"/>
    </x:font>
    <x:font>
      <x:b/>
      <x:sz val="11"/>
      <x:color rgb="FF18323F"/>
      <x:name val="Carlito"/>
    </x:font>
    <x:font>
      <x:sz val="10"/>
      <x:color rgb="FF18323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DF3F2"/>
      </x:patternFill>
    </x:fill>
    <x:fill>
      <x:patternFill patternType="solid">
        <x:fgColor rgb="FF007C83"/>
      </x:patternFill>
    </x:fill>
    <x:fill>
      <x:patternFill patternType="solid">
        <x:fgColor rgb="FFF2B134"/>
      </x:patternFill>
    </x:fill>
    <x:fill>
      <x:patternFill patternType="solid">
        <x:fgColor rgb="FFFFFFFF"/>
      </x:patternFill>
    </x:fill>
    <x:fill>
      <x:patternFill patternType="solid">
        <x:fgColor rgb="FFF7FAFC"/>
      </x:patternFill>
    </x:fill>
  </x:fills>
  <x:borders count="18">
    <x:border/>
    <x:border>
      <x:left style="medium">
        <x:color rgb="FF007C83"/>
      </x:left>
      <x:top style="medium">
        <x:color rgb="FF007C83"/>
      </x:top>
    </x:border>
    <x:border>
      <x:top style="medium">
        <x:color rgb="FF007C83"/>
      </x:top>
    </x:border>
    <x:border>
      <x:right style="medium">
        <x:color rgb="FF007C83"/>
      </x:right>
      <x:top style="medium">
        <x:color rgb="FF007C83"/>
      </x:top>
    </x:border>
    <x:border>
      <x:left style="medium">
        <x:color rgb="FF007C83"/>
      </x:left>
    </x:border>
    <x:border>
      <x:right style="medium">
        <x:color rgb="FF007C83"/>
      </x:right>
    </x:border>
    <x:border>
      <x:left style="medium">
        <x:color rgb="FF007C83"/>
      </x:left>
      <x:bottom style="medium">
        <x:color rgb="FF007C83"/>
      </x:bottom>
    </x:border>
    <x:border>
      <x:bottom style="medium">
        <x:color rgb="FF007C83"/>
      </x:bottom>
    </x:border>
    <x:border>
      <x:right style="medium">
        <x:color rgb="FF007C83"/>
      </x:right>
      <x:bottom style="medium">
        <x:color rgb="FF007C83"/>
      </x:bottom>
    </x:border>
    <x:border>
      <x:left style="medium">
        <x:color rgb="FF007C83"/>
      </x:left>
      <x:right style="medium">
        <x:color rgb="FF007C83"/>
      </x:right>
      <x:top style="medium">
        <x:color rgb="FF007C83"/>
      </x:top>
      <x:bottom style="medium">
        <x:color rgb="FF007C83"/>
      </x:bottom>
    </x:border>
    <x:border>
      <x:left style="medium">
        <x:color rgb="FFF2B134"/>
      </x:left>
      <x:top style="medium">
        <x:color rgb="FFF2B134"/>
      </x:top>
    </x:border>
    <x:border>
      <x:top style="medium">
        <x:color rgb="FFF2B134"/>
      </x:top>
    </x:border>
    <x:border>
      <x:right style="medium">
        <x:color rgb="FFF2B134"/>
      </x:right>
      <x:top style="medium">
        <x:color rgb="FFF2B134"/>
      </x:top>
    </x:border>
    <x:border>
      <x:left style="medium">
        <x:color rgb="FFF2B134"/>
      </x:left>
    </x:border>
    <x:border>
      <x:right style="medium">
        <x:color rgb="FFF2B134"/>
      </x:right>
    </x:border>
    <x:border>
      <x:left style="medium">
        <x:color rgb="FFF2B134"/>
      </x:left>
      <x:bottom style="medium">
        <x:color rgb="FFF2B134"/>
      </x:bottom>
    </x:border>
    <x:border>
      <x:bottom style="medium">
        <x:color rgb="FFF2B134"/>
      </x:bottom>
    </x:border>
    <x:border>
      <x:right style="medium">
        <x:color rgb="FFF2B134"/>
      </x:right>
      <x:bottom style="medium">
        <x:color rgb="FFF2B134"/>
      </x:bottom>
    </x:border>
  </x:borders>
  <x:cellStyleXfs count="1">
    <x:xf numFmtId="0" fontId="0" fillId="0" borderId="0"/>
  </x:cellStyleXfs>
  <x:cellXfs count="8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top"/>
    </x:xf>
    <x:xf numFmtId="0" fontId="6" fillId="4" borderId="0" xfId="0" applyNumberFormat="1" applyFont="1" applyFill="1" applyBorder="1" applyAlignment="1">
      <x:alignment vertical="top"/>
    </x:xf>
    <x:xf numFmtId="0" fontId="7" fillId="4" borderId="0" xfId="0" applyNumberFormat="1" applyFont="1" applyFill="1" applyBorder="1" applyAlignment="1">
      <x:alignment vertical="top"/>
    </x:xf>
    <x:xf numFmtId="0" fontId="7" fillId="4" borderId="0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/>
    <x:xf numFmtId="0" fontId="8" fillId="7" borderId="1" xfId="0" applyNumberFormat="1" applyFont="1" applyFill="1" applyBorder="1" applyAlignment="1">
      <x:alignment wrapText="1"/>
    </x:xf>
    <x:xf numFmtId="0" fontId="8" fillId="7" borderId="2" xfId="0" applyNumberFormat="1" applyFont="1" applyFill="1" applyBorder="1" applyAlignment="1">
      <x:alignment wrapText="1"/>
    </x:xf>
    <x:xf numFmtId="0" fontId="8" fillId="7" borderId="2" xfId="0" applyNumberFormat="1" applyFont="1" applyFill="1" applyBorder="1"/>
    <x:xf numFmtId="0" fontId="8" fillId="7" borderId="3" xfId="0" applyNumberFormat="1" applyFont="1" applyFill="1" applyBorder="1"/>
    <x:xf numFmtId="0" fontId="8" fillId="7" borderId="4" xfId="0" applyNumberFormat="1" applyFont="1" applyFill="1" applyBorder="1" applyAlignment="1">
      <x:alignment wrapText="1"/>
    </x:xf>
    <x:xf numFmtId="0" fontId="8" fillId="7" borderId="5" xfId="0" applyNumberFormat="1" applyFont="1" applyFill="1" applyBorder="1"/>
    <x:xf numFmtId="0" fontId="8" fillId="7" borderId="6" xfId="0" applyNumberFormat="1" applyFont="1" applyFill="1" applyBorder="1" applyAlignment="1">
      <x:alignment wrapText="1"/>
    </x:xf>
    <x:xf numFmtId="0" fontId="8" fillId="7" borderId="7" xfId="0" applyNumberFormat="1" applyFont="1" applyFill="1" applyBorder="1" applyAlignment="1">
      <x:alignment wrapText="1"/>
    </x:xf>
    <x:xf numFmtId="0" fontId="8" fillId="7" borderId="7" xfId="0" applyNumberFormat="1" applyFont="1" applyFill="1" applyBorder="1"/>
    <x:xf numFmtId="0" fontId="8" fillId="7" borderId="8" xfId="0" applyNumberFormat="1" applyFont="1" applyFill="1" applyBorder="1"/>
    <x:xf numFmtId="0" fontId="8" fillId="7" borderId="3" xfId="0" applyNumberFormat="1" applyFont="1" applyFill="1" applyBorder="1" applyAlignment="1">
      <x:alignment wrapText="1"/>
    </x:xf>
    <x:xf numFmtId="0" fontId="8" fillId="7" borderId="5" xfId="0" applyNumberFormat="1" applyFont="1" applyFill="1" applyBorder="1" applyAlignment="1">
      <x:alignment wrapText="1"/>
    </x:xf>
    <x:xf numFmtId="0" fontId="8" fillId="7" borderId="8" xfId="0" applyNumberFormat="1" applyFont="1" applyFill="1" applyBorder="1" applyAlignment="1">
      <x:alignment wrapText="1"/>
    </x:xf>
    <x:xf numFmtId="0" fontId="9" fillId="3" borderId="0" xfId="0" applyNumberFormat="1" applyFont="1" applyFill="1" applyBorder="1"/>
    <x:xf numFmtId="200" fontId="6" fillId="0" borderId="0" xfId="0" applyNumberFormat="1" applyFont="1" applyFill="1" applyBorder="1" applyAlignment="1">
      <x:alignment vertical="top"/>
    </x:xf>
    <x:xf numFmtId="200" fontId="9" fillId="3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9" fillId="7" borderId="0" xfId="0" applyNumberFormat="1" applyFont="1" applyFill="1" applyBorder="1"/>
    <x:xf numFmtId="0" fontId="9" fillId="7" borderId="9" xfId="0" applyNumberFormat="1" applyFont="1" applyFill="1" applyBorder="1"/>
    <x:xf numFmtId="0" fontId="9" fillId="7" borderId="9" xfId="0" applyNumberFormat="1" applyFont="1" applyFill="1" applyBorder="1" applyAlignment="1">
      <x:alignment wrapText="1"/>
    </x:xf>
    <x:xf numFmtId="0" fontId="8" fillId="7" borderId="1" xfId="0" applyNumberFormat="1" applyFont="1" applyFill="1" applyBorder="1"/>
    <x:xf numFmtId="0" fontId="8" fillId="7" borderId="4" xfId="0" applyNumberFormat="1" applyFont="1" applyFill="1" applyBorder="1"/>
    <x:xf numFmtId="0" fontId="8" fillId="7" borderId="6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0" fontId="10" fillId="7" borderId="0" xfId="0" applyNumberFormat="1" applyFont="1" applyFill="1" applyBorder="1"/>
    <x:xf numFmtId="0" fontId="10" fillId="7" borderId="10" xfId="0" applyNumberFormat="1" applyFont="1" applyFill="1" applyBorder="1"/>
    <x:xf numFmtId="0" fontId="10" fillId="7" borderId="11" xfId="0" applyNumberFormat="1" applyFont="1" applyFill="1" applyBorder="1"/>
    <x:xf numFmtId="0" fontId="10" fillId="7" borderId="12" xfId="0" applyNumberFormat="1" applyFont="1" applyFill="1" applyBorder="1"/>
    <x:xf numFmtId="0" fontId="10" fillId="7" borderId="13" xfId="0" applyNumberFormat="1" applyFont="1" applyFill="1" applyBorder="1"/>
    <x:xf numFmtId="0" fontId="10" fillId="7" borderId="14" xfId="0" applyNumberFormat="1" applyFont="1" applyFill="1" applyBorder="1"/>
    <x:xf numFmtId="0" fontId="10" fillId="7" borderId="15" xfId="0" applyNumberFormat="1" applyFont="1" applyFill="1" applyBorder="1"/>
    <x:xf numFmtId="0" fontId="10" fillId="7" borderId="16" xfId="0" applyNumberFormat="1" applyFont="1" applyFill="1" applyBorder="1"/>
    <x:xf numFmtId="0" fontId="10" fillId="7" borderId="17" xfId="0" applyNumberFormat="1" applyFont="1" applyFill="1" applyBorder="1"/>
    <x:xf numFmtId="0" fontId="10" fillId="7" borderId="10" xfId="0" applyNumberFormat="1" applyFont="1" applyFill="1" applyBorder="1" applyAlignment="1">
      <x:alignment wrapText="1"/>
    </x:xf>
    <x:xf numFmtId="0" fontId="10" fillId="7" borderId="11" xfId="0" applyNumberFormat="1" applyFont="1" applyFill="1" applyBorder="1" applyAlignment="1">
      <x:alignment wrapText="1"/>
    </x:xf>
    <x:xf numFmtId="0" fontId="10" fillId="7" borderId="12" xfId="0" applyNumberFormat="1" applyFont="1" applyFill="1" applyBorder="1" applyAlignment="1">
      <x:alignment wrapText="1"/>
    </x:xf>
    <x:xf numFmtId="0" fontId="10" fillId="7" borderId="13" xfId="0" applyNumberFormat="1" applyFont="1" applyFill="1" applyBorder="1" applyAlignment="1">
      <x:alignment wrapText="1"/>
    </x:xf>
    <x:xf numFmtId="0" fontId="10" fillId="7" borderId="0" xfId="0" applyNumberFormat="1" applyFont="1" applyFill="1" applyBorder="1" applyAlignment="1">
      <x:alignment wrapText="1"/>
    </x:xf>
    <x:xf numFmtId="0" fontId="10" fillId="7" borderId="14" xfId="0" applyNumberFormat="1" applyFont="1" applyFill="1" applyBorder="1" applyAlignment="1">
      <x:alignment wrapText="1"/>
    </x:xf>
    <x:xf numFmtId="0" fontId="10" fillId="7" borderId="15" xfId="0" applyNumberFormat="1" applyFont="1" applyFill="1" applyBorder="1" applyAlignment="1">
      <x:alignment wrapText="1"/>
    </x:xf>
    <x:xf numFmtId="0" fontId="10" fillId="7" borderId="16" xfId="0" applyNumberFormat="1" applyFont="1" applyFill="1" applyBorder="1" applyAlignment="1">
      <x:alignment wrapText="1"/>
    </x:xf>
    <x:xf numFmtId="0" fontId="10" fillId="7" borderId="17" xfId="0" applyNumberFormat="1" applyFont="1" applyFill="1" applyBorder="1" applyAlignment="1">
      <x:alignment wrapText="1"/>
    </x:xf>
    <x:xf numFmtId="0" fontId="10" fillId="7" borderId="10" xfId="0" applyNumberFormat="1" applyFont="1" applyFill="1" applyBorder="1" applyAlignment="1">
      <x:alignment vertical="top" wrapText="1"/>
    </x:xf>
    <x:xf numFmtId="0" fontId="10" fillId="7" borderId="11" xfId="0" applyNumberFormat="1" applyFont="1" applyFill="1" applyBorder="1" applyAlignment="1">
      <x:alignment vertical="top" wrapText="1"/>
    </x:xf>
    <x:xf numFmtId="0" fontId="10" fillId="7" borderId="12" xfId="0" applyNumberFormat="1" applyFont="1" applyFill="1" applyBorder="1" applyAlignment="1">
      <x:alignment vertical="top" wrapText="1"/>
    </x:xf>
    <x:xf numFmtId="0" fontId="10" fillId="7" borderId="13" xfId="0" applyNumberFormat="1" applyFont="1" applyFill="1" applyBorder="1" applyAlignment="1">
      <x:alignment vertical="top" wrapText="1"/>
    </x:xf>
    <x:xf numFmtId="0" fontId="10" fillId="7" borderId="0" xfId="0" applyNumberFormat="1" applyFont="1" applyFill="1" applyBorder="1" applyAlignment="1">
      <x:alignment vertical="top" wrapText="1"/>
    </x:xf>
    <x:xf numFmtId="0" fontId="10" fillId="7" borderId="14" xfId="0" applyNumberFormat="1" applyFont="1" applyFill="1" applyBorder="1" applyAlignment="1">
      <x:alignment vertical="top" wrapText="1"/>
    </x:xf>
    <x:xf numFmtId="0" fontId="10" fillId="7" borderId="15" xfId="0" applyNumberFormat="1" applyFont="1" applyFill="1" applyBorder="1" applyAlignment="1">
      <x:alignment vertical="top" wrapText="1"/>
    </x:xf>
    <x:xf numFmtId="0" fontId="10" fillId="7" borderId="16" xfId="0" applyNumberFormat="1" applyFont="1" applyFill="1" applyBorder="1" applyAlignment="1">
      <x:alignment vertical="top" wrapText="1"/>
    </x:xf>
    <x:xf numFmtId="0" fontId="10" fillId="7" borderId="17" xfId="0" applyNumberFormat="1" applyFont="1" applyFill="1" applyBorder="1" applyAlignment="1">
      <x:alignment vertical="top" wrapText="1"/>
    </x:xf>
    <x:xf numFmtId="201" fontId="6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2E7D5B"/>
      </x:font>
      <x:fill>
        <x:patternFill patternType="solid">
          <x:bgColor rgb="FFDFF3E8"/>
        </x:patternFill>
      </x:fill>
    </x:dxf>
    <x:dxf>
      <x:font>
        <x:b/>
        <x:color rgb="FF2E7D5B"/>
      </x:font>
      <x:fill>
        <x:patternFill patternType="solid">
          <x:bgColor rgb="FFDFF3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7495c1f56b4bc2" /><Relationship Type="http://schemas.openxmlformats.org/officeDocument/2006/relationships/theme" Target="/xl/theme/theme1.xml" Id="R033e9fb92d4347f0" /><Relationship Type="http://schemas.openxmlformats.org/officeDocument/2006/relationships/sharedStrings" Target="/xl/sharedStrings.xml" Id="R8125fdae3e0844c4" /><Relationship Type="http://schemas.openxmlformats.org/officeDocument/2006/relationships/worksheet" Target="/xl/worksheets/sheet1.xml" Id="R0f0b336827374c93" /><Relationship Type="http://schemas.openxmlformats.org/officeDocument/2006/relationships/worksheet" Target="/xl/worksheets/sheet2.xml" Id="R85d494bebe044c7a" /><Relationship Type="http://schemas.openxmlformats.org/officeDocument/2006/relationships/worksheet" Target="/xl/worksheets/sheet3.xml" Id="R722b2b3063fc4ed1" /><Relationship Type="http://schemas.openxmlformats.org/officeDocument/2006/relationships/worksheet" Target="/xl/worksheets/sheet4.xml" Id="R02291fcb06d042ce" /><Relationship Type="http://schemas.openxmlformats.org/officeDocument/2006/relationships/worksheet" Target="/xl/worksheets/sheet5.xml" Id="R9ceae054bf6b47b4" /><Relationship Type="http://schemas.openxmlformats.org/officeDocument/2006/relationships/worksheet" Target="/xl/worksheets/sheet6.xml" Id="Raec67eb252ab4f8d" /><Relationship Type="http://schemas.openxmlformats.org/officeDocument/2006/relationships/worksheet" Target="/xl/worksheets/sheet7.xml" Id="Rd3a880b1bb3b4e75" /><Relationship Type="http://schemas.openxmlformats.org/officeDocument/2006/relationships/worksheet" Target="/xl/worksheets/sheet8.xml" Id="R3fb6e37113f04cf4" /><Relationship Type="http://schemas.openxmlformats.org/officeDocument/2006/relationships/worksheet" Target="/xl/worksheets/sheet9.xml" Id="Rf69ed2f6f0104454" /><Relationship Type="http://schemas.openxmlformats.org/officeDocument/2006/relationships/worksheet" Target="/xl/worksheets/sheet10.xml" Id="Ra5ec4a273e0546de" /><Relationship Type="http://schemas.openxmlformats.org/officeDocument/2006/relationships/worksheet" Target="/xl/worksheets/sheet11.xml" Id="Rd1456be9cff64f51" /><Relationship Type="http://schemas.openxmlformats.org/officeDocument/2006/relationships/worksheet" Target="/xl/worksheets/sheet12.xml" Id="Rab88a7bc0bf042ce" /><Relationship Type="http://schemas.openxmlformats.org/officeDocument/2006/relationships/worksheet" Target="/xl/worksheets/sheet13.xml" Id="Ra20e0954c8024d24" /><Relationship Type="http://schemas.openxmlformats.org/officeDocument/2006/relationships/worksheet" Target="/xl/worksheets/sheet14.xml" Id="R935314f9e0ac405b" /><Relationship Type="http://schemas.openxmlformats.org/officeDocument/2006/relationships/worksheet" Target="/xl/worksheets/sheet15.xml" Id="R4cbfb2637ecb4760" /><Relationship Type="http://schemas.openxmlformats.org/officeDocument/2006/relationships/worksheet" Target="/xl/worksheets/sheet16.xml" Id="Rc3164c152bad4b52" /><Relationship Type="http://schemas.openxmlformats.org/officeDocument/2006/relationships/worksheet" Target="/xl/worksheets/sheet17.xml" Id="Rd8d46b4b32b84c70" /></Relationships>
</file>

<file path=xl/tables/table1.xml><?xml version="1.0" encoding="utf-8"?>
<x:table xmlns:x="http://schemas.openxmlformats.org/spreadsheetml/2006/main" id="1" name="SearchLog" displayName="SearchLog" ref="A4:G50" headerRowCount="1" totalsRowCount="0" totalsRowShown="0">
  <x:tableColumns count="7">
    <x:tableColumn id="1" name="数据库"/>
    <x:tableColumn id="2" name="主题簇"/>
    <x:tableColumn id="3" name="检索式"/>
    <x:tableColumn id="4" name="报告命中"/>
    <x:tableColumn id="5" name="实际下载"/>
    <x:tableColumn id="6" name="状态"/>
    <x:tableColumn id="7" name="限制/替代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reenedRecords" displayName="ScreenedRecords" ref="A4:K1266" headerRowCount="1" totalsRowCount="0" totalsRowShown="0">
  <x:tableColumns count="11">
    <x:tableColumn id="1" name="记录ID"/>
    <x:tableColumn id="2" name="题名"/>
    <x:tableColumn id="3" name="年份"/>
    <x:tableColumn id="4" name="作者"/>
    <x:tableColumn id="5" name="来源"/>
    <x:tableColumn id="6" name="DOI"/>
    <x:tableColumn id="7" name="URL"/>
    <x:tableColumn id="8" name="发现于"/>
    <x:tableColumn id="9" name="主题簇"/>
    <x:tableColumn id="10" name="决定"/>
    <x:tableColumn id="11" name="排除理由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cludedPapers" displayName="IncludedPapers" ref="A4:N101" headerRowCount="1" totalsRowCount="0" totalsRowShown="0">
  <x:tableColumns count="14">
    <x:tableColumn id="1" name="ID"/>
    <x:tableColumn id="2" name="题名"/>
    <x:tableColumn id="3" name="年份"/>
    <x:tableColumn id="4" name="作者"/>
    <x:tableColumn id="5" name="出处"/>
    <x:tableColumn id="6" name="DOI"/>
    <x:tableColumn id="7" name="URL"/>
    <x:tableColumn id="8" name="发现渠道"/>
    <x:tableColumn id="9" name="主题"/>
    <x:tableColumn id="10" name="理论贡献"/>
    <x:tableColumn id="11" name="对 DC1 的启示"/>
    <x:tableColumn id="12" name="接管边界"/>
    <x:tableColumn id="13" name="证据访问"/>
    <x:tableColumn id="14" name="决定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heoryMatrix" displayName="TheoryMatrix" ref="A4:G16" headerRowCount="1" totalsRowCount="0" totalsRowShown="0">
  <x:tableColumns count="7">
    <x:tableColumn id="1" name="理论"/>
    <x:tableColumn id="2" name="核心构念"/>
    <x:tableColumn id="3" name="计算化机制"/>
    <x:tableColumn id="4" name="DC1 可检验主张"/>
    <x:tableColumn id="5" name="关键来源"/>
    <x:tableColumn id="6" name="建议指标"/>
    <x:tableColumn id="7" name="优先级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ignalIntentMemory" displayName="SignalIntentMemory" ref="A4:H15" headerRowCount="1" totalsRowCount="0" totalsRowShown="0">
  <x:tableColumns count="8">
    <x:tableColumn id="1" name="信号"/>
    <x:tableColumn id="2" name="候选意图"/>
    <x:tableColumn id="3" name="联合上下文"/>
    <x:tableColumn id="4" name="记忆类型"/>
    <x:tableColumn id="5" name="检索键"/>
    <x:tableColumn id="6" name="主要风险"/>
    <x:tableColumn id="7" name="系统响应"/>
    <x:tableColumn id="8" name="理论依据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HandoffBoundaries" displayName="HandoffBoundaries" ref="A4:G16" headerRowCount="1" totalsRowCount="0" totalsRowShown="0">
  <x:tableColumns count="7">
    <x:tableColumn id="1" name="边界变量"/>
    <x:tableColumn id="2" name="触发条件"/>
    <x:tableColumn id="3" name="允许的 Agent 行为"/>
    <x:tableColumn id="4" name="权限/接管级别"/>
    <x:tableColumn id="5" name="理论来源"/>
    <x:tableColumn id="6" name="风险"/>
    <x:tableColumn id="7" name="实现备注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C1Requirements" displayName="DC1Requirements" ref="A4:E24" headerRowCount="1" totalsRowCount="0" totalsRowShown="0">
  <x:tableColumns count="5">
    <x:tableColumn id="1" name="编号"/>
    <x:tableColumn id="2" name="要求/假设"/>
    <x:tableColumn id="3" name="操作化"/>
    <x:tableColumn id="4" name="理论来源"/>
    <x:tableColumn id="5" name="验证位置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KeyInsights" displayName="KeyInsights" ref="A4:G21" headerRowCount="1" totalsRowCount="0" totalsRowShown="0">
  <x:tableColumns count="7">
    <x:tableColumn id="1" name="ID"/>
    <x:tableColumn id="2" name="Insight"/>
    <x:tableColumn id="3" name="理论张力/证据"/>
    <x:tableColumn id="4" name="计算机制"/>
    <x:tableColumn id="5" name="可证伪预测"/>
    <x:tableColumn id="6" name="设计/风险含义"/>
    <x:tableColumn id="7" name="关键文献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MechanismModel" displayName="MechanismModel" ref="A4:E14" headerRowCount="1" totalsRowCount="0" totalsRowShown="0">
  <x:tableColumns count="5">
    <x:tableColumn id="1" name="模块"/>
    <x:tableColumn id="2" name="职责"/>
    <x:tableColumn id="3" name="核心表示"/>
    <x:tableColumn id="4" name="输入/来源"/>
    <x:tableColumn id="5" name="安全边界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aseHardFilters" displayName="CaseHardFilters" ref="A4:E9" headerRowCount="1" totalsRowCount="0" totalsRowShown="0">
  <x:tableColumns count="5">
    <x:tableColumn id="1" name="规则"/>
    <x:tableColumn id="2" name="硬过滤维度"/>
    <x:tableColumn id="3" name="动作"/>
    <x:tableColumn id="4" name="触发条件"/>
    <x:tableColumn id="5" name="备注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CaseScoreWeights" displayName="CaseScoreWeights" ref="A12:E20" headerRowCount="1" totalsRowCount="0" totalsRowShown="0">
  <x:tableColumns count="5">
    <x:tableColumn id="1" name="ID"/>
    <x:tableColumn id="2" name="评分分量"/>
    <x:tableColumn id="3" name="初始权重"/>
    <x:tableColumn id="4" name="实现建议"/>
    <x:tableColumn id="5" name="边界说明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ContrastSet" displayName="ContrastSet" ref="A24:E29" headerRowCount="1" totalsRowCount="0" totalsRowShown="0">
  <x:tableColumns count="5">
    <x:tableColumn id="1" name="case_role"/>
    <x:tableColumn id="2" name="默认数量"/>
    <x:tableColumn id="3" name="选择条件"/>
    <x:tableColumn id="4" name="推理用途"/>
    <x:tableColumn id="5" name="安全规则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AuthorityVector" displayName="AuthorityVector" ref="A4:E11" headerRowCount="1" totalsRowCount="0" totalsRowShown="0">
  <x:tableColumns count="5">
    <x:tableColumn id="1" name="权限维度"/>
    <x:tableColumn id="2" name="能力"/>
    <x:tableColumn id="3" name="默认"/>
    <x:tableColumn id="4" name="禁止/降级条件"/>
    <x:tableColumn id="5" name="安全动作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AuthorityTransitions" displayName="AuthorityTransitions" ref="A14:G24" headerRowCount="1" totalsRowCount="0" totalsRowShown="0">
  <x:tableColumns count="7">
    <x:tableColumn id="1" name="ID"/>
    <x:tableColumn id="2" name="触发"/>
    <x:tableColumn id="3" name="目标状态/权限"/>
    <x:tableColumn id="4" name="发起者"/>
    <x:tableColumn id="5" name="判定依据"/>
    <x:tableColumn id="6" name="额外门槛"/>
    <x:tableColumn id="7" name="硬规则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IHGNodes" displayName="IHGNodes" ref="A4:E19" headerRowCount="1" totalsRowCount="0" totalsRowShown="0">
  <x:tableColumns count="5">
    <x:tableColumn id="1" name="节点类型"/>
    <x:tableColumn id="2" name="必需字段"/>
    <x:tableColumn id="3" name="认识论状态"/>
    <x:tableColumn id="4" name="更新规则"/>
    <x:tableColumn id="5" name="例子/边界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IHGEdges" displayName="IHGEdges" ref="A22:D32" headerRowCount="1" totalsRowCount="0" totalsRowShown="0">
  <x:tableColumns count="4">
    <x:tableColumn id="1" name="边"/>
    <x:tableColumn id="2" name="连接"/>
    <x:tableColumn id="3" name="属性"/>
    <x:tableColumn id="4" name="硬规则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EvidenceAudit" displayName="EvidenceAudit" ref="A12:O109" headerRowCount="1" totalsRowCount="0" totalsRowShown="0">
  <x:tableColumns count="15">
    <x:tableColumn id="1" name="ID"/>
    <x:tableColumn id="2" name="题名"/>
    <x:tableColumn id="3" name="年份"/>
    <x:tableColumn id="4" name="证据角色"/>
    <x:tableColumn id="5" name="研究类型（暂定）"/>
    <x:tableColumn id="6" name="访问层级"/>
    <x:tableColumn id="7" name="访问0-2"/>
    <x:tableColumn id="8" name="元数据0-2"/>
    <x:tableColumn id="9" name="DC1直接1-3"/>
    <x:tableColumn id="10" name="可迁移1-3"/>
    <x:tableColumn id="11" name="实现效用1-3"/>
    <x:tableColumn id="12" name="方法评估"/>
    <x:tableColumn id="13" name="允许的声称"/>
    <x:tableColumn id="14" name="决策效用0-3"/>
    <x:tableColumn id="15" name="QA标记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ValidationPhases" displayName="ValidationPhases" ref="A16:G22" headerRowCount="1" totalsRowCount="0" totalsRowShown="0">
  <x:tableColumns count="7">
    <x:tableColumn id="1" name="阶段"/>
    <x:tableColumn id="2" name="材料/样本"/>
    <x:tableColumn id="3" name="人员"/>
    <x:tableColumn id="4" name="VLM职责"/>
    <x:tableColumn id="5" name="人类/真值职责"/>
    <x:tableColumn id="6" name="主要指标"/>
    <x:tableColumn id="7" name="最终产出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TutorialCoverage" displayName="TutorialCoverage" ref="A25:D31" headerRowCount="1" totalsRowCount="0" totalsRowShown="0">
  <x:tableColumns count="4">
    <x:tableColumn id="1" name="内容层"/>
    <x:tableColumn id="2" name="必要任务"/>
    <x:tableColumn id="3" name="可观测信号"/>
    <x:tableColumn id="4" name="IHG覆盖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AblationMatrix" displayName="AblationMatrix" ref="A4:I12" headerRowCount="1" totalsRowCount="0" totalsRowShown="0">
  <x:tableColumns count="9">
    <x:tableColumn id="1" name="条件"/>
    <x:tableColumn id="2" name="模型"/>
    <x:tableColumn id="3" name="意图表示/上下文"/>
    <x:tableColumn id="4" name="记忆"/>
    <x:tableColumn id="5" name="主动性"/>
    <x:tableColumn id="6" name="权限"/>
    <x:tableColumn id="7" name="执行"/>
    <x:tableColumn id="8" name="可归因假设"/>
    <x:tableColumn id="9" name="主要指标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MetricDictionary" displayName="MetricDictionary" ref="A15:D23" headerRowCount="1" totalsRowCount="0" totalsRowShown="0">
  <x:tableColumns count="4">
    <x:tableColumn id="1" name="类别"/>
    <x:tableColumn id="2" name="指标"/>
    <x:tableColumn id="3" name="计算/口径"/>
    <x:tableColumn id="4" name="解读边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9572040d041b433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be5ac337ede3447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682978e3bc5b494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7bd8e7b5ceda4ef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8a60cb7c4b4745e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73ea66b735d8449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30be5ab3dae6496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f573a183821f416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be4851aa081482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c6e399e6c6344549" /><Relationship Type="http://schemas.openxmlformats.org/officeDocument/2006/relationships/table" Target="/xl/tables/table11.xml" Id="R12f9191372c849d3" /><Relationship Type="http://schemas.openxmlformats.org/officeDocument/2006/relationships/table" Target="/xl/tables/table12.xml" Id="R82a80ee44d4b4df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67bf441c869f4ff6" /><Relationship Type="http://schemas.openxmlformats.org/officeDocument/2006/relationships/table" Target="/xl/tables/table14.xml" Id="R55389f3257464f4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5.xml" Id="R6c685556c8e641b3" /><Relationship Type="http://schemas.openxmlformats.org/officeDocument/2006/relationships/table" Target="/xl/tables/table16.xml" Id="R3d6dc8e2b78e4708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7.xml" Id="Rb2eae96ce97e48c4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8.xml" Id="R1ad8bdc92fab40b1" /><Relationship Type="http://schemas.openxmlformats.org/officeDocument/2006/relationships/table" Target="/xl/tables/table19.xml" Id="Re8c985df6dcc4ae3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20.xml" Id="Rb3ab02e9d2324af7" /><Relationship Type="http://schemas.openxmlformats.org/officeDocument/2006/relationships/table" Target="/xl/tables/table21.xml" Id="R34020dfac66a4f6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3" t="str">
        <x:v>FlowStudio DC1 文献综述</x:v>
      </x:c>
    </x:row>
    <x:row r="2" ht="30" customHeight="1">
      <x:c r="A2" s="7" t="str">
        <x:v>PRISMA-inspired rapid scoping review | 检索日 2026-07-21 | 交付日 2026-07-22 | 时区 Asia/Shanghai</x:v>
      </x:c>
    </x:row>
    <x:row r="4">
      <x:c r="A4" s="9" t="str">
        <x:v>指标</x:v>
      </x:c>
      <x:c r="B4" s="9" t="str">
        <x:v>值</x:v>
      </x:c>
    </x:row>
    <x:row r="5">
      <x:c r="A5" s="10" t="str">
        <x:v>来源记录</x:v>
      </x:c>
      <x:c r="B5" s="10" t="n">
        <x:f>'PRISMA流程'!B5</x:f>
        <x:v>1431</x:v>
      </x:c>
    </x:row>
    <x:row r="6">
      <x:c r="A6" s="10" t="str">
        <x:v>去重后记录</x:v>
      </x:c>
      <x:c r="B6" s="10" t="n">
        <x:f>'PRISMA流程'!B7</x:f>
        <x:v>1262</x:v>
      </x:c>
    </x:row>
    <x:row r="7">
      <x:c r="A7" s="10" t="str">
        <x:v>重点纳入文献</x:v>
      </x:c>
      <x:c r="B7" s="10" t="n">
        <x:f>'PRISMA流程'!B12</x:f>
        <x:v>97</x:v>
      </x:c>
    </x:row>
    <x:row r="8">
      <x:c r="A8" s="10" t="str">
        <x:v>核心研究对象</x:v>
      </x:c>
      <x:c r="B8" s="10" t="str">
        <x:v>3D 直接操作信号 → 意图假设 → 记忆检索 → Agent 行动</x:v>
      </x:c>
    </x:row>
    <x:row r="9">
      <x:c r="A9" s="10" t="str">
        <x:v>新增主题</x:v>
      </x:c>
      <x:c r="B9" s="10" t="str">
        <x:v>Mixed-Initiative Co-creation；Creativity Support Tools；人机接管边界</x:v>
      </x:c>
    </x:row>
    <x:row r="10">
      <x:c r="A10" s="10" t="str">
        <x:v>方法定位</x:v>
      </x:c>
      <x:c r="B10" s="10" t="str">
        <x:v>PRISMA 启发的快速范围综述；单审阅者 + AI 辅助筛选</x:v>
      </x:c>
    </x:row>
    <x:row r="11">
      <x:c r="A11" s="10" t="str">
        <x:v>重要限制</x:v>
      </x:c>
      <x:c r="B11" s="10" t="str">
        <x:v>ACM DL 直接站内检索受 Cloudflare 阻断；Google Scholar 连接超时；均已在检索日志中明示</x:v>
      </x:c>
    </x:row>
    <x:row r="13">
      <x:c r="A13" s="12" t="str">
        <x:v>核心结论</x:v>
      </x:c>
    </x:row>
    <x:row r="14" ht="42" customHeight="1">
      <x:c r="A14" s="14" t="str">
        <x:v>1</x:v>
      </x:c>
      <x:c r="B14" s="14" t="str">
        <x:v>单个 3D 动作不是意图。选择、刷选、拖拽只有与对象/部件语义、参考系、约束、设计阶段和历史联合解释时，才构成可靠证据。</x:v>
      </x:c>
      <x:c r="C14" s="14" t="str"/>
      <x:c r="D14" s="14" t="str"/>
      <x:c r="E14" s="14" t="str"/>
      <x:c r="F14" s="14" t="str"/>
      <x:c r="G14" s="14" t="str"/>
      <x:c r="H14" s="14" t="str"/>
    </x:row>
    <x:row r="15" ht="42" customHeight="1">
      <x:c r="A15" s="16" t="str">
        <x:v>2</x:v>
      </x:c>
      <x:c r="B15" s="16" t="str">
        <x:v>DC1 最合适的理论形式不是单标签分类器，而是可修订的多假设模型：P(intent | action, object, stage, constraints, history)。</x:v>
      </x:c>
      <x:c r="C15" s="16" t="str"/>
      <x:c r="D15" s="16" t="str"/>
      <x:c r="E15" s="16" t="str"/>
      <x:c r="F15" s="16" t="str"/>
      <x:c r="G15" s="16" t="str"/>
      <x:c r="H15" s="16" t="str"/>
    </x:row>
    <x:row r="16" ht="42" customHeight="1">
      <x:c r="A16" s="14" t="str">
        <x:v>3</x:v>
      </x:c>
      <x:c r="B16" s="14" t="str">
        <x:v>重复旋转、试拖、比较和撤销常是 epistemic action；系统应先帮助用户看清可能性，而不是把探索误判为承诺。</x:v>
      </x:c>
      <x:c r="C16" s="14" t="str"/>
      <x:c r="D16" s="14" t="str"/>
      <x:c r="E16" s="14" t="str"/>
      <x:c r="F16" s="14" t="str"/>
      <x:c r="G16" s="14" t="str"/>
      <x:c r="H16" s="14" t="str"/>
    </x:row>
    <x:row r="17" ht="42" customHeight="1">
      <x:c r="A17" s="16" t="str">
        <x:v>4</x:v>
      </x:c>
      <x:c r="B17" s="16" t="str">
        <x:v>Agent memory 应区分 episodic（发生过什么）、semantic（稳定偏好/对象知识）和 procedural（成功操作策略），并保留来源、时间和置信度。</x:v>
      </x:c>
      <x:c r="C17" s="16" t="str"/>
      <x:c r="D17" s="16" t="str"/>
      <x:c r="E17" s="16" t="str"/>
      <x:c r="F17" s="16" t="str"/>
      <x:c r="G17" s="16" t="str"/>
      <x:c r="H17" s="16" t="str"/>
    </x:row>
    <x:row r="18" ht="42" customHeight="1">
      <x:c r="A18" s="14" t="str">
        <x:v>5</x:v>
      </x:c>
      <x:c r="B18" s="14" t="str">
        <x:v>接管不是二元开关。应把信号采集、意图分析、方案生成、方案选择和最终应用分配不同自动化等级。</x:v>
      </x:c>
      <x:c r="C18" s="14" t="str"/>
      <x:c r="D18" s="14" t="str"/>
      <x:c r="E18" s="14" t="str"/>
      <x:c r="F18" s="14" t="str"/>
      <x:c r="G18" s="14" t="str"/>
      <x:c r="H18" s="14" t="str"/>
    </x:row>
    <x:row r="19" ht="42" customHeight="1">
      <x:c r="A19" s="16" t="str">
        <x:v>6</x:v>
      </x:c>
      <x:c r="B19" s="16" t="str">
        <x:v>建议默认策略：低置信度→多候选/澄清；中置信度→可逆预览；高置信度且局部可逆→可执行；全局/结构性改变→无论置信度多高都需确认。</x:v>
      </x:c>
      <x:c r="C19" s="16" t="str"/>
      <x:c r="D19" s="16" t="str"/>
      <x:c r="E19" s="16" t="str"/>
      <x:c r="F19" s="16" t="str"/>
      <x:c r="G19" s="16" t="str"/>
      <x:c r="H19" s="16" t="str"/>
    </x:row>
  </x:sheetData>
  <x:mergeCells>
    <x:mergeCell ref="A1:H1"/>
    <x:mergeCell ref="A2:H2"/>
    <x:mergeCell ref="A13:H13"/>
    <x:mergeCell ref="B14:H14"/>
    <x:mergeCell ref="B15:H15"/>
    <x:mergeCell ref="B16:H16"/>
    <x:mergeCell ref="B17:H17"/>
    <x:mergeCell ref="B18:H18"/>
    <x:mergeCell ref="B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0" customHeight="1">
      <x:c r="A1" s="3" t="str">
        <x:v>PRISMA 流程与计数</x:v>
      </x:c>
    </x:row>
    <x:row r="2" ht="30" customHeight="1">
      <x:c r="A2" s="7" t="str">
        <x:v>计数以实际下载记录为准，不以数据库报告的宽泛总命中数代替；去重使用 DOI，缺 DOI 时使用规范化标题。</x:v>
      </x:c>
    </x:row>
    <x:row r="4">
      <x:c r="A4" s="9" t="str">
        <x:v>阶段</x:v>
      </x:c>
      <x:c r="B4" s="9" t="str">
        <x:v>数量</x:v>
      </x:c>
      <x:c r="C4" s="9" t="str">
        <x:v>说明</x:v>
      </x:c>
    </x:row>
    <x:row r="5">
      <x:c r="A5" s="17" t="str">
        <x:v>识别：下载的来源记录</x:v>
      </x:c>
      <x:c r="B5" s="17" t="n">
        <x:f>SUM('检索日志'!E5:E60)</x:f>
        <x:v>1431</x:v>
      </x:c>
      <x:c r="C5" s="17" t="str">
        <x:v>OpenAlex + Crossref + Semantic Scholar（失败检索为 0）</x:v>
      </x:c>
    </x:row>
    <x:row r="6">
      <x:c r="A6" s="17" t="str">
        <x:v>去重：移除重复</x:v>
      </x:c>
      <x:c r="B6" s="17" t="n">
        <x:v>169</x:v>
      </x:c>
      <x:c r="C6" s="17" t="str">
        <x:v>DOI/标题去重</x:v>
      </x:c>
    </x:row>
    <x:row r="7">
      <x:c r="A7" s="17" t="str">
        <x:v>筛选：去重后记录</x:v>
      </x:c>
      <x:c r="B7" s="17" t="n">
        <x:f>B5-B6</x:f>
        <x:v>1262</x:v>
      </x:c>
      <x:c r="C7" s="17" t="str">
        <x:v>标题/摘要，AI 辅助 + 单审阅者</x:v>
      </x:c>
    </x:row>
    <x:row r="8">
      <x:c r="A8" s="17" t="str">
        <x:v>筛选排除</x:v>
      </x:c>
      <x:c r="B8" s="17" t="n">
        <x:f>B7-B12</x:f>
        <x:v>1165</x:v>
      </x:c>
      <x:c r="C8" s="17" t="str">
        <x:v>主题不符、领域过窄、重复或不足以支撑 DC1 理论</x:v>
      </x:c>
    </x:row>
    <x:row r="9">
      <x:c r="A9" s="17" t="str">
        <x:v>报告寻求</x:v>
      </x:c>
      <x:c r="B9" s="17" t="n">
        <x:v>97</x:v>
      </x:c>
      <x:c r="C9" s="17" t="str">
        <x:v>重点理论种子与高相关记录</x:v>
      </x:c>
    </x:row>
    <x:row r="10">
      <x:c r="A10" s="17" t="str">
        <x:v>报告未获得</x:v>
      </x:c>
      <x:c r="B10" s="17" t="n">
        <x:v>0</x:v>
      </x:c>
      <x:c r="C10" s="17" t="str">
        <x:v>本轮均至少获得摘要/作者版本/扩展摘要；访问层级见纳入文献</x:v>
      </x:c>
    </x:row>
    <x:row r="11">
      <x:c r="A11" s="17" t="str">
        <x:v>资格评估</x:v>
      </x:c>
      <x:c r="B11" s="17" t="n">
        <x:v>97</x:v>
      </x:c>
      <x:c r="C11" s="17" t="str">
        <x:v>快速范围综述，不等同双人注册系统综述</x:v>
      </x:c>
    </x:row>
    <x:row r="12">
      <x:c r="A12" s="17" t="str">
        <x:v>综合纳入</x:v>
      </x:c>
      <x:c r="B12" s="17" t="n">
        <x:f>COUNTIF('纳入文献_97'!N5:N101,"Include")</x:f>
        <x:v>97</x:v>
      </x:c>
      <x:c r="C12" s="17" t="str">
        <x:v>进入理论与设计矩阵</x:v>
      </x:c>
    </x:row>
    <x:row r="14">
      <x:c r="A14" s="18" t="str">
        <x:v>方法与偏差说明</x:v>
      </x:c>
    </x:row>
    <x:row r="15" ht="38" customHeight="1">
      <x:c r="A15" s="17" t="str">
        <x:v>综述类型</x:v>
      </x:c>
      <x:c r="B15" s="17" t="str">
        <x:v>PRISMA-inspired rapid scoping review；目标是理论与设计空间映射，不是效应量 meta-analysis。</x:v>
      </x:c>
      <x:c r="C15" s="17" t="str"/>
      <x:c r="D15" s="17" t="str"/>
      <x:c r="E15" s="17" t="str"/>
      <x:c r="F15" s="17" t="str"/>
    </x:row>
    <x:row r="16" ht="38" customHeight="1">
      <x:c r="A16" s="17" t="str">
        <x:v>时间范围</x:v>
      </x:c>
      <x:c r="B16" s="17" t="str">
        <x:v>1983–2026；奠基文献通过种子检索与前后向滚雪球补入。</x:v>
      </x:c>
      <x:c r="C16" s="17" t="str"/>
      <x:c r="D16" s="17" t="str"/>
      <x:c r="E16" s="17" t="str"/>
      <x:c r="F16" s="17" t="str"/>
    </x:row>
    <x:row r="17" ht="38" customHeight="1">
      <x:c r="A17" s="17" t="str">
        <x:v>纳入</x:v>
      </x:c>
      <x:c r="B17" s="17" t="str">
        <x:v>能解释 3D 操作认知、交互意图推断、混合主动共创、记忆检索或接管边界，并可转化为 DC1 设计要求。</x:v>
      </x:c>
      <x:c r="C17" s="17" t="str"/>
      <x:c r="D17" s="17" t="str"/>
      <x:c r="E17" s="17" t="str"/>
      <x:c r="F17" s="17" t="str"/>
    </x:row>
    <x:row r="18" ht="38" customHeight="1">
      <x:c r="A18" s="17" t="str">
        <x:v>排除</x:v>
      </x:c>
      <x:c r="B18" s="17" t="str">
        <x:v>纯模型性能、纯机器人执行、医疗/交通等窄领域信号且无可迁移 HCI 机制、重复或仅泛谈 AI 创意。</x:v>
      </x:c>
      <x:c r="C18" s="17" t="str"/>
      <x:c r="D18" s="17" t="str"/>
      <x:c r="E18" s="17" t="str"/>
      <x:c r="F18" s="17" t="str"/>
    </x:row>
    <x:row r="19" ht="38" customHeight="1">
      <x:c r="A19" s="17" t="str">
        <x:v>偏差</x:v>
      </x:c>
      <x:c r="B19" s="17" t="str">
        <x:v>单审阅者；部分数据库不可直接批量访问；引文数仅作定位，不作为质量评分。</x:v>
      </x:c>
      <x:c r="C19" s="17" t="str"/>
      <x:c r="D19" s="17" t="str"/>
      <x:c r="E19" s="17" t="str"/>
      <x:c r="F19" s="17" t="str"/>
    </x:row>
    <x:row r="20" ht="38" customHeight="1">
      <x:c r="A20" s="17" t="str">
        <x:v>下一步</x:v>
      </x:c>
      <x:c r="B20" s="17" t="str">
        <x:v>投稿前建议由第二位研究者复核全部纳入/排除边界并补做 ACM DL/Google Scholar 机构账号检索。</x:v>
      </x:c>
      <x:c r="C20" s="17" t="str"/>
      <x:c r="D20" s="17" t="str"/>
      <x:c r="E20" s="17" t="str"/>
      <x:c r="F20" s="17" t="str"/>
    </x:row>
  </x:sheetData>
  <x:mergeCells>
    <x:mergeCell ref="A1:F1"/>
    <x:mergeCell ref="A2:F2"/>
    <x:mergeCell ref="A14:F14"/>
    <x:mergeCell ref="B15:F15"/>
    <x:mergeCell ref="B16:F16"/>
    <x:mergeCell ref="B17:F17"/>
    <x:mergeCell ref="B18:F18"/>
    <x:mergeCell ref="B19:F19"/>
    <x:mergeCell ref="B20:F2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55" hidden="0" customWidth="1"/>
    <x:col min="4" max="4" width="14" hidden="0" customWidth="1"/>
    <x:col min="5" max="5" width="14" hidden="0" customWidth="1"/>
    <x:col min="6" max="6" width="20" hidden="0" customWidth="1"/>
    <x:col min="7" max="7" width="50" hidden="0" customWidth="1"/>
  </x:cols>
  <x:sheetData>
    <x:row r="1" ht="30" customHeight="1">
      <x:c r="A1" s="3" t="str">
        <x:v>数据库与检索日志</x:v>
      </x:c>
    </x:row>
    <x:row r="2" ht="30" customHeight="1">
      <x:c r="A2" s="7" t="str">
        <x:v>主题簇 C1–C22；reported hits 仅为数据库宽泛估计，PRISMA 计数使用 records retrieved。</x:v>
      </x:c>
    </x:row>
    <x:row r="4" ht="30" customHeight="1">
      <x:c r="A4" s="24" t="str">
        <x:v>数据库</x:v>
      </x:c>
      <x:c r="B4" s="24" t="str">
        <x:v>主题簇</x:v>
      </x:c>
      <x:c r="C4" s="24" t="str">
        <x:v>检索式</x:v>
      </x:c>
      <x:c r="D4" s="24" t="str">
        <x:v>报告命中</x:v>
      </x:c>
      <x:c r="E4" s="24" t="str">
        <x:v>实际下载</x:v>
      </x:c>
      <x:c r="F4" s="24" t="str">
        <x:v>状态</x:v>
      </x:c>
      <x:c r="G4" s="24" t="str">
        <x:v>限制/替代</x:v>
      </x:c>
    </x:row>
    <x:row r="5">
      <x:c r="A5" s="20" t="str">
        <x:v>OpenAlex</x:v>
      </x:c>
      <x:c r="B5" s="20" t="str">
        <x:v>C1_3D_mental_models</x:v>
      </x:c>
      <x:c r="C5" s="25" t="str">
        <x:v>3D user interface object manipulation mental model direct manipulation spatial cognition</x:v>
      </x:c>
      <x:c r="D5" s="20" t="n">
        <x:v>4058</x:v>
      </x:c>
      <x:c r="E5" s="20" t="n">
        <x:v>50</x:v>
      </x:c>
      <x:c r="F5" s="20" t="str">
        <x:v>completed</x:v>
      </x:c>
      <x:c r="G5" s="25" t="str"/>
    </x:row>
    <x:row r="6">
      <x:c r="A6" s="20" t="str">
        <x:v>Crossref</x:v>
      </x:c>
      <x:c r="B6" s="20" t="str">
        <x:v>C1_3D_mental_models</x:v>
      </x:c>
      <x:c r="C6" s="25" t="str">
        <x:v>3D user interface object manipulation mental model direct manipulation spatial cognition</x:v>
      </x:c>
      <x:c r="D6" s="20" t="n">
        <x:v>265478</x:v>
      </x:c>
      <x:c r="E6" s="20" t="n">
        <x:v>35</x:v>
      </x:c>
      <x:c r="F6" s="20" t="str">
        <x:v>completed</x:v>
      </x:c>
      <x:c r="G6" s="25" t="str"/>
    </x:row>
    <x:row r="7">
      <x:c r="A7" s="20" t="str">
        <x:v>OpenAlex</x:v>
      </x:c>
      <x:c r="B7" s="20" t="str">
        <x:v>C2_interaction_signals</x:v>
      </x:c>
      <x:c r="C7" s="25" t="str">
        <x:v>interaction signals intent inference user actions implicit intent interface</x:v>
      </x:c>
      <x:c r="D7" s="20" t="n">
        <x:v>7057</x:v>
      </x:c>
      <x:c r="E7" s="20" t="n">
        <x:v>50</x:v>
      </x:c>
      <x:c r="F7" s="20" t="str">
        <x:v>completed</x:v>
      </x:c>
      <x:c r="G7" s="25" t="str"/>
    </x:row>
    <x:row r="8">
      <x:c r="A8" s="20" t="str">
        <x:v>Crossref</x:v>
      </x:c>
      <x:c r="B8" s="20" t="str">
        <x:v>C2_interaction_signals</x:v>
      </x:c>
      <x:c r="C8" s="25" t="str">
        <x:v>interaction signals intent inference user actions implicit intent interface</x:v>
      </x:c>
      <x:c r="D8" s="20" t="n">
        <x:v>1845937</x:v>
      </x:c>
      <x:c r="E8" s="20" t="n">
        <x:v>35</x:v>
      </x:c>
      <x:c r="F8" s="20" t="str">
        <x:v>completed</x:v>
      </x:c>
      <x:c r="G8" s="25" t="str"/>
    </x:row>
    <x:row r="9">
      <x:c r="A9" s="20" t="str">
        <x:v>OpenAlex</x:v>
      </x:c>
      <x:c r="B9" s="20" t="str">
        <x:v>C3_mixed_initiative_cocreation</x:v>
      </x:c>
      <x:c r="C9" s="25" t="str">
        <x:v>mixed initiative co-creation creativity support tools human AI</x:v>
      </x:c>
      <x:c r="D9" s="20" t="n">
        <x:v>11598</x:v>
      </x:c>
      <x:c r="E9" s="20" t="n">
        <x:v>50</x:v>
      </x:c>
      <x:c r="F9" s="20" t="str">
        <x:v>completed</x:v>
      </x:c>
      <x:c r="G9" s="25" t="str"/>
    </x:row>
    <x:row r="10">
      <x:c r="A10" s="20" t="str">
        <x:v>Crossref</x:v>
      </x:c>
      <x:c r="B10" s="20" t="str">
        <x:v>C3_mixed_initiative_cocreation</x:v>
      </x:c>
      <x:c r="C10" s="25" t="str">
        <x:v>mixed initiative co-creation creativity support tools human AI</x:v>
      </x:c>
      <x:c r="D10" s="20" t="n">
        <x:v>6567004</x:v>
      </x:c>
      <x:c r="E10" s="20" t="n">
        <x:v>35</x:v>
      </x:c>
      <x:c r="F10" s="20" t="str">
        <x:v>completed</x:v>
      </x:c>
      <x:c r="G10" s="25" t="str"/>
    </x:row>
    <x:row r="11">
      <x:c r="A11" s="20" t="str">
        <x:v>OpenAlex</x:v>
      </x:c>
      <x:c r="B11" s="20" t="str">
        <x:v>C4_uncertainty_shared_autonomy</x:v>
      </x:c>
      <x:c r="C11" s="25" t="str">
        <x:v>human intent inference uncertainty shared autonomy interaction</x:v>
      </x:c>
      <x:c r="D11" s="20" t="n">
        <x:v>12191</x:v>
      </x:c>
      <x:c r="E11" s="20" t="n">
        <x:v>50</x:v>
      </x:c>
      <x:c r="F11" s="20" t="str">
        <x:v>completed</x:v>
      </x:c>
      <x:c r="G11" s="25" t="str"/>
    </x:row>
    <x:row r="12">
      <x:c r="A12" s="20" t="str">
        <x:v>Crossref</x:v>
      </x:c>
      <x:c r="B12" s="20" t="str">
        <x:v>C4_uncertainty_shared_autonomy</x:v>
      </x:c>
      <x:c r="C12" s="25" t="str">
        <x:v>human intent inference uncertainty shared autonomy interaction</x:v>
      </x:c>
      <x:c r="D12" s="20" t="n">
        <x:v>4289491</x:v>
      </x:c>
      <x:c r="E12" s="20" t="n">
        <x:v>35</x:v>
      </x:c>
      <x:c r="F12" s="20" t="str">
        <x:v>completed</x:v>
      </x:c>
      <x:c r="G12" s="25" t="str"/>
    </x:row>
    <x:row r="13">
      <x:c r="A13" s="20" t="str">
        <x:v>OpenAlex</x:v>
      </x:c>
      <x:c r="B13" s="20" t="str">
        <x:v>C5_agent_memory</x:v>
      </x:c>
      <x:c r="C13" s="25" t="str">
        <x:v>LLM agent memory episodic semantic procedural memory retrieval interaction history</x:v>
      </x:c>
      <x:c r="D13" s="20" t="n">
        <x:v>466</x:v>
      </x:c>
      <x:c r="E13" s="20" t="n">
        <x:v>50</x:v>
      </x:c>
      <x:c r="F13" s="20" t="str">
        <x:v>completed</x:v>
      </x:c>
      <x:c r="G13" s="25" t="str"/>
    </x:row>
    <x:row r="14">
      <x:c r="A14" s="20" t="str">
        <x:v>Crossref</x:v>
      </x:c>
      <x:c r="B14" s="20" t="str">
        <x:v>C5_agent_memory</x:v>
      </x:c>
      <x:c r="C14" s="25" t="str">
        <x:v>LLM agent memory episodic semantic procedural memory retrieval interaction history</x:v>
      </x:c>
      <x:c r="D14" s="20" t="n">
        <x:v>555156</x:v>
      </x:c>
      <x:c r="E14" s="20" t="n">
        <x:v>35</x:v>
      </x:c>
      <x:c r="F14" s="20" t="str">
        <x:v>completed</x:v>
      </x:c>
      <x:c r="G14" s="25" t="str"/>
    </x:row>
    <x:row r="15">
      <x:c r="A15" s="20" t="str">
        <x:v>OpenAlex</x:v>
      </x:c>
      <x:c r="B15" s="20" t="str">
        <x:v>C6_frontend_GUI_intent</x:v>
      </x:c>
      <x:c r="C15" s="25" t="str">
        <x:v>GUI agent user intent inference interface interaction history</x:v>
      </x:c>
      <x:c r="D15" s="20" t="n">
        <x:v>1308</x:v>
      </x:c>
      <x:c r="E15" s="20" t="n">
        <x:v>50</x:v>
      </x:c>
      <x:c r="F15" s="20" t="str">
        <x:v>completed</x:v>
      </x:c>
      <x:c r="G15" s="25" t="str"/>
    </x:row>
    <x:row r="16">
      <x:c r="A16" s="20" t="str">
        <x:v>Crossref</x:v>
      </x:c>
      <x:c r="B16" s="20" t="str">
        <x:v>C6_frontend_GUI_intent</x:v>
      </x:c>
      <x:c r="C16" s="25" t="str">
        <x:v>GUI agent user intent inference interface interaction history</x:v>
      </x:c>
      <x:c r="D16" s="20" t="n">
        <x:v>3854879</x:v>
      </x:c>
      <x:c r="E16" s="20" t="n">
        <x:v>35</x:v>
      </x:c>
      <x:c r="F16" s="20" t="str">
        <x:v>completed</x:v>
      </x:c>
      <x:c r="G16" s="25" t="str"/>
    </x:row>
    <x:row r="17">
      <x:c r="A17" s="20" t="str">
        <x:v>OpenAlex</x:v>
      </x:c>
      <x:c r="B17" s="20" t="str">
        <x:v>C7_creative_agency</x:v>
      </x:c>
      <x:c r="C17" s="25" t="str">
        <x:v>human AI co-creation agency control explainability creative tools</x:v>
      </x:c>
      <x:c r="D17" s="20" t="n">
        <x:v>25862</x:v>
      </x:c>
      <x:c r="E17" s="20" t="n">
        <x:v>50</x:v>
      </x:c>
      <x:c r="F17" s="20" t="str">
        <x:v>completed</x:v>
      </x:c>
      <x:c r="G17" s="25" t="str"/>
    </x:row>
    <x:row r="18">
      <x:c r="A18" s="20" t="str">
        <x:v>Crossref</x:v>
      </x:c>
      <x:c r="B18" s="20" t="str">
        <x:v>C7_creative_agency</x:v>
      </x:c>
      <x:c r="C18" s="25" t="str">
        <x:v>human AI co-creation agency control explainability creative tools</x:v>
      </x:c>
      <x:c r="D18" s="20" t="n">
        <x:v>8598324</x:v>
      </x:c>
      <x:c r="E18" s="20" t="n">
        <x:v>35</x:v>
      </x:c>
      <x:c r="F18" s="20" t="str">
        <x:v>completed</x:v>
      </x:c>
      <x:c r="G18" s="25" t="str"/>
    </x:row>
    <x:row r="19">
      <x:c r="A19" s="20" t="str">
        <x:v>OpenAlex</x:v>
      </x:c>
      <x:c r="B19" s="20" t="str">
        <x:v>C8_AI_3D_authoring</x:v>
      </x:c>
      <x:c r="C19" s="25" t="str">
        <x:v>AI assisted 3D modeling semantic editing direct manipulation</x:v>
      </x:c>
      <x:c r="D19" s="20" t="n">
        <x:v>2653</x:v>
      </x:c>
      <x:c r="E19" s="20" t="n">
        <x:v>50</x:v>
      </x:c>
      <x:c r="F19" s="20" t="str">
        <x:v>completed</x:v>
      </x:c>
      <x:c r="G19" s="25" t="str"/>
    </x:row>
    <x:row r="20">
      <x:c r="A20" s="20" t="str">
        <x:v>Crossref</x:v>
      </x:c>
      <x:c r="B20" s="20" t="str">
        <x:v>C8_AI_3D_authoring</x:v>
      </x:c>
      <x:c r="C20" s="25" t="str">
        <x:v>AI assisted 3D modeling semantic editing direct manipulation</x:v>
      </x:c>
      <x:c r="D20" s="20" t="n">
        <x:v>3360813</x:v>
      </x:c>
      <x:c r="E20" s="20" t="n">
        <x:v>35</x:v>
      </x:c>
      <x:c r="F20" s="20" t="str">
        <x:v>completed</x:v>
      </x:c>
      <x:c r="G20" s="25" t="str"/>
    </x:row>
    <x:row r="21">
      <x:c r="A21" s="20" t="str">
        <x:v>OpenAlex</x:v>
      </x:c>
      <x:c r="B21" s="20" t="str">
        <x:v>C9_human_agent_handoff</x:v>
      </x:c>
      <x:c r="C21" s="25" t="str">
        <x:v>human AI handoff authority transfer takeover boundary conditions adjustable autonomy mixed initiative</x:v>
      </x:c>
      <x:c r="D21" s="20" t="n">
        <x:v>2</x:v>
      </x:c>
      <x:c r="E21" s="20" t="n">
        <x:v>2</x:v>
      </x:c>
      <x:c r="F21" s="20" t="str">
        <x:v>completed</x:v>
      </x:c>
      <x:c r="G21" s="25" t="str"/>
    </x:row>
    <x:row r="22">
      <x:c r="A22" s="20" t="str">
        <x:v>Crossref</x:v>
      </x:c>
      <x:c r="B22" s="20" t="str">
        <x:v>C9_human_agent_handoff</x:v>
      </x:c>
      <x:c r="C22" s="25" t="str">
        <x:v>human AI handoff authority transfer takeover boundary conditions adjustable autonomy mixed initiative</x:v>
      </x:c>
      <x:c r="D22" s="20" t="n">
        <x:v>152323</x:v>
      </x:c>
      <x:c r="E22" s="20" t="n">
        <x:v>35</x:v>
      </x:c>
      <x:c r="F22" s="20" t="str">
        <x:v>completed</x:v>
      </x:c>
      <x:c r="G22" s="25" t="str"/>
    </x:row>
    <x:row r="23">
      <x:c r="A23" s="20" t="str">
        <x:v>OpenAlex</x:v>
      </x:c>
      <x:c r="B23" s="20" t="str">
        <x:v>C10_affordance_embodied</x:v>
      </x:c>
      <x:c r="C23" s="25" t="str">
        <x:v>affordance embodied cognition spatial interaction direct manipulation design</x:v>
      </x:c>
      <x:c r="D23" s="20" t="n">
        <x:v>7673</x:v>
      </x:c>
      <x:c r="E23" s="20" t="n">
        <x:v>50</x:v>
      </x:c>
      <x:c r="F23" s="20" t="str">
        <x:v>completed</x:v>
      </x:c>
      <x:c r="G23" s="25" t="str"/>
    </x:row>
    <x:row r="24">
      <x:c r="A24" s="20" t="str">
        <x:v>Crossref</x:v>
      </x:c>
      <x:c r="B24" s="20" t="str">
        <x:v>C10_affordance_embodied</x:v>
      </x:c>
      <x:c r="C24" s="25" t="str">
        <x:v>affordance embodied cognition spatial interaction direct manipulation design</x:v>
      </x:c>
      <x:c r="D24" s="20" t="n">
        <x:v>4496931</x:v>
      </x:c>
      <x:c r="E24" s="20" t="n">
        <x:v>35</x:v>
      </x:c>
      <x:c r="F24" s="20" t="str">
        <x:v>completed</x:v>
      </x:c>
      <x:c r="G24" s="25" t="str"/>
    </x:row>
    <x:row r="25">
      <x:c r="A25" s="20" t="str">
        <x:v>OpenAlex</x:v>
      </x:c>
      <x:c r="B25" s="20" t="str">
        <x:v>C11_hierarchical_goal_recognition</x:v>
      </x:c>
      <x:c r="C25" s="25" t="str">
        <x:v>hierarchical intent goal plan recognition interaction action sequence GUI</x:v>
      </x:c>
      <x:c r="D25" s="20" t="n">
        <x:v>1539</x:v>
      </x:c>
      <x:c r="E25" s="20" t="n">
        <x:v>50</x:v>
      </x:c>
      <x:c r="F25" s="20" t="str">
        <x:v>completed</x:v>
      </x:c>
      <x:c r="G25" s="25" t="str"/>
    </x:row>
    <x:row r="26">
      <x:c r="A26" s="20" t="str">
        <x:v>Crossref</x:v>
      </x:c>
      <x:c r="B26" s="20" t="str">
        <x:v>C11_hierarchical_goal_recognition</x:v>
      </x:c>
      <x:c r="C26" s="25" t="str">
        <x:v>hierarchical intent goal plan recognition interaction action sequence GUI</x:v>
      </x:c>
      <x:c r="D26" s="20" t="n">
        <x:v>2696527</x:v>
      </x:c>
      <x:c r="E26" s="20" t="n">
        <x:v>35</x:v>
      </x:c>
      <x:c r="F26" s="20" t="str">
        <x:v>completed</x:v>
      </x:c>
      <x:c r="G26" s="25" t="str"/>
    </x:row>
    <x:row r="27">
      <x:c r="A27" s="20" t="str">
        <x:v>OpenAlex</x:v>
      </x:c>
      <x:c r="B27" s="20" t="str">
        <x:v>C12_common_ground_repair</x:v>
      </x:c>
      <x:c r="C27" s="25" t="str">
        <x:v>common ground grounding repair misunderstanding human AI collaboration</x:v>
      </x:c>
      <x:c r="D27" s="20" t="n">
        <x:v>411</x:v>
      </x:c>
      <x:c r="E27" s="20" t="n">
        <x:v>50</x:v>
      </x:c>
      <x:c r="F27" s="20" t="str">
        <x:v>completed</x:v>
      </x:c>
      <x:c r="G27" s="25" t="str"/>
    </x:row>
    <x:row r="28">
      <x:c r="A28" s="20" t="str">
        <x:v>Crossref</x:v>
      </x:c>
      <x:c r="B28" s="20" t="str">
        <x:v>C12_common_ground_repair</x:v>
      </x:c>
      <x:c r="C28" s="25" t="str">
        <x:v>common ground grounding repair misunderstanding human AI collaboration</x:v>
      </x:c>
      <x:c r="D28" s="20" t="n">
        <x:v>4793814</x:v>
      </x:c>
      <x:c r="E28" s="20" t="n">
        <x:v>35</x:v>
      </x:c>
      <x:c r="F28" s="20" t="str">
        <x:v>completed</x:v>
      </x:c>
      <x:c r="G28" s="25" t="str"/>
    </x:row>
    <x:row r="29">
      <x:c r="A29" s="20" t="str">
        <x:v>OpenAlex</x:v>
      </x:c>
      <x:c r="B29" s="20" t="str">
        <x:v>C13_CAD_design_intent</x:v>
      </x:c>
      <x:c r="C29" s="25" t="str">
        <x:v>CAD design intent feature semantics constraints 3D modeling interaction</x:v>
      </x:c>
      <x:c r="D29" s="20" t="n">
        <x:v>534</x:v>
      </x:c>
      <x:c r="E29" s="20" t="n">
        <x:v>50</x:v>
      </x:c>
      <x:c r="F29" s="20" t="str">
        <x:v>completed</x:v>
      </x:c>
      <x:c r="G29" s="25" t="str"/>
    </x:row>
    <x:row r="30">
      <x:c r="A30" s="20" t="str">
        <x:v>Crossref</x:v>
      </x:c>
      <x:c r="B30" s="20" t="str">
        <x:v>C13_CAD_design_intent</x:v>
      </x:c>
      <x:c r="C30" s="25" t="str">
        <x:v>CAD design intent feature semantics constraints 3D modeling interaction</x:v>
      </x:c>
      <x:c r="D30" s="20" t="n">
        <x:v>5311322</x:v>
      </x:c>
      <x:c r="E30" s="20" t="n">
        <x:v>35</x:v>
      </x:c>
      <x:c r="F30" s="20" t="str">
        <x:v>completed</x:v>
      </x:c>
      <x:c r="G30" s="25" t="str"/>
    </x:row>
    <x:row r="31">
      <x:c r="A31" s="20" t="str">
        <x:v>OpenAlex</x:v>
      </x:c>
      <x:c r="B31" s="20" t="str">
        <x:v>C14_agency_ownership</x:v>
      </x:c>
      <x:c r="C31" s="25" t="str">
        <x:v>human AI co-creation agency ownership control creative process</x:v>
      </x:c>
      <x:c r="D31" s="20" t="n">
        <x:v>12511</x:v>
      </x:c>
      <x:c r="E31" s="20" t="n">
        <x:v>50</x:v>
      </x:c>
      <x:c r="F31" s="20" t="str">
        <x:v>completed</x:v>
      </x:c>
      <x:c r="G31" s="25" t="str"/>
    </x:row>
    <x:row r="32">
      <x:c r="A32" s="20" t="str">
        <x:v>Crossref</x:v>
      </x:c>
      <x:c r="B32" s="20" t="str">
        <x:v>C14_agency_ownership</x:v>
      </x:c>
      <x:c r="C32" s="25" t="str">
        <x:v>human AI co-creation agency ownership control creative process</x:v>
      </x:c>
      <x:c r="D32" s="20" t="n">
        <x:v>9519191</x:v>
      </x:c>
      <x:c r="E32" s="20" t="n">
        <x:v>35</x:v>
      </x:c>
      <x:c r="F32" s="20" t="str">
        <x:v>completed</x:v>
      </x:c>
      <x:c r="G32" s="25" t="str"/>
    </x:row>
    <x:row r="33">
      <x:c r="A33" s="20" t="str">
        <x:v>OpenAlex</x:v>
      </x:c>
      <x:c r="B33" s="20" t="str">
        <x:v>C15_proactive_interruption</x:v>
      </x:c>
      <x:c r="C33" s="25" t="str">
        <x:v>proactive AI initiative interruption timing attention mixed initiative</x:v>
      </x:c>
      <x:c r="D33" s="20" t="n">
        <x:v>1042</x:v>
      </x:c>
      <x:c r="E33" s="20" t="n">
        <x:v>50</x:v>
      </x:c>
      <x:c r="F33" s="20" t="str">
        <x:v>completed</x:v>
      </x:c>
      <x:c r="G33" s="25" t="str"/>
    </x:row>
    <x:row r="34">
      <x:c r="A34" s="20" t="str">
        <x:v>Crossref</x:v>
      </x:c>
      <x:c r="B34" s="20" t="str">
        <x:v>C15_proactive_interruption</x:v>
      </x:c>
      <x:c r="C34" s="25" t="str">
        <x:v>proactive AI initiative interruption timing attention mixed initiative</x:v>
      </x:c>
      <x:c r="D34" s="20" t="n">
        <x:v>1467192</x:v>
      </x:c>
      <x:c r="E34" s="20" t="n">
        <x:v>35</x:v>
      </x:c>
      <x:c r="F34" s="20" t="str">
        <x:v>completed</x:v>
      </x:c>
      <x:c r="G34" s="25" t="str"/>
    </x:row>
    <x:row r="35">
      <x:c r="A35" s="20" t="str">
        <x:v>OpenAlex</x:v>
      </x:c>
      <x:c r="B35" s="20" t="str">
        <x:v>C16_memory_conflict_bias</x:v>
      </x:c>
      <x:c r="C35" s="25" t="str">
        <x:v>agent memory retrieval conflict provenance stale memory confirmation bias</x:v>
      </x:c>
      <x:c r="D35" s="20" t="n">
        <x:v>43</x:v>
      </x:c>
      <x:c r="E35" s="20" t="n">
        <x:v>43</x:v>
      </x:c>
      <x:c r="F35" s="20" t="str">
        <x:v>completed</x:v>
      </x:c>
      <x:c r="G35" s="25" t="str"/>
    </x:row>
    <x:row r="36">
      <x:c r="A36" s="20" t="str">
        <x:v>Crossref</x:v>
      </x:c>
      <x:c r="B36" s="20" t="str">
        <x:v>C16_memory_conflict_bias</x:v>
      </x:c>
      <x:c r="C36" s="25" t="str">
        <x:v>agent memory retrieval conflict provenance stale memory confirmation bias</x:v>
      </x:c>
      <x:c r="D36" s="20" t="n">
        <x:v>1368396</x:v>
      </x:c>
      <x:c r="E36" s="20" t="n">
        <x:v>35</x:v>
      </x:c>
      <x:c r="F36" s="20" t="str">
        <x:v>completed</x:v>
      </x:c>
      <x:c r="G36" s="25" t="str"/>
    </x:row>
    <x:row r="37">
      <x:c r="A37" s="20" t="str">
        <x:v>OpenAlex</x:v>
      </x:c>
      <x:c r="B37" s="20" t="str">
        <x:v>C17_3D_gesture_ambiguity</x:v>
      </x:c>
      <x:c r="C37" s="25" t="str">
        <x:v>3D gesture sketch ambiguity reference frame constraint intent inference</x:v>
      </x:c>
      <x:c r="D37" s="20" t="n">
        <x:v>205</x:v>
      </x:c>
      <x:c r="E37" s="20" t="n">
        <x:v>50</x:v>
      </x:c>
      <x:c r="F37" s="20" t="str">
        <x:v>completed</x:v>
      </x:c>
      <x:c r="G37" s="25" t="str"/>
    </x:row>
    <x:row r="38">
      <x:c r="A38" s="20" t="str">
        <x:v>Crossref</x:v>
      </x:c>
      <x:c r="B38" s="20" t="str">
        <x:v>C17_3D_gesture_ambiguity</x:v>
      </x:c>
      <x:c r="C38" s="25" t="str">
        <x:v>3D gesture sketch ambiguity reference frame constraint intent inference</x:v>
      </x:c>
      <x:c r="D38" s="20" t="n">
        <x:v>1252134</x:v>
      </x:c>
      <x:c r="E38" s="20" t="n">
        <x:v>35</x:v>
      </x:c>
      <x:c r="F38" s="20" t="str">
        <x:v>completed</x:v>
      </x:c>
      <x:c r="G38" s="25" t="str"/>
    </x:row>
    <x:row r="39">
      <x:c r="A39" s="20" t="str">
        <x:v>OpenAlex</x:v>
      </x:c>
      <x:c r="B39" s="20" t="str">
        <x:v>C18_video_intent_coding_VLM_annotation</x:v>
      </x:c>
      <x:c r="C39" s="25" t="str">
        <x:v>video interaction analysis stimulated recall cognitive task analysis VLM assisted annotation human in the loop intent</x:v>
      </x:c>
      <x:c r="D39" s="20" t="n">
        <x:v>6</x:v>
      </x:c>
      <x:c r="E39" s="20" t="n">
        <x:v>6</x:v>
      </x:c>
      <x:c r="F39" s="20" t="str">
        <x:v>completed</x:v>
      </x:c>
      <x:c r="G39" s="25" t="str"/>
    </x:row>
    <x:row r="40">
      <x:c r="A40" s="20" t="str">
        <x:v>Crossref</x:v>
      </x:c>
      <x:c r="B40" s="20" t="str">
        <x:v>C18_video_intent_coding_VLM_annotation</x:v>
      </x:c>
      <x:c r="C40" s="25" t="str">
        <x:v>video interaction analysis stimulated recall cognitive task analysis VLM assisted annotation human in the loop intent</x:v>
      </x:c>
      <x:c r="D40" s="20" t="n">
        <x:v>6635015</x:v>
      </x:c>
      <x:c r="E40" s="20" t="n">
        <x:v>35</x:v>
      </x:c>
      <x:c r="F40" s="20" t="str">
        <x:v>completed</x:v>
      </x:c>
      <x:c r="G40" s="25" t="str"/>
    </x:row>
    <x:row r="41">
      <x:c r="A41" s="20" t="str">
        <x:v>Primary-source web verification</x:v>
      </x:c>
      <x:c r="B41" s="20" t="str">
        <x:v>C19_coding_reliability_event_boundaries</x:v>
      </x:c>
      <x:c r="C41" s="25" t="str">
        <x:v>intercoder reliability qualitative HCI annotation event segmentation boundary agreement hierarchical task analysis</x:v>
      </x:c>
      <x:c r="D41" s="20" t="str"/>
      <x:c r="E41" s="20" t="n">
        <x:v>0</x:v>
      </x:c>
      <x:c r="F41" s="20" t="str">
        <x:v>8 primary sources verified; OpenAlex API rate-limited and not added to PRISMA download count</x:v>
      </x:c>
      <x:c r="G41" s="25" t="str"/>
    </x:row>
    <x:row r="42">
      <x:c r="A42" s="20" t="str">
        <x:v>Primary-source web verification</x:v>
      </x:c>
      <x:c r="B42" s="20" t="str">
        <x:v>C20_case_contrastive_retrieval</x:v>
      </x:c>
      <x:c r="C42" s="25" t="str">
        <x:v>case based reasoning intent episodic memory similarity utility contrastive retrieval explanation by example</x:v>
      </x:c>
      <x:c r="D42" s="20" t="str"/>
      <x:c r="E42" s="20" t="n">
        <x:v>0</x:v>
      </x:c>
      <x:c r="F42" s="20" t="str">
        <x:v>6 primary sources verified; database API rate limit persists and not added to PRISMA download count</x:v>
      </x:c>
      <x:c r="G42" s="25" t="str"/>
    </x:row>
    <x:row r="43">
      <x:c r="A43" s="20" t="str">
        <x:v>Primary-source web verification</x:v>
      </x:c>
      <x:c r="B43" s="20" t="str">
        <x:v>C21_authority_state_machine</x:v>
      </x:c>
      <x:c r="C43" s="25" t="str">
        <x:v>shared control adjustable autonomy mixed initiative authority transfer human reclaim control state machine</x:v>
      </x:c>
      <x:c r="D43" s="20" t="str"/>
      <x:c r="E43" s="20" t="n">
        <x:v>0</x:v>
      </x:c>
      <x:c r="F43" s="20" t="str">
        <x:v>7 primary sources verified; database API rate limit persists and not added to PRISMA download count</x:v>
      </x:c>
      <x:c r="G43" s="25" t="str"/>
    </x:row>
    <x:row r="44">
      <x:c r="A44" s="20" t="str">
        <x:v>Primary-source web verification</x:v>
      </x:c>
      <x:c r="B44" s="20" t="str">
        <x:v>C22_probabilistic_goal_belief_graph</x:v>
      </x:c>
      <x:c r="C44" s="25" t="str">
        <x:v>probabilistic plan goal recognition partial observation timing Bayesian theory of mind intent belief graph</x:v>
      </x:c>
      <x:c r="D44" s="20" t="str"/>
      <x:c r="E44" s="20" t="n">
        <x:v>0</x:v>
      </x:c>
      <x:c r="F44" s="20" t="str">
        <x:v>5 primary sources verified; database API rate limit persists and not added to PRISMA download count</x:v>
      </x:c>
      <x:c r="G44" s="25" t="str"/>
    </x:row>
    <x:row r="45">
      <x:c r="A45" s="20" t="str">
        <x:v>Semantic Scholar</x:v>
      </x:c>
      <x:c r="B45" s="20" t="str">
        <x:v>C1_3D_mental_models</x:v>
      </x:c>
      <x:c r="C45" s="25" t="str">
        <x:v>3D user interface object manipulation mental model direct manipulation spatial cognition</x:v>
      </x:c>
      <x:c r="D45" s="20" t="str"/>
      <x:c r="E45" s="20" t="n">
        <x:v>0</x:v>
      </x:c>
      <x:c r="F45" s="20" t="str">
        <x:v>failed: HTTPError</x:v>
      </x:c>
      <x:c r="G45" s="25" t="str"/>
    </x:row>
    <x:row r="46">
      <x:c r="A46" s="20" t="str">
        <x:v>Semantic Scholar</x:v>
      </x:c>
      <x:c r="B46" s="20" t="str">
        <x:v>C2_interaction_signals</x:v>
      </x:c>
      <x:c r="C46" s="25" t="str">
        <x:v>interaction signals intent inference user actions implicit intent interface</x:v>
      </x:c>
      <x:c r="D46" s="20" t="str"/>
      <x:c r="E46" s="20" t="n">
        <x:v>0</x:v>
      </x:c>
      <x:c r="F46" s="20" t="str">
        <x:v>failed: HTTPError</x:v>
      </x:c>
      <x:c r="G46" s="25" t="str"/>
    </x:row>
    <x:row r="47">
      <x:c r="A47" s="20" t="str">
        <x:v>Semantic Scholar</x:v>
      </x:c>
      <x:c r="B47" s="20" t="str">
        <x:v>C3_mixed_initiative_cocreation</x:v>
      </x:c>
      <x:c r="C47" s="25" t="str">
        <x:v>mixed initiative co-creation creativity support tools human AI</x:v>
      </x:c>
      <x:c r="D47" s="20" t="str"/>
      <x:c r="E47" s="20" t="n">
        <x:v>0</x:v>
      </x:c>
      <x:c r="F47" s="20" t="str">
        <x:v>failed: HTTPError</x:v>
      </x:c>
      <x:c r="G47" s="25" t="str"/>
    </x:row>
    <x:row r="48">
      <x:c r="A48" s="20" t="str">
        <x:v>ACM Digital Library</x:v>
      </x:c>
      <x:c r="B48" s="20" t="str">
        <x:v>C1–C9</x:v>
      </x:c>
      <x:c r="C48" s="25" t="str">
        <x:v>站内组合检索（intent inference / mixed initiative / 3D manipulation / creativity support）</x:v>
      </x:c>
      <x:c r="D48" s="20" t="str"/>
      <x:c r="E48" s="20" t="n">
        <x:v>0</x:v>
      </x:c>
      <x:c r="F48" s="20" t="str">
        <x:v>403 / Cloudflare</x:v>
      </x:c>
      <x:c r="G48" s="25" t="str">
        <x:v>用 DOI、OpenAlex/Crossref ACM 出版者元数据及作者版本核验；不计入下载记录</x:v>
      </x:c>
    </x:row>
    <x:row r="49">
      <x:c r="A49" s="20" t="str">
        <x:v>Google Scholar</x:v>
      </x:c>
      <x:c r="B49" s="20" t="str">
        <x:v>C1–C9</x:v>
      </x:c>
      <x:c r="C49" s="25" t="str">
        <x:v>精确短语 + 主题组合；本机与服务器连接</x:v>
      </x:c>
      <x:c r="D49" s="20" t="str"/>
      <x:c r="E49" s="20" t="n">
        <x:v>0</x:v>
      </x:c>
      <x:c r="F49" s="20" t="str">
        <x:v>连接超时/无法批量复核</x:v>
      </x:c>
      <x:c r="G49" s="25" t="str">
        <x:v>保留失败日志；以 OpenAlex/Crossref/作者页/DOI 交叉核验，不声称完整覆盖</x:v>
      </x:c>
    </x:row>
    <x:row r="50">
      <x:c r="A50" s="20" t="str">
        <x:v>Semantic Scholar</x:v>
      </x:c>
      <x:c r="B50" s="20" t="str">
        <x:v>C1–C3</x:v>
      </x:c>
      <x:c r="C50" s="25" t="str">
        <x:v>同 OpenAlex 主题簇</x:v>
      </x:c>
      <x:c r="D50" s="20" t="str"/>
      <x:c r="E50" s="20" t="n">
        <x:v>0</x:v>
      </x:c>
      <x:c r="F50" s="20" t="str">
        <x:v>匿名 API HTTPError</x:v>
      </x:c>
      <x:c r="G50" s="25" t="str">
        <x:v>失败检索记 0；不补写虚构命中数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9572040d041b433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8" hidden="0" customWidth="1"/>
    <x:col min="3" max="3" width="9" hidden="0" customWidth="1"/>
    <x:col min="4" max="4" width="34" hidden="0" customWidth="1"/>
    <x:col min="5" max="5" width="28" hidden="0" customWidth="1"/>
    <x:col min="6" max="6" width="24" hidden="0" customWidth="1"/>
    <x:col min="7" max="7" width="42" hidden="0" customWidth="1"/>
    <x:col min="8" max="8" width="20" hidden="0" customWidth="1"/>
    <x:col min="9" max="9" width="28" hidden="0" customWidth="1"/>
    <x:col min="10" max="10" width="12" hidden="0" customWidth="1"/>
    <x:col min="11" max="11" width="48" hidden="0" customWidth="1"/>
  </x:cols>
  <x:sheetData>
    <x:row r="1" ht="30" customHeight="1">
      <x:c r="A1" s="3" t="str">
        <x:v>去重后筛选记录</x:v>
      </x:c>
    </x:row>
    <x:row r="2" ht="30" customHeight="1">
      <x:c r="A2" s="7" t="str">
        <x:v>每行一条候选文献；排除理由用于复核。摘要为数据库元数据，可能为空。</x:v>
      </x:c>
    </x:row>
    <x:row r="4" ht="30" customHeight="1">
      <x:c r="A4" s="24" t="str">
        <x:v>记录ID</x:v>
      </x:c>
      <x:c r="B4" s="24" t="str">
        <x:v>题名</x:v>
      </x:c>
      <x:c r="C4" s="24" t="str">
        <x:v>年份</x:v>
      </x:c>
      <x:c r="D4" s="24" t="str">
        <x:v>作者</x:v>
      </x:c>
      <x:c r="E4" s="24" t="str">
        <x:v>来源</x:v>
      </x:c>
      <x:c r="F4" s="24" t="str">
        <x:v>DOI</x:v>
      </x:c>
      <x:c r="G4" s="24" t="str">
        <x:v>URL</x:v>
      </x:c>
      <x:c r="H4" s="24" t="str">
        <x:v>发现于</x:v>
      </x:c>
      <x:c r="I4" s="24" t="str">
        <x:v>主题簇</x:v>
      </x:c>
      <x:c r="J4" s="24" t="str">
        <x:v>决定</x:v>
      </x:c>
      <x:c r="K4" s="24" t="str">
        <x:v>排除理由</x:v>
      </x:c>
    </x:row>
    <x:row r="5">
      <x:c r="A5" s="20" t="str">
        <x:v>R0001</x:v>
      </x:c>
      <x:c r="B5" s="25" t="str">
        <x:v>Explainable Artificial Intelligence (XAI): Concepts, taxonomies, opportunities and challenges toward responsible AI</x:v>
      </x:c>
      <x:c r="C5" s="25" t="n">
        <x:v>2019</x:v>
      </x:c>
      <x:c r="D5" s="25" t="str">
        <x:v>Alejandro Barredo Arrieta; Natalia Díaz-Rodríguez; Javier Del Ser; Adrien Bennetot; Siham Tabik; Alberto Barbado; Salvador García; Sergio Gil-López; Daniel Molina; Richard Benjamins; Raja Chatila; Francisco Herrera</x:v>
      </x:c>
      <x:c r="E5" s="25" t="str">
        <x:v>Information Fusion</x:v>
      </x:c>
      <x:c r="F5" s="25" t="str">
        <x:v>10.1016/j.inffus.2019.12.012</x:v>
      </x:c>
      <x:c r="G5" s="25" t="str">
        <x:v>https://doi.org/10.1016/j.inffus.2019.12.012</x:v>
      </x:c>
      <x:c r="H5" s="25" t="str">
        <x:v>OpenAlex</x:v>
      </x:c>
      <x:c r="I5" s="25" t="str">
        <x:v>C2_interaction_signals</x:v>
      </x:c>
      <x:c r="J5" s="25" t="str">
        <x:v>Exclude</x:v>
      </x:c>
      <x:c r="K5" s="25" t="str">
        <x:v>Exclude: topic mismatch</x:v>
      </x:c>
    </x:row>
    <x:row r="6">
      <x:c r="A6" s="20" t="str">
        <x:v>R0002</x:v>
      </x:c>
      <x:c r="B6" s="25" t="str">
        <x:v>The International Classification of Headache Disorders, 3rd edition (beta version)</x:v>
      </x:c>
      <x:c r="C6" s="25" t="n">
        <x:v>2013</x:v>
      </x:c>
      <x:c r="D6" s="25" t="str">
        <x:v>Ettlin, Dominik A</x:v>
      </x:c>
      <x:c r="E6" s="25" t="str">
        <x:v>Cephalalgia</x:v>
      </x:c>
      <x:c r="F6" s="25" t="str">
        <x:v>10.1177/0333102413485658</x:v>
      </x:c>
      <x:c r="G6" s="25" t="str">
        <x:v>https://doi.org/10.1177/0333102413485658</x:v>
      </x:c>
      <x:c r="H6" s="25" t="str">
        <x:v>OpenAlex</x:v>
      </x:c>
      <x:c r="I6" s="25" t="str">
        <x:v>C4_uncertainty_shared_autonomy</x:v>
      </x:c>
      <x:c r="J6" s="25" t="str">
        <x:v>Exclude</x:v>
      </x:c>
      <x:c r="K6" s="25" t="str">
        <x:v>Exclude: topic mismatch</x:v>
      </x:c>
    </x:row>
    <x:row r="7">
      <x:c r="A7" s="20" t="str">
        <x:v>R0003</x:v>
      </x:c>
      <x:c r="B7" s="25" t="str">
        <x:v>The Duality of Technology: Rethinking the Concept of Technology in Organizations</x:v>
      </x:c>
      <x:c r="C7" s="25" t="n">
        <x:v>1992</x:v>
      </x:c>
      <x:c r="D7" s="25" t="str">
        <x:v>Wanda J. Orlikowski</x:v>
      </x:c>
      <x:c r="E7" s="25" t="str">
        <x:v>Organization Science</x:v>
      </x:c>
      <x:c r="F7" s="25" t="str">
        <x:v>10.1287/orsc.3.3.398</x:v>
      </x:c>
      <x:c r="G7" s="25" t="str">
        <x:v>https://doi.org/10.1287/orsc.3.3.398</x:v>
      </x:c>
      <x:c r="H7" s="25" t="str">
        <x:v>OpenAlex</x:v>
      </x:c>
      <x:c r="I7" s="25" t="str">
        <x:v>C10_affordance_embodied</x:v>
      </x:c>
      <x:c r="J7" s="25" t="str">
        <x:v>Exclude</x:v>
      </x:c>
      <x:c r="K7" s="25" t="str">
        <x:v>Exclude: topic mismatch</x:v>
      </x:c>
    </x:row>
    <x:row r="8">
      <x:c r="A8" s="20" t="str">
        <x:v>R0004</x:v>
      </x:c>
      <x:c r="B8" s="25" t="str">
        <x:v>Six views of embodied cognition</x:v>
      </x:c>
      <x:c r="C8" s="25" t="n">
        <x:v>2002</x:v>
      </x:c>
      <x:c r="D8" s="25" t="str">
        <x:v>Margaret Wilson</x:v>
      </x:c>
      <x:c r="E8" s="25" t="str">
        <x:v>Psychonomic Bulletin &amp; Review</x:v>
      </x:c>
      <x:c r="F8" s="25" t="str">
        <x:v>10.3758/bf03196322</x:v>
      </x:c>
      <x:c r="G8" s="25" t="str">
        <x:v>https://doi.org/10.3758/bf03196322</x:v>
      </x:c>
      <x:c r="H8" s="25" t="str">
        <x:v>OpenAlex</x:v>
      </x:c>
      <x:c r="I8" s="25" t="str">
        <x:v>C10_affordance_embodied</x:v>
      </x:c>
      <x:c r="J8" s="25" t="str">
        <x:v>Exclude</x:v>
      </x:c>
      <x:c r="K8" s="25" t="str">
        <x:v>Exclude: topic mismatch</x:v>
      </x:c>
    </x:row>
    <x:row r="9">
      <x:c r="A9" s="20" t="str">
        <x:v>R0005</x:v>
      </x:c>
      <x:c r="B9" s="25" t="str">
        <x:v>Artificial Intelligence (AI): Multidisciplinary perspectives on emerging challenges, opportunities, and agenda for research, practice and policy</x:v>
      </x:c>
      <x:c r="C9" s="25" t="n">
        <x:v>2019</x:v>
      </x:c>
      <x:c r="D9" s="25" t="str">
        <x:v>Yogesh K. Dwivedi; Laurie Hughes; Elvira Ismagilova; Gert Aarts; Crispin Coombs; Tom Crick; Yanqing Duan; Rohita Dwivedi; John S. Edwards; Aled Eirug; Vassilis Galanos; P. Vigneswara Ilavarasan; Marijn Janssen; Paul Jones; Arpan Kumar Kar; Hatice Kizgin; Bianca Kronemann; Banita Lal; Biagio Lucini; Rony Medaglia; Kenneth Le Meunier‐FitzHugh; Leslie Caroline Le Meunier-FitzHugh; Santosh K. Misra; Emmanuel Mogaji; Sujeet Kumar Sharma; Jang Bahadur Singh; Vishnupriya Raghavan; Ramakrishnan Raman; Nripendra P. Rana; Spyridon Samothrakis; Jak Spencer; Kuttimani Tamilmani; Annie Tubadji; Paul Walton; Michael D. Williams</x:v>
      </x:c>
      <x:c r="E9" s="25" t="str">
        <x:v>International Journal of Information Management</x:v>
      </x:c>
      <x:c r="F9" s="25" t="str">
        <x:v>10.1016/j.ijinfomgt.2019.08.002</x:v>
      </x:c>
      <x:c r="G9" s="25" t="str">
        <x:v>https://doi.org/10.1016/j.ijinfomgt.2019.08.002</x:v>
      </x:c>
      <x:c r="H9" s="25" t="str">
        <x:v>OpenAlex</x:v>
      </x:c>
      <x:c r="I9" s="25" t="str">
        <x:v>C14_agency_ownership; C3_mixed_initiative_cocreation; C7_creative_agency</x:v>
      </x:c>
      <x:c r="J9" s="25" t="str">
        <x:v>Exclude</x:v>
      </x:c>
      <x:c r="K9" s="25" t="str">
        <x:v>Exclude: adjacent/redundant or insufficiently theory-generative for DC1</x:v>
      </x:c>
    </x:row>
    <x:row r="10">
      <x:c r="A10" s="20" t="str">
        <x:v>R0006</x:v>
      </x:c>
      <x:c r="B10" s="25" t="str">
        <x:v>Opinion Paper: “So what if ChatGPT wrote it?” Multidisciplinary perspectives on opportunities, challenges and implications of generative conversational AI for research, practice and policy</x:v>
      </x:c>
      <x:c r="C10" s="25" t="n">
        <x:v>2023</x:v>
      </x:c>
      <x:c r="D10" s="25" t="str">
        <x:v>Yogesh K. Dwivedi; Nir Kshetri; Laurie Hughes; Emma Slade; Anand Jeyaraj; Arpan Kumar Kar; Abdullah M. Baabdullah; Alex Koohang; Vishnupriya Raghavan; Manju Ahuja; Hanaa Albanna; Mousa Ahmad Albashrawi; Adil S. Al-Busaidi; Janarthanan Balakrishnan; Yves Barlette; Sriparna Basu; Indranil Bose; Laurence Brooks; Dimitrios Buhalis; Lemuria Carter; Soumyadeb Chowdhury; Tom Crick; Scott W. Cunningham; Gareth H. Davies; Robert M. Davison; Rahul Dé; Denis Dennehy; Yanqing Duan; Rameshwar Dubey; Rohita Dwivedi; John S. Edwards; Carlos Flavián; Robin Gauld; Varun Grover; Mei‐Chih Hu; Marijn Janssen; Paul Jones; Iris Junglas; Sangeeta Khorana; Sascha Kraus; Kai R. Larsen; Paul Latreille; Sven Laumer; Tegwen Malik; Abbas Mardani; Marcello Mariani; Sunil Mithas; Emmanuel Mogaji; Jeretta Horn Nord; Siobhán O’Connor; Fevzi Okumus; Margherita Pagani; Neeraj Pandey; Savvas Papagiannidis; Ilias O. Pappas; Nishith Pathak; Jan Pries‐Heje; Ramakrishnan Raman; Nripendra P. Rana; Sven‐Volker Rehm; Samuel Ribeiro‐Navarrete; Alexander Richter; Frantz Rowe; Suprateek Sarker; Bernd Carsten Stahl; Manoj Tiwari; Wil van der Aalst; Viswanath Venkatesh; Giampaolo Viglia; Michael Wade; Paul Walton; Jochen Wirtz; Ryan Wright</x:v>
      </x:c>
      <x:c r="E10" s="25" t="str">
        <x:v>International Journal of Information Management</x:v>
      </x:c>
      <x:c r="F10" s="25" t="str">
        <x:v>10.1016/j.ijinfomgt.2023.102642</x:v>
      </x:c>
      <x:c r="G10" s="25" t="str">
        <x:v>https://doi.org/10.1016/j.ijinfomgt.2023.102642</x:v>
      </x:c>
      <x:c r="H10" s="25" t="str">
        <x:v>OpenAlex</x:v>
      </x:c>
      <x:c r="I10" s="25" t="str">
        <x:v>C14_agency_ownership; C7_creative_agency</x:v>
      </x:c>
      <x:c r="J10" s="25" t="str">
        <x:v>Exclude</x:v>
      </x:c>
      <x:c r="K10" s="25" t="str">
        <x:v>Exclude: topic mismatch</x:v>
      </x:c>
    </x:row>
    <x:row r="11">
      <x:c r="A11" s="20" t="str">
        <x:v>R0007</x:v>
      </x:c>
      <x:c r="B11" s="25" t="str">
        <x:v>AI4People—An Ethical Framework for a Good AI Society: Opportunities, Risks, Principles, and Recommendations</x:v>
      </x:c>
      <x:c r="C11" s="25" t="n">
        <x:v>2018</x:v>
      </x:c>
      <x:c r="D11" s="25" t="str">
        <x:v>Luciano Floridi; Josh Cowls; Monica Beltrametti; Raja Chatila; Patrice Chazerand; Virginia Dignum; Christoph Luetge; Robert Madelin; Ugo Pagallo; Francesca Rossi; Burkhard Schäfer; Peggy Valcke; Effy Vayena</x:v>
      </x:c>
      <x:c r="E11" s="25" t="str">
        <x:v>Minds and Machines</x:v>
      </x:c>
      <x:c r="F11" s="25" t="str">
        <x:v>10.1007/s11023-018-9482-5</x:v>
      </x:c>
      <x:c r="G11" s="25" t="str">
        <x:v>https://doi.org/10.1007/s11023-018-9482-5</x:v>
      </x:c>
      <x:c r="H11" s="25" t="str">
        <x:v>OpenAlex</x:v>
      </x:c>
      <x:c r="I11" s="25" t="str">
        <x:v>C3_mixed_initiative_cocreation; C7_creative_agency</x:v>
      </x:c>
      <x:c r="J11" s="25" t="str">
        <x:v>Exclude</x:v>
      </x:c>
      <x:c r="K11" s="25" t="str">
        <x:v>Exclude: adjacent/redundant or insufficiently theory-generative for DC1</x:v>
      </x:c>
    </x:row>
    <x:row r="12">
      <x:c r="A12" s="20" t="str">
        <x:v>R0008</x:v>
      </x:c>
      <x:c r="B12" s="25" t="str">
        <x:v>A survey of socially interactive robots</x:v>
      </x:c>
      <x:c r="C12" s="25" t="n">
        <x:v>2003</x:v>
      </x:c>
      <x:c r="D12" s="25" t="str">
        <x:v>Terrence Fong; Illah Nourbakhsh; Kerstin Dautenhahn</x:v>
      </x:c>
      <x:c r="E12" s="25" t="str">
        <x:v>Robotics and Autonomous Systems</x:v>
      </x:c>
      <x:c r="F12" s="25" t="str">
        <x:v>10.1016/s0921-8890(02)00372-x</x:v>
      </x:c>
      <x:c r="G12" s="25" t="str">
        <x:v>https://doi.org/10.1016/s0921-8890(02)00372-x</x:v>
      </x:c>
      <x:c r="H12" s="25" t="str">
        <x:v>OpenAlex</x:v>
      </x:c>
      <x:c r="I12" s="25" t="str">
        <x:v>C10_affordance_embodied; C1_3D_mental_models</x:v>
      </x:c>
      <x:c r="J12" s="25" t="str">
        <x:v>Exclude</x:v>
      </x:c>
      <x:c r="K12" s="25" t="str">
        <x:v>Exclude: topic mismatch</x:v>
      </x:c>
    </x:row>
    <x:row r="13">
      <x:c r="A13" s="20" t="str">
        <x:v>R0009</x:v>
      </x:c>
      <x:c r="B13" s="25" t="str">
        <x:v>Standards of Medical Care in Diabetes—2011</x:v>
      </x:c>
      <x:c r="C13" s="25" t="n">
        <x:v>2010</x:v>
      </x:c>
      <x:c r="D13" s="25" t="str"/>
      <x:c r="E13" s="25" t="str">
        <x:v>Diabetes Care</x:v>
      </x:c>
      <x:c r="F13" s="25" t="str">
        <x:v>10.2337/dc11-s011</x:v>
      </x:c>
      <x:c r="G13" s="25" t="str">
        <x:v>https://doi.org/10.2337/dc11-s011</x:v>
      </x:c>
      <x:c r="H13" s="25" t="str">
        <x:v>OpenAlex</x:v>
      </x:c>
      <x:c r="I13" s="25" t="str">
        <x:v>C15_proactive_interruption</x:v>
      </x:c>
      <x:c r="J13" s="25" t="str">
        <x:v>Exclude</x:v>
      </x:c>
      <x:c r="K13" s="25" t="str">
        <x:v>Exclude: topic mismatch</x:v>
      </x:c>
    </x:row>
    <x:row r="14">
      <x:c r="A14" s="20" t="str">
        <x:v>R0010</x:v>
      </x:c>
      <x:c r="B14" s="25" t="str">
        <x:v>From Frequency to Meaning: Vector Space Models of Semantics</x:v>
      </x:c>
      <x:c r="C14" s="25" t="n">
        <x:v>2010</x:v>
      </x:c>
      <x:c r="D14" s="25" t="str">
        <x:v>Peter D. Turney; Patrick Pantel</x:v>
      </x:c>
      <x:c r="E14" s="25" t="str">
        <x:v>Journal of Artificial Intelligence Research</x:v>
      </x:c>
      <x:c r="F14" s="25" t="str">
        <x:v>10.1613/jair.2934</x:v>
      </x:c>
      <x:c r="G14" s="25" t="str">
        <x:v>https://doi.org/10.1613/jair.2934</x:v>
      </x:c>
      <x:c r="H14" s="25" t="str">
        <x:v>OpenAlex</x:v>
      </x:c>
      <x:c r="I14" s="25" t="str">
        <x:v>C2_interaction_signals</x:v>
      </x:c>
      <x:c r="J14" s="25" t="str">
        <x:v>Exclude</x:v>
      </x:c>
      <x:c r="K14" s="25" t="str">
        <x:v>Exclude: topic mismatch</x:v>
      </x:c>
    </x:row>
    <x:row r="15">
      <x:c r="A15" s="20" t="str">
        <x:v>R0011</x:v>
      </x:c>
      <x:c r="B15" s="25" t="str">
        <x:v>A probabilistic atlas and reference system for the human brain: International Consortium for Brain Mapping (ICBM)</x:v>
      </x:c>
      <x:c r="C15" s="25" t="n">
        <x:v>2001</x:v>
      </x:c>
      <x:c r="D15" s="25" t="str">
        <x:v>John C. Mazziotta; Arthur W. Toga; Alan C. Evans; Peter T. Fox; Jack L. Lancaster; Karl Zilles; Roger P. Woods; Tomáš Paus; Gregory V. Simpson; Bruce Pike; Colin J. Holmes; D. Louis Collins; Paul M. Thompson; David MacDonald; Marco Iacoboni; Thorsten Schormann; Katrin Amunts; Nicola Palomero‐Gallagher; Stefan Geyer; Larry Parsons; Katherine L. Narr; Noor Jehan Kabani; Georges Le Goualher; Dorret I. Boomsma; Tyrone D. Cannon; Ryuta Kawashima; Bernard Mazoyer</x:v>
      </x:c>
      <x:c r="E15" s="25" t="str">
        <x:v>Philosophical Transactions of the Royal Society B Biological Sciences</x:v>
      </x:c>
      <x:c r="F15" s="25" t="str">
        <x:v>10.1098/rstb.2001.0915</x:v>
      </x:c>
      <x:c r="G15" s="25" t="str">
        <x:v>https://doi.org/10.1098/rstb.2001.0915</x:v>
      </x:c>
      <x:c r="H15" s="25" t="str">
        <x:v>OpenAlex</x:v>
      </x:c>
      <x:c r="I15" s="25" t="str">
        <x:v>C1_3D_mental_models</x:v>
      </x:c>
      <x:c r="J15" s="25" t="str">
        <x:v>Exclude</x:v>
      </x:c>
      <x:c r="K15" s="25" t="str">
        <x:v>Exclude: topic mismatch</x:v>
      </x:c>
    </x:row>
    <x:row r="16">
      <x:c r="A16" s="20" t="str">
        <x:v>R0012</x:v>
      </x:c>
      <x:c r="B16" s="25" t="str">
        <x:v>Grounding language in action</x:v>
      </x:c>
      <x:c r="C16" s="25" t="n">
        <x:v>2002</x:v>
      </x:c>
      <x:c r="D16" s="25" t="str">
        <x:v>Arthur M. Glenberg; Michael P. Kaschak</x:v>
      </x:c>
      <x:c r="E16" s="25" t="str">
        <x:v>Psychonomic Bulletin &amp; Review</x:v>
      </x:c>
      <x:c r="F16" s="25" t="str">
        <x:v>10.3758/bf03196313</x:v>
      </x:c>
      <x:c r="G16" s="25" t="str">
        <x:v>https://doi.org/10.3758/bf03196313</x:v>
      </x:c>
      <x:c r="H16" s="25" t="str">
        <x:v>OpenAlex</x:v>
      </x:c>
      <x:c r="I16" s="25" t="str">
        <x:v>C10_affordance_embodied</x:v>
      </x:c>
      <x:c r="J16" s="25" t="str">
        <x:v>Exclude</x:v>
      </x:c>
      <x:c r="K16" s="25" t="str">
        <x:v>Exclude: topic mismatch</x:v>
      </x:c>
    </x:row>
    <x:row r="17">
      <x:c r="A17" s="20" t="str">
        <x:v>R0013</x:v>
      </x:c>
      <x:c r="B17" s="25" t="str">
        <x:v>A Systematic Review of the Literature on Digital Transformation: Insights and Implications for Strategy and Organizational Change</x:v>
      </x:c>
      <x:c r="C17" s="25" t="n">
        <x:v>2020</x:v>
      </x:c>
      <x:c r="D17" s="25" t="str">
        <x:v>André Hanelt; René Bohnsack; David Marz; Claudia Marante</x:v>
      </x:c>
      <x:c r="E17" s="25" t="str">
        <x:v>Journal of Management Studies</x:v>
      </x:c>
      <x:c r="F17" s="25" t="str">
        <x:v>10.1111/joms.12639</x:v>
      </x:c>
      <x:c r="G17" s="25" t="str">
        <x:v>https://doi.org/10.1111/joms.12639</x:v>
      </x:c>
      <x:c r="H17" s="25" t="str">
        <x:v>OpenAlex</x:v>
      </x:c>
      <x:c r="I17" s="25" t="str">
        <x:v>C14_agency_ownership</x:v>
      </x:c>
      <x:c r="J17" s="25" t="str">
        <x:v>Exclude</x:v>
      </x:c>
      <x:c r="K17" s="25" t="str">
        <x:v>Exclude: topic mismatch</x:v>
      </x:c>
    </x:row>
    <x:row r="18">
      <x:c r="A18" s="20" t="str">
        <x:v>R0014</x:v>
      </x:c>
      <x:c r="B18" s="25" t="str">
        <x:v>Brave new world: service robots in the frontline</x:v>
      </x:c>
      <x:c r="C18" s="25" t="n">
        <x:v>2018</x:v>
      </x:c>
      <x:c r="D18" s="25" t="str">
        <x:v>Jochen Wirtz; Paul G. Patterson; Werner H. Kunz; Thorsten Gruber; Vinh Nhat Lu; Stefanie Paluch; Antje Martins</x:v>
      </x:c>
      <x:c r="E18" s="25" t="str">
        <x:v>Journal of service management</x:v>
      </x:c>
      <x:c r="F18" s="25" t="str">
        <x:v>10.1108/josm-04-2018-0119</x:v>
      </x:c>
      <x:c r="G18" s="25" t="str">
        <x:v>https://doi.org/10.1108/josm-04-2018-0119</x:v>
      </x:c>
      <x:c r="H18" s="25" t="str">
        <x:v>OpenAlex</x:v>
      </x:c>
      <x:c r="I18" s="25" t="str">
        <x:v>C14_agency_ownership</x:v>
      </x:c>
      <x:c r="J18" s="25" t="str">
        <x:v>Exclude</x:v>
      </x:c>
      <x:c r="K18" s="25" t="str">
        <x:v>Exclude: topic mismatch</x:v>
      </x:c>
    </x:row>
    <x:row r="19">
      <x:c r="A19" s="20" t="str">
        <x:v>R0015</x:v>
      </x:c>
      <x:c r="B19" s="25" t="str">
        <x:v>A Metaverse: Taxonomy, Components, Applications, and Open Challenges</x:v>
      </x:c>
      <x:c r="C19" s="25" t="n">
        <x:v>2022</x:v>
      </x:c>
      <x:c r="D19" s="25" t="str">
        <x:v>Sangmin Park; Young‐Gab Kim</x:v>
      </x:c>
      <x:c r="E19" s="25" t="str">
        <x:v>IEEE Access</x:v>
      </x:c>
      <x:c r="F19" s="25" t="str">
        <x:v>10.1109/access.2021.3140175</x:v>
      </x:c>
      <x:c r="G19" s="25" t="str">
        <x:v>https://doi.org/10.1109/access.2021.3140175</x:v>
      </x:c>
      <x:c r="H19" s="25" t="str">
        <x:v>OpenAlex</x:v>
      </x:c>
      <x:c r="I19" s="25" t="str">
        <x:v>C11_hierarchical_goal_recognition; C17_3D_gesture_ambiguity; C1_3D_mental_models; C2_interaction_signals; C6_frontend_GUI_intent; C8_AI_3D_authoring</x:v>
      </x:c>
      <x:c r="J19" s="25" t="str">
        <x:v>Exclude</x:v>
      </x:c>
      <x:c r="K19" s="25" t="str">
        <x:v>Exclude: domain-specific signal model without transferable HCI theory</x:v>
      </x:c>
    </x:row>
    <x:row r="20">
      <x:c r="A20" s="20" t="str">
        <x:v>R0016</x:v>
      </x:c>
      <x:c r="B20" s="25" t="str">
        <x:v>Natural language processing: state of the art, current trends and challenges</x:v>
      </x:c>
      <x:c r="C20" s="25" t="n">
        <x:v>2022</x:v>
      </x:c>
      <x:c r="D20" s="25" t="str">
        <x:v>Diksha Khurana; Aditya Koli; Kiran Khatter; Sukhdev Singh</x:v>
      </x:c>
      <x:c r="E20" s="25" t="str">
        <x:v>Multimedia Tools and Applications</x:v>
      </x:c>
      <x:c r="F20" s="25" t="str">
        <x:v>10.1007/s11042-022-13428-4</x:v>
      </x:c>
      <x:c r="G20" s="25" t="str">
        <x:v>https://doi.org/10.1007/s11042-022-13428-4</x:v>
      </x:c>
      <x:c r="H20" s="25" t="str">
        <x:v>OpenAlex</x:v>
      </x:c>
      <x:c r="I20" s="25" t="str">
        <x:v>C11_hierarchical_goal_recognition; C6_frontend_GUI_intent</x:v>
      </x:c>
      <x:c r="J20" s="25" t="str">
        <x:v>Exclude</x:v>
      </x:c>
      <x:c r="K20" s="25" t="str">
        <x:v>Exclude: topic mismatch</x:v>
      </x:c>
    </x:row>
    <x:row r="21">
      <x:c r="A21" s="20" t="str">
        <x:v>R0017</x:v>
      </x:c>
      <x:c r="B21" s="25" t="str">
        <x:v>Explainable Artificial Intelligence (XAI): What we know and what is left to attain Trustworthy Artificial Intelligence</x:v>
      </x:c>
      <x:c r="C21" s="25" t="n">
        <x:v>2023</x:v>
      </x:c>
      <x:c r="D21" s="25" t="str">
        <x:v>Sajid Ali; Tamer Abuhmed; Shaker El–Sappagh; Khan Muhammad; José M. Alonso; Roberto Confalonieri; Riccardo Guidotti; Javier Del Ser; Natalia Díaz-Rodríguez; Francisco Herrera</x:v>
      </x:c>
      <x:c r="E21" s="25" t="str">
        <x:v>Information Fusion</x:v>
      </x:c>
      <x:c r="F21" s="25" t="str">
        <x:v>10.1016/j.inffus.2023.101805</x:v>
      </x:c>
      <x:c r="G21" s="25" t="str">
        <x:v>https://doi.org/10.1016/j.inffus.2023.101805</x:v>
      </x:c>
      <x:c r="H21" s="25" t="str">
        <x:v>OpenAlex</x:v>
      </x:c>
      <x:c r="I21" s="25" t="str">
        <x:v>C2_interaction_signals</x:v>
      </x:c>
      <x:c r="J21" s="25" t="str">
        <x:v>Exclude</x:v>
      </x:c>
      <x:c r="K21" s="25" t="str">
        <x:v>Exclude: adjacent/redundant or insufficiently theory-generative for DC1</x:v>
      </x:c>
    </x:row>
    <x:row r="22">
      <x:c r="A22" s="20" t="str">
        <x:v>R0018</x:v>
      </x:c>
      <x:c r="B22" s="25" t="str">
        <x:v>Sparks of Artificial General Intelligence: Early experiments with GPT-4</x:v>
      </x:c>
      <x:c r="C22" s="25" t="n">
        <x:v>2023</x:v>
      </x:c>
      <x:c r="D22" s="25" t="str">
        <x:v>Sébastien Bubeck; Varun Chandrasekaran; Ronen Eldan; Johannes Gehrke; Eric Horvitz; Ece Kamar; Peter Lee; Yin Tat Lee; Yuanzhi Li; Scott Lundberg; Harsha Nori; Hamid Palangi; Marco Túlio Ribeiro; Yi Zhang</x:v>
      </x:c>
      <x:c r="E22" s="25" t="str">
        <x:v>arXiv (Cornell University)</x:v>
      </x:c>
      <x:c r="F22" s="25" t="str">
        <x:v>10.48550/arxiv.2303.12712</x:v>
      </x:c>
      <x:c r="G22" s="25" t="str">
        <x:v>http://arxiv.org/abs/2303.12712</x:v>
      </x:c>
      <x:c r="H22" s="25" t="str">
        <x:v>OpenAlex</x:v>
      </x:c>
      <x:c r="I22" s="25" t="str">
        <x:v>C17_3D_gesture_ambiguity; C1_3D_mental_models; C6_frontend_GUI_intent</x:v>
      </x:c>
      <x:c r="J22" s="25" t="str">
        <x:v>Exclude</x:v>
      </x:c>
      <x:c r="K22" s="25" t="str">
        <x:v>Exclude: adjacent/redundant or insufficiently theory-generative for DC1</x:v>
      </x:c>
    </x:row>
    <x:row r="23">
      <x:c r="A23" s="20" t="str">
        <x:v>R0019</x:v>
      </x:c>
      <x:c r="B23" s="25" t="str">
        <x:v>Social Determinants of Risk and Outcomes for Cardiovascular Disease</x:v>
      </x:c>
      <x:c r="C23" s="25" t="n">
        <x:v>2015</x:v>
      </x:c>
      <x:c r="D23" s="25" t="str">
        <x:v>Edward P. Havranek; Mahasin S. Mujahid; Donald A. Barr; Irene V. Blair; Meryl S. Cohen; Salvador Cruz‐Flores; George Davey-Smith; Cheryl Dennison Himmelfarb; Michael S. Lauer; Debra W. Lockwood; Milagros C. Rosal; Clyde W. Yancy</x:v>
      </x:c>
      <x:c r="E23" s="25" t="str">
        <x:v>Circulation</x:v>
      </x:c>
      <x:c r="F23" s="25" t="str">
        <x:v>10.1161/cir.0000000000000228</x:v>
      </x:c>
      <x:c r="G23" s="25" t="str">
        <x:v>https://doi.org/10.1161/cir.0000000000000228</x:v>
      </x:c>
      <x:c r="H23" s="25" t="str">
        <x:v>OpenAlex</x:v>
      </x:c>
      <x:c r="I23" s="25" t="str">
        <x:v>C15_proactive_interruption</x:v>
      </x:c>
      <x:c r="J23" s="25" t="str">
        <x:v>Exclude</x:v>
      </x:c>
      <x:c r="K23" s="25" t="str">
        <x:v>Exclude: topic mismatch</x:v>
      </x:c>
    </x:row>
    <x:row r="24">
      <x:c r="A24" s="20" t="str">
        <x:v>R0020</x:v>
      </x:c>
      <x:c r="B24" s="25" t="str">
        <x:v>Design Thinking for Social Innovation</x:v>
      </x:c>
      <x:c r="C24" s="25" t="n">
        <x:v>2010</x:v>
      </x:c>
      <x:c r="D24" s="25" t="str">
        <x:v>Tim Brown; Jocelyn Wyatt</x:v>
      </x:c>
      <x:c r="E24" s="25" t="str">
        <x:v>Development Outreach</x:v>
      </x:c>
      <x:c r="F24" s="25" t="str">
        <x:v>10.1596/1020-797x_12_1_29</x:v>
      </x:c>
      <x:c r="G24" s="25" t="str">
        <x:v>https://doi.org/10.1596/1020-797x_12_1_29</x:v>
      </x:c>
      <x:c r="H24" s="25" t="str">
        <x:v>OpenAlex</x:v>
      </x:c>
      <x:c r="I24" s="25" t="str">
        <x:v>C3_mixed_initiative_cocreation</x:v>
      </x:c>
      <x:c r="J24" s="25" t="str">
        <x:v>Exclude</x:v>
      </x:c>
      <x:c r="K24" s="25" t="str">
        <x:v>Exclude: domain-specific signal model without transferable HCI theory</x:v>
      </x:c>
    </x:row>
    <x:row r="25">
      <x:c r="A25" s="20" t="str">
        <x:v>R0021</x:v>
      </x:c>
      <x:c r="B25" s="25" t="str">
        <x:v>Proceedings of the 28th International Conference on Computational Linguistics</x:v>
      </x:c>
      <x:c r="C25" s="25" t="n">
        <x:v>2020</x:v>
      </x:c>
      <x:c r="D25" s="25" t="str"/>
      <x:c r="E25" s="25" t="str"/>
      <x:c r="F25" s="25" t="str">
        <x:v>10.18653/v1/2020.coling-main</x:v>
      </x:c>
      <x:c r="G25" s="25" t="str">
        <x:v>http://doi.org/10.18653/v1/2020.coling-main</x:v>
      </x:c>
      <x:c r="H25" s="25" t="str">
        <x:v>OpenAlex</x:v>
      </x:c>
      <x:c r="I25" s="25" t="str">
        <x:v>C2_interaction_signals; C6_frontend_GUI_intent</x:v>
      </x:c>
      <x:c r="J25" s="25" t="str">
        <x:v>Exclude</x:v>
      </x:c>
      <x:c r="K25" s="25" t="str">
        <x:v>Exclude: topic mismatch</x:v>
      </x:c>
    </x:row>
    <x:row r="26">
      <x:c r="A26" s="20" t="str">
        <x:v>R0022</x:v>
      </x:c>
      <x:c r="B26" s="25" t="str">
        <x:v>A Survey of Large Language Models</x:v>
      </x:c>
      <x:c r="C26" s="25" t="n">
        <x:v>2026</x:v>
      </x:c>
      <x:c r="D26" s="25" t="str">
        <x:v>Wayne Xin Zhao; Kun Zhou; Junyi Li; Tianyi Tang; Zican Dong; Yupeng Hou; Beichen Zhang; Yingqian Min; Junjie Zhang; Peiyu Liu; Xiaolei Wang; Yifan Du; Yushuo Chen; Yushuo Chen; Zhipeng Chen; Jinhao Jiang; Ruiyang Ren; Yifan Li; Xinyu Tang; Peiyu Liu; Yiwen Hu; Jian‐Yun Nie; Ji-Rong Wen</x:v>
      </x:c>
      <x:c r="E26" s="25" t="str">
        <x:v>Frontiers of Computer Science</x:v>
      </x:c>
      <x:c r="F26" s="25" t="str">
        <x:v>10.1007/s11704-026-60308-3</x:v>
      </x:c>
      <x:c r="G26" s="25" t="str">
        <x:v>https://doi.org/10.1007/s11704-026-60308-3</x:v>
      </x:c>
      <x:c r="H26" s="25" t="str">
        <x:v>OpenAlex</x:v>
      </x:c>
      <x:c r="I26" s="25" t="str">
        <x:v>C2_interaction_signals</x:v>
      </x:c>
      <x:c r="J26" s="25" t="str">
        <x:v>Exclude</x:v>
      </x:c>
      <x:c r="K26" s="25" t="str">
        <x:v>Exclude: adjacent/redundant or insufficiently theory-generative for DC1</x:v>
      </x:c>
    </x:row>
    <x:row r="27">
      <x:c r="A27" s="20" t="str">
        <x:v>R0023</x:v>
      </x:c>
      <x:c r="B27" s="25" t="str">
        <x:v>6G and Beyond: The Future of Wireless Communications Systems</x:v>
      </x:c>
      <x:c r="C27" s="25" t="n">
        <x:v>2020</x:v>
      </x:c>
      <x:c r="D27" s="25" t="str">
        <x:v>Ian F. Akyildiz; A.C. Kak; Shuai Nie</x:v>
      </x:c>
      <x:c r="E27" s="25" t="str">
        <x:v>IEEE Access</x:v>
      </x:c>
      <x:c r="F27" s="25" t="str">
        <x:v>10.1109/access.2020.3010896</x:v>
      </x:c>
      <x:c r="G27" s="25" t="str">
        <x:v>https://doi.org/10.1109/access.2020.3010896</x:v>
      </x:c>
      <x:c r="H27" s="25" t="str">
        <x:v>OpenAlex</x:v>
      </x:c>
      <x:c r="I27" s="25" t="str">
        <x:v>C15_proactive_interruption</x:v>
      </x:c>
      <x:c r="J27" s="25" t="str">
        <x:v>Exclude</x:v>
      </x:c>
      <x:c r="K27" s="25" t="str">
        <x:v>Exclude: topic mismatch</x:v>
      </x:c>
    </x:row>
    <x:row r="28">
      <x:c r="A28" s="20" t="str">
        <x:v>R0024</x:v>
      </x:c>
      <x:c r="B28" s="25" t="str">
        <x:v>Hearing Impairment and Cognitive Energy: The Framework for Understanding Effortful Listening (FUEL)</x:v>
      </x:c>
      <x:c r="C28" s="25" t="n">
        <x:v>2016</x:v>
      </x:c>
      <x:c r="D28" s="25" t="str">
        <x:v>M. Kathleen Pichora‐Fuller; Sophia E. Kramer; Mark A. Eckert; Brent Edwards; Benjamin W. Y. Hornsby; Larry E. Humes; Ulrike Lemke; Thomas Lunner; Mohan Matthen; Carol L. Mackersie; Graham Naylor; Natalie A. Phillips; Michael M. Richter; Mary Rudner; Mitchell S. Sommers; Kelly L. Tremblay; Arthur Wingfield</x:v>
      </x:c>
      <x:c r="E28" s="25" t="str">
        <x:v>Ear and Hearing</x:v>
      </x:c>
      <x:c r="F28" s="25" t="str">
        <x:v>10.1097/aud.0000000000000312</x:v>
      </x:c>
      <x:c r="G28" s="25" t="str">
        <x:v>https://doi.org/10.1097/aud.0000000000000312</x:v>
      </x:c>
      <x:c r="H28" s="25" t="str">
        <x:v>OpenAlex</x:v>
      </x:c>
      <x:c r="I28" s="25" t="str">
        <x:v>C1_3D_mental_models</x:v>
      </x:c>
      <x:c r="J28" s="25" t="str">
        <x:v>Exclude</x:v>
      </x:c>
      <x:c r="K28" s="25" t="str">
        <x:v>Exclude: topic mismatch</x:v>
      </x:c>
    </x:row>
    <x:row r="29">
      <x:c r="A29" s="20" t="str">
        <x:v>R0025</x:v>
      </x:c>
      <x:c r="B29" s="25" t="str">
        <x:v>A survey on large language model based autonomous agents</x:v>
      </x:c>
      <x:c r="C29" s="25" t="n">
        <x:v>2024</x:v>
      </x:c>
      <x:c r="D29" s="25" t="str">
        <x:v>Lei Wang; Chen Ma; Xueyang Feng; Zeyu Zhang; Hao Yang; Jingsen Zhang; Zhiyuan Chen; Jiakai Tang; Xu Chen; Yankai Lin; Wayne Xin Zhao; Zhewei Wei; Ji-Rong Wen</x:v>
      </x:c>
      <x:c r="E29" s="25" t="str">
        <x:v>Frontiers of Computer Science</x:v>
      </x:c>
      <x:c r="F29" s="25" t="str">
        <x:v>10.1007/s11704-024-40231-1</x:v>
      </x:c>
      <x:c r="G29" s="25" t="str">
        <x:v>https://doi.org/10.1007/s11704-024-40231-1</x:v>
      </x:c>
      <x:c r="H29" s="25" t="str">
        <x:v>OpenAlex</x:v>
      </x:c>
      <x:c r="I29" s="25" t="str">
        <x:v>C8_AI_3D_authoring</x:v>
      </x:c>
      <x:c r="J29" s="25" t="str">
        <x:v>Exclude</x:v>
      </x:c>
      <x:c r="K29" s="25" t="str">
        <x:v>Exclude: adjacent/redundant or insufficiently theory-generative for DC1</x:v>
      </x:c>
    </x:row>
    <x:row r="30">
      <x:c r="A30" s="20" t="str">
        <x:v>R0026</x:v>
      </x:c>
      <x:c r="B30" s="25" t="str">
        <x:v>Artificial intelligence in education: Addressing ethical challenges in K-12 settings</x:v>
      </x:c>
      <x:c r="C30" s="25" t="n">
        <x:v>2021</x:v>
      </x:c>
      <x:c r="D30" s="25" t="str">
        <x:v>Selin Akgün; Christine Greenhow</x:v>
      </x:c>
      <x:c r="E30" s="25" t="str">
        <x:v>AI and Ethics</x:v>
      </x:c>
      <x:c r="F30" s="25" t="str">
        <x:v>10.1007/s43681-021-00096-7</x:v>
      </x:c>
      <x:c r="G30" s="25" t="str">
        <x:v>https://doi.org/10.1007/s43681-021-00096-7</x:v>
      </x:c>
      <x:c r="H30" s="25" t="str">
        <x:v>OpenAlex</x:v>
      </x:c>
      <x:c r="I30" s="25" t="str">
        <x:v>C14_agency_ownership</x:v>
      </x:c>
      <x:c r="J30" s="25" t="str">
        <x:v>Exclude</x:v>
      </x:c>
      <x:c r="K30" s="25" t="str">
        <x:v>Exclude: topic mismatch</x:v>
      </x:c>
    </x:row>
    <x:row r="31">
      <x:c r="A31" s="20" t="str">
        <x:v>R0027</x:v>
      </x:c>
      <x:c r="B31" s="25" t="str">
        <x:v>Natural Products for Drug Discovery in the 21st Century: Innovations for Novel Drug Discovery</x:v>
      </x:c>
      <x:c r="C31" s="25" t="n">
        <x:v>2018</x:v>
      </x:c>
      <x:c r="D31" s="25" t="str">
        <x:v>Nicholas Ekow Thomford; Dimakatso Alice Senthebane; Arielle Rowe; Daniella Munro; Palesa Pamela Seele; Alfred Maroyi; Kevin Dzobo</x:v>
      </x:c>
      <x:c r="E31" s="25" t="str">
        <x:v>International Journal of Molecular Sciences</x:v>
      </x:c>
      <x:c r="F31" s="25" t="str">
        <x:v>10.3390/ijms19061578</x:v>
      </x:c>
      <x:c r="G31" s="25" t="str">
        <x:v>https://doi.org/10.3390/ijms19061578</x:v>
      </x:c>
      <x:c r="H31" s="25" t="str">
        <x:v>OpenAlex</x:v>
      </x:c>
      <x:c r="I31" s="25" t="str">
        <x:v>C8_AI_3D_authoring</x:v>
      </x:c>
      <x:c r="J31" s="25" t="str">
        <x:v>Exclude</x:v>
      </x:c>
      <x:c r="K31" s="25" t="str">
        <x:v>Exclude: topic mismatch</x:v>
      </x:c>
    </x:row>
    <x:row r="32">
      <x:c r="A32" s="20" t="str">
        <x:v>R0028</x:v>
      </x:c>
      <x:c r="B32" s="25" t="str">
        <x:v>Cognition does not affect perception: Evaluating the evidence for “top-down” effects</x:v>
      </x:c>
      <x:c r="C32" s="25" t="n">
        <x:v>2015</x:v>
      </x:c>
      <x:c r="D32" s="25" t="str">
        <x:v>Chaz Firestone; Brian J. Scholl</x:v>
      </x:c>
      <x:c r="E32" s="25" t="str">
        <x:v>Behavioral and Brain Sciences</x:v>
      </x:c>
      <x:c r="F32" s="25" t="str">
        <x:v>10.1017/s0140525x15000965</x:v>
      </x:c>
      <x:c r="G32" s="25" t="str">
        <x:v>https://doi.org/10.1017/s0140525x15000965</x:v>
      </x:c>
      <x:c r="H32" s="25" t="str">
        <x:v>OpenAlex</x:v>
      </x:c>
      <x:c r="I32" s="25" t="str">
        <x:v>C10_affordance_embodied</x:v>
      </x:c>
      <x:c r="J32" s="25" t="str">
        <x:v>Exclude</x:v>
      </x:c>
      <x:c r="K32" s="25" t="str">
        <x:v>Exclude: adjacent/redundant or insufficiently theory-generative for DC1</x:v>
      </x:c>
    </x:row>
    <x:row r="33">
      <x:c r="A33" s="20" t="str">
        <x:v>R0029</x:v>
      </x:c>
      <x:c r="B33" s="25" t="str">
        <x:v>Global, regional, and national levels of maternal mortality, 1990–2015: a systematic analysis for the Global Burden of Disease Study 2015</x:v>
      </x:c>
      <x:c r="C33" s="25" t="n">
        <x:v>2016</x:v>
      </x:c>
      <x:c r="D33" s="25" t="str">
        <x:v>Nicholas J Kassebaum; Ryan M Barber; Zulfiqar A Bhutta; Lalit Dandona; Peter W. Gething; Simon I Hay; Yohannes Kinfu; Heidi J. Larson; Xiaofeng Liang; Stephen S Lim; Alan D López; Rafael Lozano; George A. Mensah; Ali H. Mokdad; Mohsen Naghavi; Christine Pinho; Joshua A. Salomon; Caitlyn Steiner; Theo Vos; Haidong Wang; Amanuel Alemu Abajobir; Kalkidan Hassen Abate; Kaja Abbas; Foad Abd-Allah; Mahmud A Abdallat; Abdishakur Abdulle; Semaw Ferede Abera; Victor Aboyans; Ibrahim Abubakar; Niveen M. E. Abu-Rmeileh; Tom Achoki; Akindele O. Adebiyi; Isaac Akinkunmi Adedeji; Ademola Adelekan; Arsène Kouablan Adou; Kossivi Agbélénko Afanvi; Arnav Agarwal; Ali Kiadaliri; Oluremi N Ajala; Tomi Akinyemiju; Nadia Akseer; Ziyad Al‐Aly; Khurshid Alam; Noore Alam; Deena Alasfoor; Saleh Fahed Aldhahri; Robert W Aldridge; Samia Alhabib; Raghib Ali; Ala’a Alkerwi; François Alla; Rajaa Al‐Raddadi; Ubai Alsharif; Elena Álvarez Martín; Nelson Alvis‐Guzmán; Azmeraw T. Amare; Alemayehu Amberbir; A. Kofi Amegah; Walid Ammar; Stephen M. Amrock; Hjalte Holm Andersen; Gregory M. Anderson; Rose Mayerline Antoine; Carl Abelardo T. Antonio; Atsede Fantahun Aregay; Johan Ärnlöv; Megha Arora; Valentina Arsić‐Arsenijević; Al Artaman; Hamid Asayesh; Suleman Atique; Euripide Avokpaho; Ashish Awasthi; Beatriz Paulina Ayala Quintanilla; Peter Azzopardi; Umar Bacha; Alaa Badawi; Maria C Bahit; Kalpana Balakrishnan; Amitava Banerjee; Aleksandra Barać; Suzanne Barker‐Collo; Till Bärnighausen; Sanjay Basu; Tigist Assefa Bayou; Yibeltal Tebekaw Bayou; Shahrzad Bazargan‐Hejazi; Justin Beardsley; Neeraj Haidong Wang; Bedi; Tolesa Bekele; Michelle L. Bell; Derrick Bennett; Isabela M. Benseñor; Adugnaw Berhane; Eduardo Bernabé; Balem Demtsu Betsu; Addisu Shunu Beyene; Sibhatu Biadgilign; Boris Bikbov</x:v>
      </x:c>
      <x:c r="E33" s="25" t="str">
        <x:v>The Lancet</x:v>
      </x:c>
      <x:c r="F33" s="25" t="str">
        <x:v>10.1016/s0140-6736(16)31470-2</x:v>
      </x:c>
      <x:c r="G33" s="25" t="str">
        <x:v>https://doi.org/10.1016/s0140-6736(16)31470-2</x:v>
      </x:c>
      <x:c r="H33" s="25" t="str">
        <x:v>OpenAlex</x:v>
      </x:c>
      <x:c r="I33" s="25" t="str">
        <x:v>C15_proactive_interruption</x:v>
      </x:c>
      <x:c r="J33" s="25" t="str">
        <x:v>Exclude</x:v>
      </x:c>
      <x:c r="K33" s="25" t="str">
        <x:v>Exclude: adjacent/redundant or insufficiently theory-generative for DC1</x:v>
      </x:c>
    </x:row>
    <x:row r="34">
      <x:c r="A34" s="20" t="str">
        <x:v>R0030</x:v>
      </x:c>
      <x:c r="B34" s="25" t="str">
        <x:v>The Cognitive Affective Model of Immersive Learning (CAMIL): a Theoretical Research-Based Model of Learning in Immersive Virtual Reality</x:v>
      </x:c>
      <x:c r="C34" s="25" t="n">
        <x:v>2021</x:v>
      </x:c>
      <x:c r="D34" s="25" t="str">
        <x:v>Guido Makransky; Gustav Bøg Petersen</x:v>
      </x:c>
      <x:c r="E34" s="25" t="str">
        <x:v>Educational Psychology Review</x:v>
      </x:c>
      <x:c r="F34" s="25" t="str">
        <x:v>10.1007/s10648-020-09586-2</x:v>
      </x:c>
      <x:c r="G34" s="25" t="str">
        <x:v>https://doi.org/10.1007/s10648-020-09586-2</x:v>
      </x:c>
      <x:c r="H34" s="25" t="str">
        <x:v>OpenAlex</x:v>
      </x:c>
      <x:c r="I34" s="25" t="str">
        <x:v>C10_affordance_embodied</x:v>
      </x:c>
      <x:c r="J34" s="25" t="str">
        <x:v>Exclude</x:v>
      </x:c>
      <x:c r="K34" s="25" t="str">
        <x:v>Exclude: topic mismatch</x:v>
      </x:c>
    </x:row>
    <x:row r="35">
      <x:c r="A35" s="20" t="str">
        <x:v>R0031</x:v>
      </x:c>
      <x:c r="B35" s="25" t="str">
        <x:v>Diabetic Kidney Disease: A Report From an ADA Consensus Conference</x:v>
      </x:c>
      <x:c r="C35" s="25" t="n">
        <x:v>2014</x:v>
      </x:c>
      <x:c r="D35" s="25" t="str">
        <x:v>Katherine R. Tuttle; George L. Bakris; Rudolf W. Bilous; Jane L. Chiang; Ian H. de Boer; Jordi Goldstein‐Fuchs; Irl B. Hirsch; Kamyar Kalantar‐Zadeh; Andrew S. Narva; Sankar D. Navaneethan; Joshua J. Neumiller; Uptal D. Patel; Robert E. Ratner; Adam Whaley‐Connell; Mark E. Molitch</x:v>
      </x:c>
      <x:c r="E35" s="25" t="str">
        <x:v>Diabetes Care</x:v>
      </x:c>
      <x:c r="F35" s="25" t="str">
        <x:v>10.2337/dc14-1296</x:v>
      </x:c>
      <x:c r="G35" s="25" t="str">
        <x:v>https://doi.org/10.2337/dc14-1296</x:v>
      </x:c>
      <x:c r="H35" s="25" t="str">
        <x:v>OpenAlex</x:v>
      </x:c>
      <x:c r="I35" s="25" t="str">
        <x:v>C15_proactive_interruption</x:v>
      </x:c>
      <x:c r="J35" s="25" t="str">
        <x:v>Exclude</x:v>
      </x:c>
      <x:c r="K35" s="25" t="str">
        <x:v>Exclude: adjacent/redundant or insufficiently theory-generative for DC1</x:v>
      </x:c>
    </x:row>
    <x:row r="36">
      <x:c r="A36" s="20" t="str">
        <x:v>R0032</x:v>
      </x:c>
      <x:c r="B36" s="25" t="str">
        <x:v>6th International Consultation on Incontinence. Recommendations of the International Scientific Committee: EVALUATION AND TREATMENT OF URINARY INCONTINENCE, PELVIC ORGAN PROLAPSE AND FAECAL INCONTINENCE</x:v>
      </x:c>
      <x:c r="C36" s="25" t="n">
        <x:v>2018</x:v>
      </x:c>
      <x:c r="D36" s="25" t="str">
        <x:v>Paul Abrams; Karl‐Erik Andersson; Apostolos Apostolidis; Lori A. Birder; Donna Z. Bliss; Linda Brubaker; Linda Cardozo; David Castro‐Díaz; P. R. O’Connell; Alan Cottenden; Nikki Cotterill; Dirk De Ridder; Roger R. Dmochowski; Chantale Dumoulin; Mandy Fader; Christopher Fry; Howard B. Goldman; Philip M. Hanno; Yukio Homma; Vik Khullar; Christopher Maher; Ian Milsom; Diane K. Newman; Rien J.M. Nijman; Kevin Rademakers; Dudley Robinson; Peter Rosier; Eric Rovner; Stefano Salvatore; Masayuki Takeda; Adrian Wagg; Todd H. Wagner; Alan Wein</x:v>
      </x:c>
      <x:c r="E36" s="25" t="str">
        <x:v>Neurourology and Urodynamics</x:v>
      </x:c>
      <x:c r="F36" s="25" t="str">
        <x:v>10.1002/nau.23551</x:v>
      </x:c>
      <x:c r="G36" s="25" t="str">
        <x:v>https://doi.org/10.1002/nau.23551</x:v>
      </x:c>
      <x:c r="H36" s="25" t="str">
        <x:v>OpenAlex</x:v>
      </x:c>
      <x:c r="I36" s="25" t="str">
        <x:v>C15_proactive_interruption</x:v>
      </x:c>
      <x:c r="J36" s="25" t="str">
        <x:v>Exclude</x:v>
      </x:c>
      <x:c r="K36" s="25" t="str">
        <x:v>Exclude: adjacent/redundant or insufficiently theory-generative for DC1</x:v>
      </x:c>
    </x:row>
    <x:row r="37">
      <x:c r="A37" s="20" t="str">
        <x:v>R0033</x:v>
      </x:c>
      <x:c r="B37" s="25" t="str">
        <x:v>Ecological interface design: theoretical foundations</x:v>
      </x:c>
      <x:c r="C37" s="25" t="n">
        <x:v>1992</x:v>
      </x:c>
      <x:c r="D37" s="25" t="str">
        <x:v>Kim J. Vicente; Justin D. Rasmussen</x:v>
      </x:c>
      <x:c r="E37" s="25" t="str">
        <x:v>IEEE Transactions on Systems Man and Cybernetics</x:v>
      </x:c>
      <x:c r="F37" s="25" t="str">
        <x:v>10.1109/21.156574</x:v>
      </x:c>
      <x:c r="G37" s="25" t="str">
        <x:v>https://doi.org/10.1109/21.156574</x:v>
      </x:c>
      <x:c r="H37" s="25" t="str">
        <x:v>OpenAlex</x:v>
      </x:c>
      <x:c r="I37" s="25" t="str">
        <x:v>C2_interaction_signals</x:v>
      </x:c>
      <x:c r="J37" s="25" t="str">
        <x:v>Exclude</x:v>
      </x:c>
      <x:c r="K37" s="25" t="str">
        <x:v>Exclude: adjacent/redundant or insufficiently theory-generative for DC1</x:v>
      </x:c>
    </x:row>
    <x:row r="38">
      <x:c r="A38" s="20" t="str">
        <x:v>R0034</x:v>
      </x:c>
      <x:c r="B38" s="25" t="str">
        <x:v>Control strategies for active lower extremity prosthetics and orthotics: a review</x:v>
      </x:c>
      <x:c r="C38" s="25" t="n">
        <x:v>2015</x:v>
      </x:c>
      <x:c r="D38" s="25" t="str">
        <x:v>Michael R. Tucker; Jérémy Olivier; Anna Pagel; Hannes Bleuler; Mohamed Bouri; Olivier Lambercy; José del R. Millán; Robert Riener; Heike Vallery; Roger Gassert</x:v>
      </x:c>
      <x:c r="E38" s="25" t="str">
        <x:v>Journal of NeuroEngineering and Rehabilitation</x:v>
      </x:c>
      <x:c r="F38" s="25" t="str">
        <x:v>10.1186/1743-0003-12-1</x:v>
      </x:c>
      <x:c r="G38" s="25" t="str">
        <x:v>https://doi.org/10.1186/1743-0003-12-1</x:v>
      </x:c>
      <x:c r="H38" s="25" t="str">
        <x:v>OpenAlex</x:v>
      </x:c>
      <x:c r="I38" s="25" t="str">
        <x:v>C2_interaction_signals</x:v>
      </x:c>
      <x:c r="J38" s="25" t="str">
        <x:v>Exclude</x:v>
      </x:c>
      <x:c r="K38" s="25" t="str">
        <x:v>Exclude: domain-specific signal model without transferable HCI theory</x:v>
      </x:c>
    </x:row>
    <x:row r="39">
      <x:c r="A39" s="20" t="str">
        <x:v>R0035</x:v>
      </x:c>
      <x:c r="B39" s="25" t="str">
        <x:v>Consumers and Artificial Intelligence: An Experiential Perspective</x:v>
      </x:c>
      <x:c r="C39" s="25" t="n">
        <x:v>2020</x:v>
      </x:c>
      <x:c r="D39" s="25" t="str">
        <x:v>Stefano Puntoni; Rebecca Walker Reczek; Markus Giesler; Simona Botti</x:v>
      </x:c>
      <x:c r="E39" s="25" t="str">
        <x:v>Journal of Marketing</x:v>
      </x:c>
      <x:c r="F39" s="25" t="str">
        <x:v>10.1177/0022242920953847</x:v>
      </x:c>
      <x:c r="G39" s="25" t="str">
        <x:v>https://doi.org/10.1177/0022242920953847</x:v>
      </x:c>
      <x:c r="H39" s="25" t="str">
        <x:v>OpenAlex</x:v>
      </x:c>
      <x:c r="I39" s="25" t="str">
        <x:v>C14_agency_ownership</x:v>
      </x:c>
      <x:c r="J39" s="25" t="str">
        <x:v>Exclude</x:v>
      </x:c>
      <x:c r="K39" s="25" t="str">
        <x:v>Exclude: topic mismatch</x:v>
      </x:c>
    </x:row>
    <x:row r="40">
      <x:c r="A40" s="20" t="str">
        <x:v>R0036</x:v>
      </x:c>
      <x:c r="B40" s="25" t="str">
        <x:v>Planning and Decision-Making for Autonomous Vehicles</x:v>
      </x:c>
      <x:c r="C40" s="25" t="n">
        <x:v>2018</x:v>
      </x:c>
      <x:c r="D40" s="25" t="str">
        <x:v>Wilko Schwarting; Javier Alonso–Mora; Daniela Rus</x:v>
      </x:c>
      <x:c r="E40" s="25" t="str">
        <x:v>Annual Review of Control Robotics and Autonomous Systems</x:v>
      </x:c>
      <x:c r="F40" s="25" t="str">
        <x:v>10.1146/annurev-control-060117-105157</x:v>
      </x:c>
      <x:c r="G40" s="25" t="str">
        <x:v>https://doi.org/10.1146/annurev-control-060117-105157</x:v>
      </x:c>
      <x:c r="H40" s="25" t="str">
        <x:v>OpenAlex</x:v>
      </x:c>
      <x:c r="I40" s="25" t="str">
        <x:v>C4_uncertainty_shared_autonomy</x:v>
      </x:c>
      <x:c r="J40" s="25" t="str">
        <x:v>Exclude</x:v>
      </x:c>
      <x:c r="K40" s="25" t="str">
        <x:v>Exclude: adjacent/redundant or insufficiently theory-generative for DC1</x:v>
      </x:c>
    </x:row>
    <x:row r="41">
      <x:c r="A41" s="20" t="str">
        <x:v>R0037</x:v>
      </x:c>
      <x:c r="B41" s="25" t="str">
        <x:v>Understanding O-RAN: Architecture, Interfaces, Algorithms, Security, and Research Challenges</x:v>
      </x:c>
      <x:c r="C41" s="25" t="n">
        <x:v>2023</x:v>
      </x:c>
      <x:c r="D41" s="25" t="str">
        <x:v>Michele Polese; Leonardo Bonati; Salvatore D’Oro; Stefano Basagni; Tommaso Melodia</x:v>
      </x:c>
      <x:c r="E41" s="25" t="str">
        <x:v>IEEE Communications Surveys &amp; Tutorials</x:v>
      </x:c>
      <x:c r="F41" s="25" t="str">
        <x:v>10.1109/comst.2023.3239220</x:v>
      </x:c>
      <x:c r="G41" s="25" t="str">
        <x:v>https://doi.org/10.1109/comst.2023.3239220</x:v>
      </x:c>
      <x:c r="H41" s="25" t="str">
        <x:v>OpenAlex</x:v>
      </x:c>
      <x:c r="I41" s="25" t="str">
        <x:v>C2_interaction_signals</x:v>
      </x:c>
      <x:c r="J41" s="25" t="str">
        <x:v>Exclude</x:v>
      </x:c>
      <x:c r="K41" s="25" t="str">
        <x:v>Exclude: adjacent/redundant or insufficiently theory-generative for DC1</x:v>
      </x:c>
    </x:row>
    <x:row r="42">
      <x:c r="A42" s="20" t="str">
        <x:v>R0038</x:v>
      </x:c>
      <x:c r="B42" s="25" t="str">
        <x:v>Diabetic Kidney Disease: A Report From an ADA Consensus Conference</x:v>
      </x:c>
      <x:c r="C42" s="25" t="n">
        <x:v>2014</x:v>
      </x:c>
      <x:c r="D42" s="25" t="str">
        <x:v>Katherine R. Tuttle; George L. Bakris; Rudolf W. Bilous; Jane L. Chiang; Ian H. de Boer; Jordi Goldstein‐Fuchs; Irl B. Hirsch; Kamyar Kalantar‐Zadeh; Andrew S. Narva; Sankar D. Navaneethan; Joshua J. Neumiller; Uptal D. Patel; Robert E. Ratner; Adam Whaley‐Connell; Mark E. Molitch</x:v>
      </x:c>
      <x:c r="E42" s="25" t="str">
        <x:v>American Journal of Kidney Diseases</x:v>
      </x:c>
      <x:c r="F42" s="25" t="str">
        <x:v>10.1053/j.ajkd.2014.08.001</x:v>
      </x:c>
      <x:c r="G42" s="25" t="str">
        <x:v>https://doi.org/10.1053/j.ajkd.2014.08.001</x:v>
      </x:c>
      <x:c r="H42" s="25" t="str">
        <x:v>OpenAlex</x:v>
      </x:c>
      <x:c r="I42" s="25" t="str">
        <x:v>C15_proactive_interruption</x:v>
      </x:c>
      <x:c r="J42" s="25" t="str">
        <x:v>Exclude</x:v>
      </x:c>
      <x:c r="K42" s="25" t="str">
        <x:v>Exclude: topic mismatch</x:v>
      </x:c>
    </x:row>
    <x:row r="43">
      <x:c r="A43" s="20" t="str">
        <x:v>R0039</x:v>
      </x:c>
      <x:c r="B43" s="25" t="str">
        <x:v>Technological disruptions in services: lessons from tourism and hospitality</x:v>
      </x:c>
      <x:c r="C43" s="25" t="n">
        <x:v>2019</x:v>
      </x:c>
      <x:c r="D43" s="25" t="str">
        <x:v>Dimitrios Buhalis; Tracy Harwood; Vanja Bogicevic; Giampaolo Viglia; Srikanth Beldona; Charles F. Hofacker</x:v>
      </x:c>
      <x:c r="E43" s="25" t="str">
        <x:v>Journal of service management</x:v>
      </x:c>
      <x:c r="F43" s="25" t="str">
        <x:v>10.1108/josm-12-2018-0398</x:v>
      </x:c>
      <x:c r="G43" s="25" t="str">
        <x:v>https://doi.org/10.1108/josm-12-2018-0398</x:v>
      </x:c>
      <x:c r="H43" s="25" t="str">
        <x:v>OpenAlex</x:v>
      </x:c>
      <x:c r="I43" s="25" t="str">
        <x:v>C14_agency_ownership</x:v>
      </x:c>
      <x:c r="J43" s="25" t="str">
        <x:v>Exclude</x:v>
      </x:c>
      <x:c r="K43" s="25" t="str">
        <x:v>Exclude: adjacent/redundant or insufficiently theory-generative for DC1</x:v>
      </x:c>
    </x:row>
    <x:row r="44">
      <x:c r="A44" s="20" t="str">
        <x:v>R0040</x:v>
      </x:c>
      <x:c r="B44" s="25" t="str">
        <x:v>Revolutionizing education with AI: Exploring the transformative potential of ChatGPT</x:v>
      </x:c>
      <x:c r="C44" s="25" t="n">
        <x:v>2023</x:v>
      </x:c>
      <x:c r="D44" s="25" t="str">
        <x:v>Tufan Adıgüzel; Mehmet Haldun Kaya; Fatih Kürşat Cansu</x:v>
      </x:c>
      <x:c r="E44" s="25" t="str">
        <x:v>Contemporary Educational Technology</x:v>
      </x:c>
      <x:c r="F44" s="25" t="str">
        <x:v>10.30935/cedtech/13152</x:v>
      </x:c>
      <x:c r="G44" s="25" t="str">
        <x:v>https://doi.org/10.30935/cedtech/13152</x:v>
      </x:c>
      <x:c r="H44" s="25" t="str">
        <x:v>OpenAlex</x:v>
      </x:c>
      <x:c r="I44" s="25" t="str">
        <x:v>C7_creative_agency</x:v>
      </x:c>
      <x:c r="J44" s="25" t="str">
        <x:v>Exclude</x:v>
      </x:c>
      <x:c r="K44" s="25" t="str">
        <x:v>Exclude: topic mismatch</x:v>
      </x:c>
    </x:row>
    <x:row r="45">
      <x:c r="A45" s="20" t="str">
        <x:v>R0041</x:v>
      </x:c>
      <x:c r="B45" s="25" t="str">
        <x:v>Human-in-the-loop machine learning: a state of the art</x:v>
      </x:c>
      <x:c r="C45" s="25" t="n">
        <x:v>2022</x:v>
      </x:c>
      <x:c r="D45" s="25" t="str">
        <x:v>Eduardo Mosqueira-Rey; Elena Hernández-Pereira; David Alonso-Ríos; José Bobes-Bascarán; Ángel Fernández-Leal</x:v>
      </x:c>
      <x:c r="E45" s="25" t="str">
        <x:v>Artificial Intelligence Review</x:v>
      </x:c>
      <x:c r="F45" s="25" t="str">
        <x:v>10.1007/s10462-022-10246-w</x:v>
      </x:c>
      <x:c r="G45" s="25" t="str">
        <x:v>https://doi.org/10.1007/s10462-022-10246-w</x:v>
      </x:c>
      <x:c r="H45" s="25" t="str">
        <x:v>OpenAlex</x:v>
      </x:c>
      <x:c r="I45" s="25" t="str">
        <x:v>C2_interaction_signals; C3_mixed_initiative_cocreation</x:v>
      </x:c>
      <x:c r="J45" s="25" t="str">
        <x:v>Exclude</x:v>
      </x:c>
      <x:c r="K45" s="25" t="str">
        <x:v>Exclude: topic mismatch</x:v>
      </x:c>
    </x:row>
    <x:row r="46">
      <x:c r="A46" s="20" t="str">
        <x:v>R0042</x:v>
      </x:c>
      <x:c r="B46" s="25" t="str">
        <x:v>Constructing an understanding of mind: The development of children's social understanding within social interaction</x:v>
      </x:c>
      <x:c r="C46" s="25" t="n">
        <x:v>2004</x:v>
      </x:c>
      <x:c r="D46" s="25" t="str">
        <x:v>Jeremy I. M. Carpendale; Charlie Lewis</x:v>
      </x:c>
      <x:c r="E46" s="25" t="str">
        <x:v>Behavioral and Brain Sciences</x:v>
      </x:c>
      <x:c r="F46" s="25" t="str">
        <x:v>10.1017/s0140525x04000032</x:v>
      </x:c>
      <x:c r="G46" s="25" t="str">
        <x:v>https://doi.org/10.1017/s0140525x04000032</x:v>
      </x:c>
      <x:c r="H46" s="25" t="str">
        <x:v>OpenAlex</x:v>
      </x:c>
      <x:c r="I46" s="25" t="str">
        <x:v>C10_affordance_embodied</x:v>
      </x:c>
      <x:c r="J46" s="25" t="str">
        <x:v>Exclude</x:v>
      </x:c>
      <x:c r="K46" s="25" t="str">
        <x:v>Exclude: topic mismatch</x:v>
      </x:c>
    </x:row>
    <x:row r="47">
      <x:c r="A47" s="20" t="str">
        <x:v>R0043</x:v>
      </x:c>
      <x:c r="B47" s="25" t="str">
        <x:v>Machine Learning and Deep Learning frameworks and libraries for large-scale data mining: a survey</x:v>
      </x:c>
      <x:c r="C47" s="25" t="n">
        <x:v>2019</x:v>
      </x:c>
      <x:c r="D47" s="25" t="str">
        <x:v>Giang Nguyen; Štefan Dlugolinský; Martin Bobák; Viet Tran; Álvaro López García; Ignacio Heredia; Peter Malík; Ladislav Hluchý</x:v>
      </x:c>
      <x:c r="E47" s="25" t="str">
        <x:v>Artificial Intelligence Review</x:v>
      </x:c>
      <x:c r="F47" s="25" t="str">
        <x:v>10.1007/s10462-018-09679-z</x:v>
      </x:c>
      <x:c r="G47" s="25" t="str">
        <x:v>https://doi.org/10.1007/s10462-018-09679-z</x:v>
      </x:c>
      <x:c r="H47" s="25" t="str">
        <x:v>OpenAlex</x:v>
      </x:c>
      <x:c r="I47" s="25" t="str">
        <x:v>C11_hierarchical_goal_recognition</x:v>
      </x:c>
      <x:c r="J47" s="25" t="str">
        <x:v>Exclude</x:v>
      </x:c>
      <x:c r="K47" s="25" t="str">
        <x:v>Exclude: topic mismatch</x:v>
      </x:c>
    </x:row>
    <x:row r="48">
      <x:c r="A48" s="20" t="str">
        <x:v>R0044</x:v>
      </x:c>
      <x:c r="B48" s="25" t="str">
        <x:v>A Survey of Multi-Access Edge Computing in 5G and Beyond: Fundamentals, Technology Integration, and State-of-the-Art</x:v>
      </x:c>
      <x:c r="C48" s="25" t="n">
        <x:v>2020</x:v>
      </x:c>
      <x:c r="D48" s="25" t="str">
        <x:v>Quoc‐Viet Pham; Fang Fang; Vu Nguyen Ha; Md. Jalil Piran; Mai Le; Long Bao Le; Won–Joo Hwang; Zhiguo Ding</x:v>
      </x:c>
      <x:c r="E48" s="25" t="str">
        <x:v>IEEE Access</x:v>
      </x:c>
      <x:c r="F48" s="25" t="str">
        <x:v>10.1109/access.2020.3001277</x:v>
      </x:c>
      <x:c r="G48" s="25" t="str">
        <x:v>https://doi.org/10.1109/access.2020.3001277</x:v>
      </x:c>
      <x:c r="H48" s="25" t="str">
        <x:v>OpenAlex</x:v>
      </x:c>
      <x:c r="I48" s="25" t="str">
        <x:v>C15_proactive_interruption</x:v>
      </x:c>
      <x:c r="J48" s="25" t="str">
        <x:v>Exclude</x:v>
      </x:c>
      <x:c r="K48" s="25" t="str">
        <x:v>Exclude: adjacent/redundant or insufficiently theory-generative for DC1</x:v>
      </x:c>
    </x:row>
    <x:row r="49">
      <x:c r="A49" s="20" t="str">
        <x:v>R0045</x:v>
      </x:c>
      <x:c r="B49" s="25" t="str">
        <x:v>Why Johnny Can’t Prompt: How Non-AI Experts Try (and Fail) to Design LLM Prompts</x:v>
      </x:c>
      <x:c r="C49" s="25" t="n">
        <x:v>2023</x:v>
      </x:c>
      <x:c r="D49" s="25" t="str">
        <x:v>J.D. Zamfirescu-Pereira; Richmond Y. Wong; Bjoern Hartmann; Qian Yang</x:v>
      </x:c>
      <x:c r="E49" s="25" t="str"/>
      <x:c r="F49" s="25" t="str">
        <x:v>10.1145/3544548.3581388</x:v>
      </x:c>
      <x:c r="G49" s="25" t="str">
        <x:v>https://doi.org/10.1145/3544548.3581388</x:v>
      </x:c>
      <x:c r="H49" s="25" t="str">
        <x:v>OpenAlex</x:v>
      </x:c>
      <x:c r="I49" s="25" t="str">
        <x:v>C7_creative_agency</x:v>
      </x:c>
      <x:c r="J49" s="25" t="str">
        <x:v>Exclude</x:v>
      </x:c>
      <x:c r="K49" s="25" t="str">
        <x:v>Exclude: topic mismatch</x:v>
      </x:c>
    </x:row>
    <x:row r="50">
      <x:c r="A50" s="20" t="str">
        <x:v>R0046</x:v>
      </x:c>
      <x:c r="B50" s="25" t="str">
        <x:v>Unlocking the value of artificial intelligence in human resource management through AI capability framework</x:v>
      </x:c>
      <x:c r="C50" s="25" t="n">
        <x:v>2022</x:v>
      </x:c>
      <x:c r="D50" s="25" t="str">
        <x:v>Soumyadeb Chowdhury; Prasanta Kumar Dey; Sian Joel-Edgar; Sudeshna Bhattacharya; Oscar Rodríguez-Espíndola; Amélie Abadie; Linh Truong</x:v>
      </x:c>
      <x:c r="E50" s="25" t="str">
        <x:v>Human Resource Management Review</x:v>
      </x:c>
      <x:c r="F50" s="25" t="str">
        <x:v>10.1016/j.hrmr.2022.100899</x:v>
      </x:c>
      <x:c r="G50" s="25" t="str">
        <x:v>https://doi.org/10.1016/j.hrmr.2022.100899</x:v>
      </x:c>
      <x:c r="H50" s="25" t="str">
        <x:v>OpenAlex</x:v>
      </x:c>
      <x:c r="I50" s="25" t="str">
        <x:v>C14_agency_ownership; C7_creative_agency</x:v>
      </x:c>
      <x:c r="J50" s="25" t="str">
        <x:v>Exclude</x:v>
      </x:c>
      <x:c r="K50" s="25" t="str">
        <x:v>Exclude: topic mismatch</x:v>
      </x:c>
    </x:row>
    <x:row r="51">
      <x:c r="A51" s="20" t="str">
        <x:v>R0047</x:v>
      </x:c>
      <x:c r="B51" s="25" t="str">
        <x:v>Embodied Cognition is Not What you Think it is</x:v>
      </x:c>
      <x:c r="C51" s="25" t="n">
        <x:v>2013</x:v>
      </x:c>
      <x:c r="D51" s="25" t="str">
        <x:v>Andrew D. Wilson; Sabrina Golonka</x:v>
      </x:c>
      <x:c r="E51" s="25" t="str">
        <x:v>Frontiers in Psychology</x:v>
      </x:c>
      <x:c r="F51" s="25" t="str">
        <x:v>10.3389/fpsyg.2013.00058</x:v>
      </x:c>
      <x:c r="G51" s="25" t="str">
        <x:v>https://doi.org/10.3389/fpsyg.2013.00058</x:v>
      </x:c>
      <x:c r="H51" s="25" t="str">
        <x:v>OpenAlex</x:v>
      </x:c>
      <x:c r="I51" s="25" t="str">
        <x:v>C10_affordance_embodied</x:v>
      </x:c>
      <x:c r="J51" s="25" t="str">
        <x:v>Exclude</x:v>
      </x:c>
      <x:c r="K51" s="25" t="str">
        <x:v>Exclude: topic mismatch</x:v>
      </x:c>
    </x:row>
    <x:row r="52">
      <x:c r="A52" s="20" t="str">
        <x:v>R0048</x:v>
      </x:c>
      <x:c r="B52" s="25" t="str">
        <x:v>Progress and prospects of the human–robot collaboration</x:v>
      </x:c>
      <x:c r="C52" s="25" t="n">
        <x:v>2017</x:v>
      </x:c>
      <x:c r="D52" s="25" t="str">
        <x:v>Arash Ajoudani; Andrea Maria Zanchettin; Serena Ivaldi; Alin Albu‐Schäffer; Kazuhiro Kosuge; Oussama Khatib</x:v>
      </x:c>
      <x:c r="E52" s="25" t="str">
        <x:v>Autonomous Robots</x:v>
      </x:c>
      <x:c r="F52" s="25" t="str">
        <x:v>10.1007/s10514-017-9677-2</x:v>
      </x:c>
      <x:c r="G52" s="25" t="str">
        <x:v>https://doi.org/10.1007/s10514-017-9677-2</x:v>
      </x:c>
      <x:c r="H52" s="25" t="str">
        <x:v>OpenAlex</x:v>
      </x:c>
      <x:c r="I52" s="25" t="str">
        <x:v>C2_interaction_signals; C4_uncertainty_shared_autonomy</x:v>
      </x:c>
      <x:c r="J52" s="25" t="str">
        <x:v>Exclude</x:v>
      </x:c>
      <x:c r="K52" s="25" t="str">
        <x:v>Exclude: topic mismatch</x:v>
      </x:c>
    </x:row>
    <x:row r="53">
      <x:c r="A53" s="20" t="str">
        <x:v>R0049</x:v>
      </x:c>
      <x:c r="B53" s="25" t="str">
        <x:v>Human resource management in the age of generative artificial intelligence: Perspectives and research directions on ChatGPT</x:v>
      </x:c>
      <x:c r="C53" s="25" t="n">
        <x:v>2023</x:v>
      </x:c>
      <x:c r="D53" s="25" t="str">
        <x:v>Pawan Budhwar; Soumyadeb Chowdhury; Geoffrey Wood; Herman Aguinis; Greg J. Bamber; Jose R. Beltran; Paul Boselie; Fang Lee Cooke; Stephanie Decker; Angelo S. DeNisi; Prasanta Kumar Dey; David Guest; Andrew J. Knoblich; Ashish Malik; Jaap Paauwe; Savvas Papagiannidis; Charmi Patel; Vijay Pereira; Shuang Ren; Steven G. Rogelberg; Mark N. K. Saunders; Rosalie L. Tung; Arup Varma</x:v>
      </x:c>
      <x:c r="E53" s="25" t="str">
        <x:v>Human Resource Management Journal</x:v>
      </x:c>
      <x:c r="F53" s="25" t="str">
        <x:v>10.1111/1748-8583.12524</x:v>
      </x:c>
      <x:c r="G53" s="25" t="str">
        <x:v>https://doi.org/10.1111/1748-8583.12524</x:v>
      </x:c>
      <x:c r="H53" s="25" t="str">
        <x:v>OpenAlex</x:v>
      </x:c>
      <x:c r="I53" s="25" t="str">
        <x:v>C14_agency_ownership; C3_mixed_initiative_cocreation; C7_creative_agency</x:v>
      </x:c>
      <x:c r="J53" s="25" t="str">
        <x:v>Exclude</x:v>
      </x:c>
      <x:c r="K53" s="25" t="str">
        <x:v>Exclude: adjacent/redundant or insufficiently theory-generative for DC1</x:v>
      </x:c>
    </x:row>
    <x:row r="54">
      <x:c r="A54" s="20" t="str">
        <x:v>R0050</x:v>
      </x:c>
      <x:c r="B54" s="25" t="str">
        <x:v>From What to How: An Initial Review of Publicly Available AI Ethics Tools, Methods and Research to Translate Principles into Practices</x:v>
      </x:c>
      <x:c r="C54" s="25" t="n">
        <x:v>2019</x:v>
      </x:c>
      <x:c r="D54" s="25" t="str">
        <x:v>Jessica Morley; Luciano Floridi; Libby Kinsey; Anat Elhalal</x:v>
      </x:c>
      <x:c r="E54" s="25" t="str">
        <x:v>Science and Engineering Ethics</x:v>
      </x:c>
      <x:c r="F54" s="25" t="str">
        <x:v>10.1007/s11948-019-00165-5</x:v>
      </x:c>
      <x:c r="G54" s="25" t="str">
        <x:v>https://doi.org/10.1007/s11948-019-00165-5</x:v>
      </x:c>
      <x:c r="H54" s="25" t="str">
        <x:v>OpenAlex</x:v>
      </x:c>
      <x:c r="I54" s="25" t="str">
        <x:v>C7_creative_agency</x:v>
      </x:c>
      <x:c r="J54" s="25" t="str">
        <x:v>Exclude</x:v>
      </x:c>
      <x:c r="K54" s="25" t="str">
        <x:v>Exclude: adjacent/redundant or insufficiently theory-generative for DC1</x:v>
      </x:c>
    </x:row>
    <x:row r="55">
      <x:c r="A55" s="20" t="str">
        <x:v>R0051</x:v>
      </x:c>
      <x:c r="B55" s="25" t="str">
        <x:v>Decolonial AI: Decolonial Theory as Sociotechnical Foresight in Artificial Intelligence</x:v>
      </x:c>
      <x:c r="C55" s="25" t="n">
        <x:v>2020</x:v>
      </x:c>
      <x:c r="D55" s="25" t="str">
        <x:v>Shakir Mohamed; Marie-Thérèse Png; William Isaac</x:v>
      </x:c>
      <x:c r="E55" s="25" t="str">
        <x:v>Philosophy &amp; Technology</x:v>
      </x:c>
      <x:c r="F55" s="25" t="str">
        <x:v>10.1007/s13347-020-00405-8</x:v>
      </x:c>
      <x:c r="G55" s="25" t="str">
        <x:v>https://doi.org/10.1007/s13347-020-00405-8</x:v>
      </x:c>
      <x:c r="H55" s="25" t="str">
        <x:v>OpenAlex</x:v>
      </x:c>
      <x:c r="I55" s="25" t="str">
        <x:v>C14_agency_ownership; C7_creative_agency</x:v>
      </x:c>
      <x:c r="J55" s="25" t="str">
        <x:v>Exclude</x:v>
      </x:c>
      <x:c r="K55" s="25" t="str">
        <x:v>Exclude: topic mismatch</x:v>
      </x:c>
    </x:row>
    <x:row r="56">
      <x:c r="A56" s="20" t="str">
        <x:v>R0052</x:v>
      </x:c>
      <x:c r="B56" s="25" t="str">
        <x:v>Human Health and Ocean Pollution</x:v>
      </x:c>
      <x:c r="C56" s="25" t="n">
        <x:v>2020</x:v>
      </x:c>
      <x:c r="D56" s="25" t="str">
        <x:v>Philip J. Landrigan; John J. Stegeman; Lora E. Fleming; Denis Allemand; Donald M. Anderson; Lorraine C. Backer; Françoise Brücker-Davis; Nicolas Chevalier; Lilian Corra; Dorota Czerucka; Marie‐Yasmine Dechraoui Bottein; Barbara Demeneix; Michael H. Depledge; Dimitri D. Deheyn; Charles J. Dorman; Patrick Fénichel; Samantha Fisher; Françoise Gaill; François Galgani; William H. Gaze; Laura Giuliano; Philippe Grandjean; Mark E. Hahn; Amro Hamdoun; Philipp Heß; B.F. Judson; Amalia Laborde; Jacqueline McGlade; Jenna Mu; Adetoun Mustapha; María Neira; Rachel T. Noble; Maria Luiza Pedrotti; Christopher M. Reddy; Joacim Rocklöv; Ursula M. Scharler; Hariharan Shanmugam; Gabriella Taghian; Jeroen A. J. M. van de Water; Luigi Vezzulli; Pál Weihe; Ariana Zeka; Hervé Raps; Patrick Rampal</x:v>
      </x:c>
      <x:c r="E56" s="25" t="str">
        <x:v>Annals of Global Health</x:v>
      </x:c>
      <x:c r="F56" s="25" t="str">
        <x:v>10.5334/aogh.2831</x:v>
      </x:c>
      <x:c r="G56" s="25" t="str">
        <x:v>https://doi.org/10.5334/aogh.2831</x:v>
      </x:c>
      <x:c r="H56" s="25" t="str">
        <x:v>OpenAlex</x:v>
      </x:c>
      <x:c r="I56" s="25" t="str">
        <x:v>C7_creative_agency</x:v>
      </x:c>
      <x:c r="J56" s="25" t="str">
        <x:v>Exclude</x:v>
      </x:c>
      <x:c r="K56" s="25" t="str">
        <x:v>Exclude: adjacent/redundant or insufficiently theory-generative for DC1</x:v>
      </x:c>
    </x:row>
    <x:row r="57">
      <x:c r="A57" s="20" t="str">
        <x:v>R0053</x:v>
      </x:c>
      <x:c r="B57" s="25" t="str">
        <x:v>Usability of mobile applications: literature review and rationale for a new usability model</x:v>
      </x:c>
      <x:c r="C57" s="25" t="n">
        <x:v>2013</x:v>
      </x:c>
      <x:c r="D57" s="25" t="str">
        <x:v>Rachel Harrison; Derek Flood; David Duce</x:v>
      </x:c>
      <x:c r="E57" s="25" t="str">
        <x:v>Journal of Interaction Science</x:v>
      </x:c>
      <x:c r="F57" s="25" t="str">
        <x:v>10.1186/2194-0827-1-1</x:v>
      </x:c>
      <x:c r="G57" s="25" t="str">
        <x:v>https://doi.org/10.1186/2194-0827-1-1</x:v>
      </x:c>
      <x:c r="H57" s="25" t="str">
        <x:v>OpenAlex</x:v>
      </x:c>
      <x:c r="I57" s="25" t="str">
        <x:v>C1_3D_mental_models</x:v>
      </x:c>
      <x:c r="J57" s="25" t="str">
        <x:v>Exclude</x:v>
      </x:c>
      <x:c r="K57" s="25" t="str">
        <x:v>Exclude: topic mismatch</x:v>
      </x:c>
    </x:row>
    <x:row r="58">
      <x:c r="A58" s="20" t="str">
        <x:v>R0054</x:v>
      </x:c>
      <x:c r="B58" s="25" t="str">
        <x:v>Social Data: Biases, Methodological Pitfalls, and Ethical Boundaries</x:v>
      </x:c>
      <x:c r="C58" s="25" t="n">
        <x:v>2019</x:v>
      </x:c>
      <x:c r="D58" s="25" t="str">
        <x:v>Alexandra Olteanu; Carlos Castillo; Fernando Díaz; Emre Kıcıman</x:v>
      </x:c>
      <x:c r="E58" s="25" t="str">
        <x:v>Frontiers in Big Data</x:v>
      </x:c>
      <x:c r="F58" s="25" t="str">
        <x:v>10.3389/fdata.2019.00013</x:v>
      </x:c>
      <x:c r="G58" s="25" t="str">
        <x:v>https://doi.org/10.3389/fdata.2019.00013</x:v>
      </x:c>
      <x:c r="H58" s="25" t="str">
        <x:v>OpenAlex</x:v>
      </x:c>
      <x:c r="I58" s="25" t="str">
        <x:v>C2_interaction_signals</x:v>
      </x:c>
      <x:c r="J58" s="25" t="str">
        <x:v>Exclude</x:v>
      </x:c>
      <x:c r="K58" s="25" t="str">
        <x:v>Exclude: topic mismatch</x:v>
      </x:c>
    </x:row>
    <x:row r="59">
      <x:c r="A59" s="20" t="str">
        <x:v>R0055</x:v>
      </x:c>
      <x:c r="B59" s="25" t="str">
        <x:v>Computer Science Curricula 2013: Curriculum Guidelines for Undergraduate Degree Programs in Computer Science</x:v>
      </x:c>
      <x:c r="C59" s="25" t="n">
        <x:v>2013</x:v>
      </x:c>
      <x:c r="D59" s="25" t="str">
        <x:v>Sahami, Mehran; Roach, Steve; Cuadros-Vargas, Ernesto; Danyluk, Andrea; Dodge, Ronald; Fisher, Kathleen; France, Robert; Grossman, Dan; Hawthorne, Beth; Katz, Randy; Kumar, Amruth; LeBlanc, Rich; Reed, Dave; Robinson, Brian H.; Seker, Remzi; Thompson, Alfred</x:v>
      </x:c>
      <x:c r="E59" s="25" t="str">
        <x:v>ACM, Inc eBooks</x:v>
      </x:c>
      <x:c r="F59" s="25" t="str">
        <x:v>10.1145/2534860</x:v>
      </x:c>
      <x:c r="G59" s="25" t="str">
        <x:v>https://doi.org/10.1145/2534860</x:v>
      </x:c>
      <x:c r="H59" s="25" t="str">
        <x:v>OpenAlex</x:v>
      </x:c>
      <x:c r="I59" s="25" t="str">
        <x:v>C11_hierarchical_goal_recognition; C13_CAD_design_intent; C17_3D_gesture_ambiguity; C6_frontend_GUI_intent</x:v>
      </x:c>
      <x:c r="J59" s="25" t="str">
        <x:v>Exclude</x:v>
      </x:c>
      <x:c r="K59" s="25" t="str">
        <x:v>Exclude: topic mismatch</x:v>
      </x:c>
    </x:row>
    <x:row r="60">
      <x:c r="A60" s="20" t="str">
        <x:v>R0056</x:v>
      </x:c>
      <x:c r="B60" s="25" t="str">
        <x:v>The Global Traffic in Human Organs</x:v>
      </x:c>
      <x:c r="C60" s="25" t="n">
        <x:v>2000</x:v>
      </x:c>
      <x:c r="D60" s="25" t="str">
        <x:v>Nancy Scheper‐Hughes</x:v>
      </x:c>
      <x:c r="E60" s="25" t="str">
        <x:v>Current Anthropology</x:v>
      </x:c>
      <x:c r="F60" s="25" t="str">
        <x:v>10.1086/300123</x:v>
      </x:c>
      <x:c r="G60" s="25" t="str">
        <x:v>https://doi.org/10.1086/300123</x:v>
      </x:c>
      <x:c r="H60" s="25" t="str">
        <x:v>OpenAlex</x:v>
      </x:c>
      <x:c r="I60" s="25" t="str">
        <x:v>C14_agency_ownership; C7_creative_agency</x:v>
      </x:c>
      <x:c r="J60" s="25" t="str">
        <x:v>Exclude</x:v>
      </x:c>
      <x:c r="K60" s="25" t="str">
        <x:v>Exclude: topic mismatch</x:v>
      </x:c>
    </x:row>
    <x:row r="61">
      <x:c r="A61" s="20" t="str">
        <x:v>R0057</x:v>
      </x:c>
      <x:c r="B61" s="25" t="str">
        <x:v>Academic Integrity considerations of AI Large Language Models in the post-pandemic era: ChatGPT and beyond</x:v>
      </x:c>
      <x:c r="C61" s="25" t="n">
        <x:v>2023</x:v>
      </x:c>
      <x:c r="D61" s="25" t="str">
        <x:v>Mike Perkins</x:v>
      </x:c>
      <x:c r="E61" s="25" t="str">
        <x:v>Journal of University Teaching and Learning Practice</x:v>
      </x:c>
      <x:c r="F61" s="25" t="str">
        <x:v>10.53761/1.20.02.07</x:v>
      </x:c>
      <x:c r="G61" s="25" t="str">
        <x:v>https://doi.org/10.53761/1.20.02.07</x:v>
      </x:c>
      <x:c r="H61" s="25" t="str">
        <x:v>OpenAlex</x:v>
      </x:c>
      <x:c r="I61" s="25" t="str">
        <x:v>C7_creative_agency</x:v>
      </x:c>
      <x:c r="J61" s="25" t="str">
        <x:v>Exclude</x:v>
      </x:c>
      <x:c r="K61" s="25" t="str">
        <x:v>Exclude: topic mismatch</x:v>
      </x:c>
    </x:row>
    <x:row r="62">
      <x:c r="A62" s="20" t="str">
        <x:v>R0058</x:v>
      </x:c>
      <x:c r="B62" s="25" t="str">
        <x:v>Artificial intelligence in the creative industries: a review</x:v>
      </x:c>
      <x:c r="C62" s="25" t="n">
        <x:v>2021</x:v>
      </x:c>
      <x:c r="D62" s="25" t="str">
        <x:v>Nantheera Anantrasirichai; David Bull</x:v>
      </x:c>
      <x:c r="E62" s="25" t="str">
        <x:v>Artificial Intelligence Review</x:v>
      </x:c>
      <x:c r="F62" s="25" t="str">
        <x:v>10.1007/s10462-021-10039-7</x:v>
      </x:c>
      <x:c r="G62" s="25" t="str">
        <x:v>https://doi.org/10.1007/s10462-021-10039-7</x:v>
      </x:c>
      <x:c r="H62" s="25" t="str">
        <x:v>OpenAlex</x:v>
      </x:c>
      <x:c r="I62" s="25" t="str">
        <x:v>C17_3D_gesture_ambiguity; C8_AI_3D_authoring</x:v>
      </x:c>
      <x:c r="J62" s="25" t="str">
        <x:v>Exclude</x:v>
      </x:c>
      <x:c r="K62" s="25" t="str">
        <x:v>Exclude: adjacent/redundant or insufficiently theory-generative for DC1</x:v>
      </x:c>
    </x:row>
    <x:row r="63">
      <x:c r="A63" s="20" t="str">
        <x:v>R0059</x:v>
      </x:c>
      <x:c r="B63" s="25" t="str">
        <x:v>clusterMaker: a multi-algorithm clustering plugin for Cytoscape</x:v>
      </x:c>
      <x:c r="C63" s="25" t="n">
        <x:v>2011</x:v>
      </x:c>
      <x:c r="D63" s="25" t="str">
        <x:v>John H. Morris; Leonard Apeltsin; Aaron M. Newman; Jan Baumbach; Tobias Wittkop; Gang Su; Gary D. Bader; Thomas E. Ferrin</x:v>
      </x:c>
      <x:c r="E63" s="25" t="str">
        <x:v>BMC Bioinformatics</x:v>
      </x:c>
      <x:c r="F63" s="25" t="str">
        <x:v>10.1186/1471-2105-12-436</x:v>
      </x:c>
      <x:c r="G63" s="25" t="str">
        <x:v>https://doi.org/10.1186/1471-2105-12-436</x:v>
      </x:c>
      <x:c r="H63" s="25" t="str">
        <x:v>OpenAlex</x:v>
      </x:c>
      <x:c r="I63" s="25" t="str">
        <x:v>C11_hierarchical_goal_recognition</x:v>
      </x:c>
      <x:c r="J63" s="25" t="str">
        <x:v>Exclude</x:v>
      </x:c>
      <x:c r="K63" s="25" t="str">
        <x:v>Exclude: topic mismatch</x:v>
      </x:c>
    </x:row>
    <x:row r="64">
      <x:c r="A64" s="20" t="str">
        <x:v>R0060</x:v>
      </x:c>
      <x:c r="B64" s="25" t="str">
        <x:v>Creativity, Critical Thinking, Communication, and Collaboration: Assessment, Certification, and Promotion of 21st Century Skills for the Future of Work and Education</x:v>
      </x:c>
      <x:c r="C64" s="25" t="n">
        <x:v>2023</x:v>
      </x:c>
      <x:c r="D64" s="25" t="str">
        <x:v>Branden Thornhill-Miller; Anaëlle Camarda; Maxence Mercier; Jean‐Marie Burkhardt; Tiffany Morisseau; Samira Bourgeois‐Bougrine; Florent Vinchon; Stephanie El Hayek; Myriam Augereau-Landais; Florence Mourey; Cyrille Feybesse; Daniel Sundquist; Todd Lubart</x:v>
      </x:c>
      <x:c r="E64" s="25" t="str">
        <x:v>Journal of Intelligence</x:v>
      </x:c>
      <x:c r="F64" s="25" t="str">
        <x:v>10.3390/jintelligence11030054</x:v>
      </x:c>
      <x:c r="G64" s="25" t="str">
        <x:v>https://doi.org/10.3390/jintelligence11030054</x:v>
      </x:c>
      <x:c r="H64" s="25" t="str">
        <x:v>OpenAlex</x:v>
      </x:c>
      <x:c r="I64" s="25" t="str">
        <x:v>C3_mixed_initiative_cocreation</x:v>
      </x:c>
      <x:c r="J64" s="25" t="str">
        <x:v>Exclude</x:v>
      </x:c>
      <x:c r="K64" s="25" t="str">
        <x:v>Exclude: adjacent/redundant or insufficiently theory-generative for DC1</x:v>
      </x:c>
    </x:row>
    <x:row r="65">
      <x:c r="A65" s="20" t="str">
        <x:v>R0061</x:v>
      </x:c>
      <x:c r="B65" s="25" t="str">
        <x:v>The Simulation of Smiles (SIMS) model: Embodied simulation and the meaning of facial expression</x:v>
      </x:c>
      <x:c r="C65" s="25" t="n">
        <x:v>2010</x:v>
      </x:c>
      <x:c r="D65" s="25" t="str">
        <x:v>Paula M. Niedenthal; Martial Mermillod; Marcus Maringer; Ursula Heß</x:v>
      </x:c>
      <x:c r="E65" s="25" t="str">
        <x:v>Behavioral and Brain Sciences</x:v>
      </x:c>
      <x:c r="F65" s="25" t="str">
        <x:v>10.1017/s0140525x10000865</x:v>
      </x:c>
      <x:c r="G65" s="25" t="str">
        <x:v>https://doi.org/10.1017/s0140525x10000865</x:v>
      </x:c>
      <x:c r="H65" s="25" t="str">
        <x:v>OpenAlex</x:v>
      </x:c>
      <x:c r="I65" s="25" t="str">
        <x:v>C10_affordance_embodied</x:v>
      </x:c>
      <x:c r="J65" s="25" t="str">
        <x:v>Exclude</x:v>
      </x:c>
      <x:c r="K65" s="25" t="str">
        <x:v>Exclude: topic mismatch</x:v>
      </x:c>
    </x:row>
    <x:row r="66">
      <x:c r="A66" s="20" t="str">
        <x:v>R0062</x:v>
      </x:c>
      <x:c r="B66" s="25" t="str">
        <x:v>Integration of IoT-Enabled Technologies and Artificial Intelligence (AI) for Smart City Scenario: Recent Advancements and Future Trends</x:v>
      </x:c>
      <x:c r="C66" s="25" t="n">
        <x:v>2023</x:v>
      </x:c>
      <x:c r="D66" s="25" t="str">
        <x:v>Md Eshrat E. Alahi; Arsanchai Sukkuea; Fahmida Wazed Tina; Anindya Nag; Wattanapong Kurdthongmee; Korakot Suwannarat; Subhas Chandra Mukhopadhyay</x:v>
      </x:c>
      <x:c r="E66" s="25" t="str">
        <x:v>Sensors</x:v>
      </x:c>
      <x:c r="F66" s="25" t="str">
        <x:v>10.3390/s23115206</x:v>
      </x:c>
      <x:c r="G66" s="25" t="str">
        <x:v>https://doi.org/10.3390/s23115206</x:v>
      </x:c>
      <x:c r="H66" s="25" t="str">
        <x:v>OpenAlex</x:v>
      </x:c>
      <x:c r="I66" s="25" t="str">
        <x:v>C14_agency_ownership</x:v>
      </x:c>
      <x:c r="J66" s="25" t="str">
        <x:v>Exclude</x:v>
      </x:c>
      <x:c r="K66" s="25" t="str">
        <x:v>Exclude: topic mismatch</x:v>
      </x:c>
    </x:row>
    <x:row r="67">
      <x:c r="A67" s="20" t="str">
        <x:v>R0063</x:v>
      </x:c>
      <x:c r="B67" s="25" t="str">
        <x:v>EEG-Based Brain-Computer Interfaces Using Motor-Imagery: Techniques and Challenges</x:v>
      </x:c>
      <x:c r="C67" s="25" t="n">
        <x:v>2019</x:v>
      </x:c>
      <x:c r="D67" s="25" t="str">
        <x:v>Natasha Padfield; Jaime Zabalza; Huimin Zhao; Valentín Masero; Jinchang Ren</x:v>
      </x:c>
      <x:c r="E67" s="25" t="str">
        <x:v>Sensors</x:v>
      </x:c>
      <x:c r="F67" s="25" t="str">
        <x:v>10.3390/s19061423</x:v>
      </x:c>
      <x:c r="G67" s="25" t="str">
        <x:v>https://doi.org/10.3390/s19061423</x:v>
      </x:c>
      <x:c r="H67" s="25" t="str">
        <x:v>OpenAlex</x:v>
      </x:c>
      <x:c r="I67" s="25" t="str">
        <x:v>C1_3D_mental_models</x:v>
      </x:c>
      <x:c r="J67" s="25" t="str">
        <x:v>Exclude</x:v>
      </x:c>
      <x:c r="K67" s="25" t="str">
        <x:v>Exclude: topic mismatch</x:v>
      </x:c>
    </x:row>
    <x:row r="68">
      <x:c r="A68" s="20" t="str">
        <x:v>R0064</x:v>
      </x:c>
      <x:c r="B68" s="25" t="str">
        <x:v>Re-examining Whether, Why, and How Human-AI Interaction Is Uniquely Difficult to Design</x:v>
      </x:c>
      <x:c r="C68" s="25" t="n">
        <x:v>2020</x:v>
      </x:c>
      <x:c r="D68" s="25" t="str">
        <x:v>Qian Yang; Aaron Steinfeld; Carolyn Penstein Rosé; John Zimmerman</x:v>
      </x:c>
      <x:c r="E68" s="25" t="str"/>
      <x:c r="F68" s="25" t="str">
        <x:v>10.1145/3313831.3376301</x:v>
      </x:c>
      <x:c r="G68" s="25" t="str">
        <x:v>https://doi.org/10.1145/3313831.3376301</x:v>
      </x:c>
      <x:c r="H68" s="25" t="str">
        <x:v>OpenAlex</x:v>
      </x:c>
      <x:c r="I68" s="25" t="str">
        <x:v>C7_creative_agency</x:v>
      </x:c>
      <x:c r="J68" s="25" t="str">
        <x:v>Include</x:v>
      </x:c>
      <x:c r="K68" s="25" t="str">
        <x:v>Included in focused synthesis</x:v>
      </x:c>
    </x:row>
    <x:row r="69">
      <x:c r="A69" s="20" t="str">
        <x:v>R0065</x:v>
      </x:c>
      <x:c r="B69" s="25" t="str">
        <x:v>Modelling with stakeholders – Next generation</x:v>
      </x:c>
      <x:c r="C69" s="25" t="n">
        <x:v>2015</x:v>
      </x:c>
      <x:c r="D69" s="25" t="str">
        <x:v>Alexey Voinov; Nagesh Kolagani; Michael K. McCall; Pierre D. Glynn; Marit E. Kragt; Frank Ostermann; Suzanne A. Pierce; Palaniappan Ramu</x:v>
      </x:c>
      <x:c r="E69" s="25" t="str">
        <x:v>Environmental Modelling &amp; Software</x:v>
      </x:c>
      <x:c r="F69" s="25" t="str">
        <x:v>10.1016/j.envsoft.2015.11.016</x:v>
      </x:c>
      <x:c r="G69" s="25" t="str">
        <x:v>https://doi.org/10.1016/j.envsoft.2015.11.016</x:v>
      </x:c>
      <x:c r="H69" s="25" t="str">
        <x:v>OpenAlex</x:v>
      </x:c>
      <x:c r="I69" s="25" t="str">
        <x:v>C17_3D_gesture_ambiguity</x:v>
      </x:c>
      <x:c r="J69" s="25" t="str">
        <x:v>Exclude</x:v>
      </x:c>
      <x:c r="K69" s="25" t="str">
        <x:v>Exclude: topic mismatch</x:v>
      </x:c>
    </x:row>
    <x:row r="70">
      <x:c r="A70" s="20" t="str">
        <x:v>R0066</x:v>
      </x:c>
      <x:c r="B70" s="25" t="str">
        <x:v>Molecular representations in AI-driven drug discovery: a review and practical guide</x:v>
      </x:c>
      <x:c r="C70" s="25" t="n">
        <x:v>2020</x:v>
      </x:c>
      <x:c r="D70" s="25" t="str">
        <x:v>Laurianne David; Amol Thakkar; Rocío Mercado; Ola Engkvist</x:v>
      </x:c>
      <x:c r="E70" s="25" t="str">
        <x:v>Journal of Cheminformatics</x:v>
      </x:c>
      <x:c r="F70" s="25" t="str">
        <x:v>10.1186/s13321-020-00460-5</x:v>
      </x:c>
      <x:c r="G70" s="25" t="str">
        <x:v>https://doi.org/10.1186/s13321-020-00460-5</x:v>
      </x:c>
      <x:c r="H70" s="25" t="str">
        <x:v>OpenAlex</x:v>
      </x:c>
      <x:c r="I70" s="25" t="str">
        <x:v>C8_AI_3D_authoring</x:v>
      </x:c>
      <x:c r="J70" s="25" t="str">
        <x:v>Exclude</x:v>
      </x:c>
      <x:c r="K70" s="25" t="str">
        <x:v>Exclude: topic mismatch</x:v>
      </x:c>
    </x:row>
    <x:row r="71">
      <x:c r="A71" s="20" t="str">
        <x:v>R0067</x:v>
      </x:c>
      <x:c r="B71" s="25" t="str">
        <x:v>Social Eye Gaze in Human-Robot Interaction: A Review</x:v>
      </x:c>
      <x:c r="C71" s="25" t="n">
        <x:v>2017</x:v>
      </x:c>
      <x:c r="D71" s="25" t="str">
        <x:v>Henny Admoni; Brian Scassellati</x:v>
      </x:c>
      <x:c r="E71" s="25" t="str">
        <x:v>Journal of Human-Robot Interaction</x:v>
      </x:c>
      <x:c r="F71" s="25" t="str">
        <x:v>10.5898/jhri.6.1.admoni</x:v>
      </x:c>
      <x:c r="G71" s="25" t="str">
        <x:v>https://doi.org/10.5898/jhri.6.1.admoni</x:v>
      </x:c>
      <x:c r="H71" s="25" t="str">
        <x:v>OpenAlex</x:v>
      </x:c>
      <x:c r="I71" s="25" t="str">
        <x:v>C10_affordance_embodied</x:v>
      </x:c>
      <x:c r="J71" s="25" t="str">
        <x:v>Exclude</x:v>
      </x:c>
      <x:c r="K71" s="25" t="str">
        <x:v>Exclude: topic mismatch</x:v>
      </x:c>
    </x:row>
    <x:row r="72">
      <x:c r="A72" s="20" t="str">
        <x:v>R0068</x:v>
      </x:c>
      <x:c r="B72" s="25" t="str">
        <x:v>Learning design to support student-AI collaboration: perspectives of leading teachers for AI in education</x:v>
      </x:c>
      <x:c r="C72" s="25" t="n">
        <x:v>2022</x:v>
      </x:c>
      <x:c r="D72" s="25" t="str">
        <x:v>Jinhee Kim; Hyun-Kyung Lee; Young Hoan Cho</x:v>
      </x:c>
      <x:c r="E72" s="25" t="str">
        <x:v>Education and Information Technologies</x:v>
      </x:c>
      <x:c r="F72" s="25" t="str">
        <x:v>10.1007/s10639-021-10831-6</x:v>
      </x:c>
      <x:c r="G72" s="25" t="str">
        <x:v>https://doi.org/10.1007/s10639-021-10831-6</x:v>
      </x:c>
      <x:c r="H72" s="25" t="str">
        <x:v>OpenAlex</x:v>
      </x:c>
      <x:c r="I72" s="25" t="str">
        <x:v>C7_creative_agency</x:v>
      </x:c>
      <x:c r="J72" s="25" t="str">
        <x:v>Exclude</x:v>
      </x:c>
      <x:c r="K72" s="25" t="str">
        <x:v>Exclude: adjacent/redundant or insufficiently theory-generative for DC1</x:v>
      </x:c>
    </x:row>
    <x:row r="73">
      <x:c r="A73" s="20" t="str">
        <x:v>R0069</x:v>
      </x:c>
      <x:c r="B73" s="25" t="str">
        <x:v>AI literacy in K-12: a systematic literature review</x:v>
      </x:c>
      <x:c r="C73" s="25" t="n">
        <x:v>2023</x:v>
      </x:c>
      <x:c r="D73" s="25" t="str">
        <x:v>Lorena Casal Otero; Alejandro Catalá; Carmen Fernández-Morante; M. Taboada; Beatriz Cebreiro López; Senén Barro</x:v>
      </x:c>
      <x:c r="E73" s="25" t="str">
        <x:v>International Journal of STEM Education</x:v>
      </x:c>
      <x:c r="F73" s="25" t="str">
        <x:v>10.1186/s40594-023-00418-7</x:v>
      </x:c>
      <x:c r="G73" s="25" t="str">
        <x:v>https://doi.org/10.1186/s40594-023-00418-7</x:v>
      </x:c>
      <x:c r="H73" s="25" t="str">
        <x:v>OpenAlex</x:v>
      </x:c>
      <x:c r="I73" s="25" t="str">
        <x:v>C7_creative_agency</x:v>
      </x:c>
      <x:c r="J73" s="25" t="str">
        <x:v>Exclude</x:v>
      </x:c>
      <x:c r="K73" s="25" t="str">
        <x:v>Exclude: topic mismatch</x:v>
      </x:c>
    </x:row>
    <x:row r="74">
      <x:c r="A74" s="20" t="str">
        <x:v>R0070</x:v>
      </x:c>
      <x:c r="B74" s="25" t="str">
        <x:v>AI in marketing, consumer research and psychology: A systematic literature review and research agenda</x:v>
      </x:c>
      <x:c r="C74" s="25" t="n">
        <x:v>2021</x:v>
      </x:c>
      <x:c r="D74" s="25" t="str">
        <x:v>Marcello M. Mariani; Rodrigo Perez‐Vega; Jochen Wirtz</x:v>
      </x:c>
      <x:c r="E74" s="25" t="str">
        <x:v>Psychology and Marketing</x:v>
      </x:c>
      <x:c r="F74" s="25" t="str">
        <x:v>10.1002/mar.21619</x:v>
      </x:c>
      <x:c r="G74" s="25" t="str">
        <x:v>https://doi.org/10.1002/mar.21619</x:v>
      </x:c>
      <x:c r="H74" s="25" t="str">
        <x:v>OpenAlex</x:v>
      </x:c>
      <x:c r="I74" s="25" t="str">
        <x:v>C7_creative_agency</x:v>
      </x:c>
      <x:c r="J74" s="25" t="str">
        <x:v>Exclude</x:v>
      </x:c>
      <x:c r="K74" s="25" t="str">
        <x:v>Exclude: domain-specific signal model without transferable HCI theory</x:v>
      </x:c>
    </x:row>
    <x:row r="75">
      <x:c r="A75" s="20" t="str">
        <x:v>R0071</x:v>
      </x:c>
      <x:c r="B75" s="25" t="str">
        <x:v>Trustworthy artificial intelligence</x:v>
      </x:c>
      <x:c r="C75" s="25" t="n">
        <x:v>2020</x:v>
      </x:c>
      <x:c r="D75" s="25" t="str">
        <x:v>Scott Thiebes; Sebastian Lins; Ali Sunyaev</x:v>
      </x:c>
      <x:c r="E75" s="25" t="str">
        <x:v>Electronic Markets</x:v>
      </x:c>
      <x:c r="F75" s="25" t="str">
        <x:v>10.1007/s12525-020-00441-4</x:v>
      </x:c>
      <x:c r="G75" s="25" t="str">
        <x:v>https://doi.org/10.1007/s12525-020-00441-4</x:v>
      </x:c>
      <x:c r="H75" s="25" t="str">
        <x:v>OpenAlex</x:v>
      </x:c>
      <x:c r="I75" s="25" t="str">
        <x:v>C4_uncertainty_shared_autonomy</x:v>
      </x:c>
      <x:c r="J75" s="25" t="str">
        <x:v>Exclude</x:v>
      </x:c>
      <x:c r="K75" s="25" t="str">
        <x:v>Exclude: adjacent/redundant or insufficiently theory-generative for DC1</x:v>
      </x:c>
    </x:row>
    <x:row r="76">
      <x:c r="A76" s="20" t="str">
        <x:v>R0072</x:v>
      </x:c>
      <x:c r="B76" s="25" t="str">
        <x:v>Symbiotic human-robot collaborative assembly</x:v>
      </x:c>
      <x:c r="C76" s="25" t="n">
        <x:v>2019</x:v>
      </x:c>
      <x:c r="D76" s="25" t="str">
        <x:v>Lihui Wang; Robert X. Gao; József Váncza; Jörg Krüger; Xi Vincent Wang; Sotiris Makris; George Chryssolouris</x:v>
      </x:c>
      <x:c r="E76" s="25" t="str">
        <x:v>CIRP Annals</x:v>
      </x:c>
      <x:c r="F76" s="25" t="str">
        <x:v>10.1016/j.cirp.2019.05.002</x:v>
      </x:c>
      <x:c r="G76" s="25" t="str">
        <x:v>https://doi.org/10.1016/j.cirp.2019.05.002</x:v>
      </x:c>
      <x:c r="H76" s="25" t="str">
        <x:v>OpenAlex</x:v>
      </x:c>
      <x:c r="I76" s="25" t="str">
        <x:v>C11_hierarchical_goal_recognition; C13_CAD_design_intent</x:v>
      </x:c>
      <x:c r="J76" s="25" t="str">
        <x:v>Exclude</x:v>
      </x:c>
      <x:c r="K76" s="25" t="str">
        <x:v>Exclude: topic mismatch</x:v>
      </x:c>
    </x:row>
    <x:row r="77">
      <x:c r="A77" s="20" t="str">
        <x:v>R0073</x:v>
      </x:c>
      <x:c r="B77" s="25" t="str">
        <x:v>The Space Physics Environment Data Analysis System (SPEDAS)</x:v>
      </x:c>
      <x:c r="C77" s="25" t="n">
        <x:v>2019</x:v>
      </x:c>
      <x:c r="D77" s="25" t="str">
        <x:v>V. Angelopoulos; P. Cruce; Alexander Drozdov; E. W. Grimes; Nick Hatzigeorgiu; David A. King; D. E. Larson; James W. Lewis; J. M. McTiernan; D. A. Roberts; Chuck Russell; Tomoaki Hori; Yoshiya Kasahara; Atsushi Kumamoto; Ayako Matsuoka; Yukinaga Miyashita; Yoshizumi Miyoshi; Iku Shinohara; M. Teramoto; J. B. Faden; Alexa Halford; M. McCarthy; R. M. Millan; J. G. Sample; David M. Smith; L. A. Woodger; A. Masson; Ayris Narock; Kazushi Asamura; T. F. Chang; C. Chiang; Y. Kazama; K. Keika; Shoya Matsuda; Takehiko Segawa; K. Seki; Masafumi Shoji; Sunny W. Y. Tam; Norio Umemura; B.‐J. Wang; Shiang‐Yu Wang; R. J. Redmon; J. V. Rodriguez; H. J. Singer; J. D. Vandegriff; Shuji Abe; M. Nosé; Atsuki Shinbori; Yoshimasa Tanaka; S. Ueno; L. Andersson; P. Dunn; C. M. Fowler; J. S. Halekas; Takuya Hara; Yuki Harada; Christina O. Lee; R. J. Lillis; D. L. Mitchell; M. R. Argall; K. R. Bromund; J. L. Burch; I. J. Cohen; Michael Galloy; B. L. Giles; A. N. Jaynes; O. Le Contel; M. Oka; T. D. Phan; Brian M. Walsh; J. H. Westlake; F. D. Wilder; S. D. Bale; R. Livi; M. Pulupa; P. L. Whittlesey; A. W. DeWolfe; B. Harter; Edson Mello Lucas; U. Auster; J. W. Bonnell; C. M. Cully; E. Donovan; R. E. Ergun; H. U. Frey; B. J. Jackel; A. Keiling; H. Korth; J. P. McFadden; Y. Nishimura; Ferdinand Plaschke; P. Robert; D. L. Turner; J. M. Weygand; R. M. Candey; R. C. Johnson; T. J. Kovalick; M. H. Liu; R. E. McGuire; A. W. Breneman</x:v>
      </x:c>
      <x:c r="E77" s="25" t="str">
        <x:v>Space Science Reviews</x:v>
      </x:c>
      <x:c r="F77" s="25" t="str">
        <x:v>10.1007/s11214-018-0576-4</x:v>
      </x:c>
      <x:c r="G77" s="25" t="str">
        <x:v>https://doi.org/10.1007/s11214-018-0576-4</x:v>
      </x:c>
      <x:c r="H77" s="25" t="str">
        <x:v>OpenAlex</x:v>
      </x:c>
      <x:c r="I77" s="25" t="str">
        <x:v>C11_hierarchical_goal_recognition</x:v>
      </x:c>
      <x:c r="J77" s="25" t="str">
        <x:v>Exclude</x:v>
      </x:c>
      <x:c r="K77" s="25" t="str">
        <x:v>Exclude: topic mismatch</x:v>
      </x:c>
    </x:row>
    <x:row r="78">
      <x:c r="A78" s="20" t="str">
        <x:v>R0074</x:v>
      </x:c>
      <x:c r="B78" s="25" t="str">
        <x:v>Contributions and Risks of Artificial Intelligence (AI) in Building Smarter Cities: Insights from a Systematic Review of the Literature</x:v>
      </x:c>
      <x:c r="C78" s="25" t="n">
        <x:v>2020</x:v>
      </x:c>
      <x:c r="D78" s="25" t="str">
        <x:v>Tan Yiğitcanlar; Kevin C. Desouza; Luke Butler; Farnoosh Roozkhosh</x:v>
      </x:c>
      <x:c r="E78" s="25" t="str">
        <x:v>Energies</x:v>
      </x:c>
      <x:c r="F78" s="25" t="str">
        <x:v>10.3390/en13061473</x:v>
      </x:c>
      <x:c r="G78" s="25" t="str">
        <x:v>https://doi.org/10.3390/en13061473</x:v>
      </x:c>
      <x:c r="H78" s="25" t="str">
        <x:v>OpenAlex</x:v>
      </x:c>
      <x:c r="I78" s="25" t="str">
        <x:v>C3_mixed_initiative_cocreation</x:v>
      </x:c>
      <x:c r="J78" s="25" t="str">
        <x:v>Exclude</x:v>
      </x:c>
      <x:c r="K78" s="25" t="str">
        <x:v>Exclude: topic mismatch</x:v>
      </x:c>
    </x:row>
    <x:row r="79">
      <x:c r="A79" s="20" t="str">
        <x:v>R0075</x:v>
      </x:c>
      <x:c r="B79" s="25" t="str">
        <x:v>Towards a standard for identifying and managing bias in artificial intelligence</x:v>
      </x:c>
      <x:c r="C79" s="25" t="n">
        <x:v>2022</x:v>
      </x:c>
      <x:c r="D79" s="25" t="str">
        <x:v>Reva Schwartz; Apostol Vassilev; Kristen Greene; Lori Perine; Andrew Burt; Patrick Hall</x:v>
      </x:c>
      <x:c r="E79" s="25" t="str"/>
      <x:c r="F79" s="25" t="str">
        <x:v>10.6028/nist.sp.1270</x:v>
      </x:c>
      <x:c r="G79" s="25" t="str">
        <x:v>https://doi.org/10.6028/nist.sp.1270</x:v>
      </x:c>
      <x:c r="H79" s="25" t="str">
        <x:v>OpenAlex</x:v>
      </x:c>
      <x:c r="I79" s="25" t="str">
        <x:v>C2_interaction_signals</x:v>
      </x:c>
      <x:c r="J79" s="25" t="str">
        <x:v>Exclude</x:v>
      </x:c>
      <x:c r="K79" s="25" t="str">
        <x:v>Exclude: adjacent/redundant or insufficiently theory-generative for DC1</x:v>
      </x:c>
    </x:row>
    <x:row r="80">
      <x:c r="A80" s="20" t="str">
        <x:v>R0076</x:v>
      </x:c>
      <x:c r="B80" s="25" t="str">
        <x:v>Data mountain</x:v>
      </x:c>
      <x:c r="C80" s="25" t="n">
        <x:v>1998</x:v>
      </x:c>
      <x:c r="D80" s="25" t="str">
        <x:v>George Robertson; Mary Czerwinski; Kevin Larson; Daniel C. Robbins; David Thiel; Maarten van Dantzich</x:v>
      </x:c>
      <x:c r="E80" s="25" t="str"/>
      <x:c r="F80" s="25" t="str">
        <x:v>10.1145/288392.288596</x:v>
      </x:c>
      <x:c r="G80" s="25" t="str">
        <x:v>https://doi.org/10.1145/288392.288596</x:v>
      </x:c>
      <x:c r="H80" s="25" t="str">
        <x:v>OpenAlex</x:v>
      </x:c>
      <x:c r="I80" s="25" t="str">
        <x:v>C1_3D_mental_models</x:v>
      </x:c>
      <x:c r="J80" s="25" t="str">
        <x:v>Exclude</x:v>
      </x:c>
      <x:c r="K80" s="25" t="str">
        <x:v>Exclude: adjacent/redundant or insufficiently theory-generative for DC1</x:v>
      </x:c>
    </x:row>
    <x:row r="81">
      <x:c r="A81" s="20" t="str">
        <x:v>R0077</x:v>
      </x:c>
      <x:c r="B81" s="25" t="str">
        <x:v>Small is beautiful: In defense of the small-N design</x:v>
      </x:c>
      <x:c r="C81" s="25" t="n">
        <x:v>2018</x:v>
      </x:c>
      <x:c r="D81" s="25" t="str">
        <x:v>Philip L. Smith; Daniel R. Little</x:v>
      </x:c>
      <x:c r="E81" s="25" t="str">
        <x:v>Psychonomic Bulletin &amp; Review</x:v>
      </x:c>
      <x:c r="F81" s="25" t="str">
        <x:v>10.3758/s13423-018-1451-8</x:v>
      </x:c>
      <x:c r="G81" s="25" t="str">
        <x:v>https://doi.org/10.3758/s13423-018-1451-8</x:v>
      </x:c>
      <x:c r="H81" s="25" t="str">
        <x:v>OpenAlex</x:v>
      </x:c>
      <x:c r="I81" s="25" t="str">
        <x:v>C10_affordance_embodied</x:v>
      </x:c>
      <x:c r="J81" s="25" t="str">
        <x:v>Exclude</x:v>
      </x:c>
      <x:c r="K81" s="25" t="str">
        <x:v>Exclude: topic mismatch</x:v>
      </x:c>
    </x:row>
    <x:row r="82">
      <x:c r="A82" s="20" t="str">
        <x:v>R0078</x:v>
      </x:c>
      <x:c r="B82" s="25" t="str">
        <x:v>Artificial Intelligence and Entrepreneurship: Implications for Venture Creation in the Fourth Industrial Revolution</x:v>
      </x:c>
      <x:c r="C82" s="25" t="n">
        <x:v>2020</x:v>
      </x:c>
      <x:c r="D82" s="25" t="str">
        <x:v>Dominic Chalmers; Niall MacKenzie; Sara Carter</x:v>
      </x:c>
      <x:c r="E82" s="25" t="str">
        <x:v>Entrepreneurship Theory and Practice</x:v>
      </x:c>
      <x:c r="F82" s="25" t="str">
        <x:v>10.1177/1042258720934581</x:v>
      </x:c>
      <x:c r="G82" s="25" t="str">
        <x:v>https://doi.org/10.1177/1042258720934581</x:v>
      </x:c>
      <x:c r="H82" s="25" t="str">
        <x:v>OpenAlex</x:v>
      </x:c>
      <x:c r="I82" s="25" t="str">
        <x:v>C14_agency_ownership; C7_creative_agency</x:v>
      </x:c>
      <x:c r="J82" s="25" t="str">
        <x:v>Exclude</x:v>
      </x:c>
      <x:c r="K82" s="25" t="str">
        <x:v>Exclude: topic mismatch</x:v>
      </x:c>
    </x:row>
    <x:row r="83">
      <x:c r="A83" s="20" t="str">
        <x:v>R0079</x:v>
      </x:c>
      <x:c r="B83" s="25" t="str">
        <x:v>Six Human-Centered Artificial Intelligence Grand Challenges</x:v>
      </x:c>
      <x:c r="C83" s="25" t="n">
        <x:v>2023</x:v>
      </x:c>
      <x:c r="D83" s="25" t="str">
        <x:v>Özlem Özmen Garibay; Brent Winslow; Salvatore Andolina; Margherita Antona; Anja Bodenschatz; Constantinos K. Coursaris; Gregory Falco; Stephen M. Fiore; Iván Garibay; Keri Grieman; John C. Havens; Marina Jirotka; Hernisa Kacorri; Waldemar Karwowski; Joseph T. Kider; Joseph A. Konstan; Sean Koon; Mónica López-González; Iliana Maifeld-Carucci; Sean McGregor; Gavriel Salvendy; Ben Shneiderman; Constantine Stephanidis; Christina Strobel; Carolyn Ten Holter; Wei Xu</x:v>
      </x:c>
      <x:c r="E83" s="25" t="str">
        <x:v>International Journal of Human-Computer Interaction</x:v>
      </x:c>
      <x:c r="F83" s="25" t="str">
        <x:v>10.1080/10447318.2022.2153320</x:v>
      </x:c>
      <x:c r="G83" s="25" t="str">
        <x:v>https://doi.org/10.1080/10447318.2022.2153320</x:v>
      </x:c>
      <x:c r="H83" s="25" t="str">
        <x:v>OpenAlex</x:v>
      </x:c>
      <x:c r="I83" s="25" t="str">
        <x:v>C3_mixed_initiative_cocreation; C4_uncertainty_shared_autonomy</x:v>
      </x:c>
      <x:c r="J83" s="25" t="str">
        <x:v>Exclude</x:v>
      </x:c>
      <x:c r="K83" s="25" t="str">
        <x:v>Exclude: adjacent/redundant or insufficiently theory-generative for DC1</x:v>
      </x:c>
    </x:row>
    <x:row r="84">
      <x:c r="A84" s="20" t="str">
        <x:v>R0080</x:v>
      </x:c>
      <x:c r="B84" s="25" t="str">
        <x:v>A dissociation between object manipulation spatial ability and spatial orientation ability</x:v>
      </x:c>
      <x:c r="C84" s="25" t="n">
        <x:v>2001</x:v>
      </x:c>
      <x:c r="D84" s="25" t="str">
        <x:v>Maria Kozhevnikov; Mary Hegarty</x:v>
      </x:c>
      <x:c r="E84" s="25" t="str">
        <x:v>Memory &amp;amp; Cognition</x:v>
      </x:c>
      <x:c r="F84" s="25" t="str">
        <x:v>10.3758/bf03200477</x:v>
      </x:c>
      <x:c r="G84" s="25" t="str">
        <x:v>https://doi.org/10.3758/bf03200477</x:v>
      </x:c>
      <x:c r="H84" s="25" t="str">
        <x:v>Crossref</x:v>
      </x:c>
      <x:c r="I84" s="25" t="str">
        <x:v>C1_3D_mental_models</x:v>
      </x:c>
      <x:c r="J84" s="25" t="str">
        <x:v>Exclude</x:v>
      </x:c>
      <x:c r="K84" s="25" t="str">
        <x:v>Exclude: adjacent/redundant or insufficiently theory-generative for DC1</x:v>
      </x:c>
    </x:row>
    <x:row r="85">
      <x:c r="A85" s="20" t="str">
        <x:v>R0081</x:v>
      </x:c>
      <x:c r="B85" s="25" t="str">
        <x:v>Cobot programming for collaborative industrial tasks: An overview</x:v>
      </x:c>
      <x:c r="C85" s="25" t="n">
        <x:v>2019</x:v>
      </x:c>
      <x:c r="D85" s="25" t="str">
        <x:v>Shirine El Zaatari; Mohamed Marei; Weidong Li; Zahid Usman</x:v>
      </x:c>
      <x:c r="E85" s="25" t="str">
        <x:v>Robotics and Autonomous Systems</x:v>
      </x:c>
      <x:c r="F85" s="25" t="str">
        <x:v>10.1016/j.robot.2019.03.003</x:v>
      </x:c>
      <x:c r="G85" s="25" t="str">
        <x:v>https://doi.org/10.1016/j.robot.2019.03.003</x:v>
      </x:c>
      <x:c r="H85" s="25" t="str">
        <x:v>OpenAlex</x:v>
      </x:c>
      <x:c r="I85" s="25" t="str">
        <x:v>C11_hierarchical_goal_recognition; C13_CAD_design_intent; C6_frontend_GUI_intent</x:v>
      </x:c>
      <x:c r="J85" s="25" t="str">
        <x:v>Exclude</x:v>
      </x:c>
      <x:c r="K85" s="25" t="str">
        <x:v>Exclude: topic mismatch</x:v>
      </x:c>
    </x:row>
    <x:row r="86">
      <x:c r="A86" s="20" t="str">
        <x:v>R0082</x:v>
      </x:c>
      <x:c r="B86" s="25" t="str">
        <x:v>Consensus Paper: Cerebellum and Social Cognition</x:v>
      </x:c>
      <x:c r="C86" s="25" t="n">
        <x:v>2020</x:v>
      </x:c>
      <x:c r="D86" s="25" t="str">
        <x:v>Frank Van Overwalle; Mario Manto; Zaira Cattaneo; Silvia Clausi; Chiara Ferrari; John D. E. Gabrieli; Xavier Guell; Elien Heleven; Michela Lupo; Qianying Ma; Marco Michelutti; Giusy Olivito; Min Pu; Laura C. Rice; Jeremy D. Schmahmann; Libera Siciliano; Arseny A. Sokolov; Catherine J. Stoodley; Kim van Dun; Larry R. Vandervert; Maria Leggio</x:v>
      </x:c>
      <x:c r="E86" s="25" t="str">
        <x:v>The Cerebellum</x:v>
      </x:c>
      <x:c r="F86" s="25" t="str">
        <x:v>10.1007/s12311-020-01155-1</x:v>
      </x:c>
      <x:c r="G86" s="25" t="str">
        <x:v>https://doi.org/10.1007/s12311-020-01155-1</x:v>
      </x:c>
      <x:c r="H86" s="25" t="str">
        <x:v>OpenAlex</x:v>
      </x:c>
      <x:c r="I86" s="25" t="str">
        <x:v>C10_affordance_embodied</x:v>
      </x:c>
      <x:c r="J86" s="25" t="str">
        <x:v>Exclude</x:v>
      </x:c>
      <x:c r="K86" s="25" t="str">
        <x:v>Exclude: adjacent/redundant or insufficiently theory-generative for DC1</x:v>
      </x:c>
    </x:row>
    <x:row r="87">
      <x:c r="A87" s="20" t="str">
        <x:v>R0083</x:v>
      </x:c>
      <x:c r="B87" s="25" t="str">
        <x:v>AI Chains: Transparent and Controllable Human-AI Interaction by Chaining Large Language Model Prompts</x:v>
      </x:c>
      <x:c r="C87" s="25" t="n">
        <x:v>2022</x:v>
      </x:c>
      <x:c r="D87" s="25" t="str">
        <x:v>Tongshuang Wu; Michael Terry; Carrie J. Cai</x:v>
      </x:c>
      <x:c r="E87" s="25" t="str">
        <x:v>CHI Conference on Human Factors in Computing Systems</x:v>
      </x:c>
      <x:c r="F87" s="25" t="str">
        <x:v>10.1145/3491102.3517582</x:v>
      </x:c>
      <x:c r="G87" s="25" t="str">
        <x:v>https://doi.org/10.1145/3491102.3517582</x:v>
      </x:c>
      <x:c r="H87" s="25" t="str">
        <x:v>OpenAlex</x:v>
      </x:c>
      <x:c r="I87" s="25" t="str">
        <x:v>C3_mixed_initiative_cocreation; C7_creative_agency</x:v>
      </x:c>
      <x:c r="J87" s="25" t="str">
        <x:v>Include</x:v>
      </x:c>
      <x:c r="K87" s="25" t="str">
        <x:v>Included in focused synthesis</x:v>
      </x:c>
    </x:row>
    <x:row r="88">
      <x:c r="A88" s="20" t="str">
        <x:v>R0084</x:v>
      </x:c>
      <x:c r="B88" s="25" t="str">
        <x:v>The AI gambit: leveraging artificial intelligence to combat climate change—opportunities, challenges, and recommendations</x:v>
      </x:c>
      <x:c r="C88" s="25" t="n">
        <x:v>2021</x:v>
      </x:c>
      <x:c r="D88" s="25" t="str">
        <x:v>Josh Cowls; Andreas Tsamados; Mariarosaria Taddeo; Luciano Floridi</x:v>
      </x:c>
      <x:c r="E88" s="25" t="str">
        <x:v>AI &amp; Society</x:v>
      </x:c>
      <x:c r="F88" s="25" t="str">
        <x:v>10.1007/s00146-021-01294-x</x:v>
      </x:c>
      <x:c r="G88" s="25" t="str">
        <x:v>https://doi.org/10.1007/s00146-021-01294-x</x:v>
      </x:c>
      <x:c r="H88" s="25" t="str">
        <x:v>OpenAlex</x:v>
      </x:c>
      <x:c r="I88" s="25" t="str">
        <x:v>C14_agency_ownership</x:v>
      </x:c>
      <x:c r="J88" s="25" t="str">
        <x:v>Exclude</x:v>
      </x:c>
      <x:c r="K88" s="25" t="str">
        <x:v>Exclude: topic mismatch</x:v>
      </x:c>
    </x:row>
    <x:row r="89">
      <x:c r="A89" s="20" t="str">
        <x:v>R0085</x:v>
      </x:c>
      <x:c r="B89" s="25" t="str">
        <x:v>The effects of transparency on trust in and acceptance of a content-based art recommender</x:v>
      </x:c>
      <x:c r="C89" s="25" t="n">
        <x:v>2008</x:v>
      </x:c>
      <x:c r="D89" s="25" t="str">
        <x:v>Henriette Cramer; Vanessa Evers; Satyan Ramlal; Maarten van Someren; Lloyd Rutledge; Natalia Stash; Lora Aroyo; Bob Wielinga</x:v>
      </x:c>
      <x:c r="E89" s="25" t="str">
        <x:v>User Modeling and User-Adapted Interaction</x:v>
      </x:c>
      <x:c r="F89" s="25" t="str">
        <x:v>10.1007/s11257-008-9051-3</x:v>
      </x:c>
      <x:c r="G89" s="25" t="str">
        <x:v>https://doi.org/10.1007/s11257-008-9051-3</x:v>
      </x:c>
      <x:c r="H89" s="25" t="str">
        <x:v>OpenAlex</x:v>
      </x:c>
      <x:c r="I89" s="25" t="str">
        <x:v>C2_interaction_signals</x:v>
      </x:c>
      <x:c r="J89" s="25" t="str">
        <x:v>Exclude</x:v>
      </x:c>
      <x:c r="K89" s="25" t="str">
        <x:v>Exclude: topic mismatch</x:v>
      </x:c>
    </x:row>
    <x:row r="90">
      <x:c r="A90" s="20" t="str">
        <x:v>R0086</x:v>
      </x:c>
      <x:c r="B90" s="25" t="str">
        <x:v>ChatGPT for Robotics: Design Principles and Model Abilities</x:v>
      </x:c>
      <x:c r="C90" s="25" t="n">
        <x:v>2024</x:v>
      </x:c>
      <x:c r="D90" s="25" t="str">
        <x:v>Sai Vemprala; Rogerio Bonatti; Arthur Bucker; Ashish Kapoor</x:v>
      </x:c>
      <x:c r="E90" s="25" t="str">
        <x:v>IEEE Access</x:v>
      </x:c>
      <x:c r="F90" s="25" t="str">
        <x:v>10.1109/access.2024.3387941</x:v>
      </x:c>
      <x:c r="G90" s="25" t="str">
        <x:v>https://doi.org/10.1109/access.2024.3387941</x:v>
      </x:c>
      <x:c r="H90" s="25" t="str">
        <x:v>OpenAlex</x:v>
      </x:c>
      <x:c r="I90" s="25" t="str">
        <x:v>C8_AI_3D_authoring</x:v>
      </x:c>
      <x:c r="J90" s="25" t="str">
        <x:v>Exclude</x:v>
      </x:c>
      <x:c r="K90" s="25" t="str">
        <x:v>Exclude: adjacent/redundant or insufficiently theory-generative for DC1</x:v>
      </x:c>
    </x:row>
    <x:row r="91">
      <x:c r="A91" s="20" t="str">
        <x:v>R0087</x:v>
      </x:c>
      <x:c r="B91" s="25" t="str">
        <x:v>Deep learning for deepfakes creation and detection: A survey</x:v>
      </x:c>
      <x:c r="C91" s="25" t="n">
        <x:v>2022</x:v>
      </x:c>
      <x:c r="D91" s="25" t="str">
        <x:v>Thanh Thi Nguyen; Thanh Thi Nguyen; Quoc Viet Hung Nguyen; Dung T. Nguyen; Duc Thanh Nguyen; Thien Huynh‐The; Saeid Nahavandi; Thanh Thi Nguyen; Thành Tâm Nguyên; Quoc‐Viet Pham; Cuong Nguyen</x:v>
      </x:c>
      <x:c r="E91" s="25" t="str">
        <x:v>Computer Vision and Image Understanding</x:v>
      </x:c>
      <x:c r="F91" s="25" t="str">
        <x:v>10.1016/j.cviu.2022.103525</x:v>
      </x:c>
      <x:c r="G91" s="25" t="str">
        <x:v>https://doi.org/10.1016/j.cviu.2022.103525</x:v>
      </x:c>
      <x:c r="H91" s="25" t="str">
        <x:v>OpenAlex</x:v>
      </x:c>
      <x:c r="I91" s="25" t="str">
        <x:v>C7_creative_agency</x:v>
      </x:c>
      <x:c r="J91" s="25" t="str">
        <x:v>Exclude</x:v>
      </x:c>
      <x:c r="K91" s="25" t="str">
        <x:v>Exclude: topic mismatch</x:v>
      </x:c>
    </x:row>
    <x:row r="92">
      <x:c r="A92" s="20" t="str">
        <x:v>R0088</x:v>
      </x:c>
      <x:c r="B92" s="25" t="str">
        <x:v>Cultural Affordances: Scaffolding Local Worlds Through Shared Intentionality and Regimes of Attention</x:v>
      </x:c>
      <x:c r="C92" s="25" t="n">
        <x:v>2016</x:v>
      </x:c>
      <x:c r="D92" s="25" t="str">
        <x:v>Maxwell J. D. Ramstead; Samuel P. L. Veissière; Laurence J. Kirmayer</x:v>
      </x:c>
      <x:c r="E92" s="25" t="str">
        <x:v>Frontiers in Psychology</x:v>
      </x:c>
      <x:c r="F92" s="25" t="str">
        <x:v>10.3389/fpsyg.2016.01090</x:v>
      </x:c>
      <x:c r="G92" s="25" t="str">
        <x:v>https://doi.org/10.3389/fpsyg.2016.01090</x:v>
      </x:c>
      <x:c r="H92" s="25" t="str">
        <x:v>OpenAlex</x:v>
      </x:c>
      <x:c r="I92" s="25" t="str">
        <x:v>C10_affordance_embodied</x:v>
      </x:c>
      <x:c r="J92" s="25" t="str">
        <x:v>Exclude</x:v>
      </x:c>
      <x:c r="K92" s="25" t="str">
        <x:v>Exclude: adjacent/redundant or insufficiently theory-generative for DC1</x:v>
      </x:c>
    </x:row>
    <x:row r="93">
      <x:c r="A93" s="20" t="str">
        <x:v>R0089</x:v>
      </x:c>
      <x:c r="B93" s="25" t="str">
        <x:v>Citizens Versus the Internet: Confronting Digital Challenges With Cognitive Tools</x:v>
      </x:c>
      <x:c r="C93" s="25" t="n">
        <x:v>2020</x:v>
      </x:c>
      <x:c r="D93" s="25" t="str">
        <x:v>Anastasia Kozyreva; Stephan Lewandowsky; Ralph Hertwig</x:v>
      </x:c>
      <x:c r="E93" s="25" t="str">
        <x:v>Gothic.net</x:v>
      </x:c>
      <x:c r="F93" s="25" t="str">
        <x:v>10.1177/1529100620946707</x:v>
      </x:c>
      <x:c r="G93" s="25" t="str">
        <x:v>https://doi.org/10.1177/1529100620946707</x:v>
      </x:c>
      <x:c r="H93" s="25" t="str">
        <x:v>OpenAlex</x:v>
      </x:c>
      <x:c r="I93" s="25" t="str">
        <x:v>C4_uncertainty_shared_autonomy</x:v>
      </x:c>
      <x:c r="J93" s="25" t="str">
        <x:v>Exclude</x:v>
      </x:c>
      <x:c r="K93" s="25" t="str">
        <x:v>Exclude: adjacent/redundant or insufficiently theory-generative for DC1</x:v>
      </x:c>
    </x:row>
    <x:row r="94">
      <x:c r="A94" s="20" t="str">
        <x:v>R0090</x:v>
      </x:c>
      <x:c r="B94" s="25" t="str">
        <x:v>Machine Learning for 5G/B5G Mobile and Wireless Communications: Potential, Limitations, and Future Directions</x:v>
      </x:c>
      <x:c r="C94" s="25" t="n">
        <x:v>2019</x:v>
      </x:c>
      <x:c r="D94" s="25" t="str">
        <x:v>Manuel Eugenio Morocho-Cayamcela; Haeyoung Lee; Wansu Lim</x:v>
      </x:c>
      <x:c r="E94" s="25" t="str">
        <x:v>IEEE Access</x:v>
      </x:c>
      <x:c r="F94" s="25" t="str">
        <x:v>10.1109/access.2019.2942390</x:v>
      </x:c>
      <x:c r="G94" s="25" t="str">
        <x:v>https://doi.org/10.1109/access.2019.2942390</x:v>
      </x:c>
      <x:c r="H94" s="25" t="str">
        <x:v>OpenAlex</x:v>
      </x:c>
      <x:c r="I94" s="25" t="str">
        <x:v>C11_hierarchical_goal_recognition</x:v>
      </x:c>
      <x:c r="J94" s="25" t="str">
        <x:v>Exclude</x:v>
      </x:c>
      <x:c r="K94" s="25" t="str">
        <x:v>Exclude: adjacent/redundant or insufficiently theory-generative for DC1</x:v>
      </x:c>
    </x:row>
    <x:row r="95">
      <x:c r="A95" s="20" t="str">
        <x:v>R0091</x:v>
      </x:c>
      <x:c r="B95" s="25" t="str">
        <x:v>AI adoption and diffusion in public administration: A systematic literature review and future research agenda</x:v>
      </x:c>
      <x:c r="C95" s="25" t="n">
        <x:v>2022</x:v>
      </x:c>
      <x:c r="D95" s="25" t="str">
        <x:v>Rohit Madan; Mona Ashok</x:v>
      </x:c>
      <x:c r="E95" s="25" t="str">
        <x:v>Government Information Quarterly</x:v>
      </x:c>
      <x:c r="F95" s="25" t="str">
        <x:v>10.1016/j.giq.2022.101774</x:v>
      </x:c>
      <x:c r="G95" s="25" t="str">
        <x:v>https://doi.org/10.1016/j.giq.2022.101774</x:v>
      </x:c>
      <x:c r="H95" s="25" t="str">
        <x:v>OpenAlex</x:v>
      </x:c>
      <x:c r="I95" s="25" t="str">
        <x:v>C3_mixed_initiative_cocreation</x:v>
      </x:c>
      <x:c r="J95" s="25" t="str">
        <x:v>Exclude</x:v>
      </x:c>
      <x:c r="K95" s="25" t="str">
        <x:v>Exclude: topic mismatch</x:v>
      </x:c>
    </x:row>
    <x:row r="96">
      <x:c r="A96" s="20" t="str">
        <x:v>R0092</x:v>
      </x:c>
      <x:c r="B96" s="25" t="str">
        <x:v>Dopamine, Affordance and Active Inference</x:v>
      </x:c>
      <x:c r="C96" s="25" t="n">
        <x:v>2012</x:v>
      </x:c>
      <x:c r="D96" s="25" t="str">
        <x:v>Karl Friston; Tamara Shiner; Thomas H. B. FitzGerald; Joseph M. Galea; Rick A. Adams; Harriet R. Brown; Raymond J. Dolan; Rosalyn Moran; Klaas Ε. Stephan; Sven Bestmann</x:v>
      </x:c>
      <x:c r="E96" s="25" t="str">
        <x:v>PLoS Computational Biology</x:v>
      </x:c>
      <x:c r="F96" s="25" t="str">
        <x:v>10.1371/journal.pcbi.1002327</x:v>
      </x:c>
      <x:c r="G96" s="25" t="str">
        <x:v>https://doi.org/10.1371/journal.pcbi.1002327</x:v>
      </x:c>
      <x:c r="H96" s="25" t="str">
        <x:v>OpenAlex</x:v>
      </x:c>
      <x:c r="I96" s="25" t="str">
        <x:v>C10_affordance_embodied</x:v>
      </x:c>
      <x:c r="J96" s="25" t="str">
        <x:v>Exclude</x:v>
      </x:c>
      <x:c r="K96" s="25" t="str">
        <x:v>Exclude: topic mismatch</x:v>
      </x:c>
    </x:row>
    <x:row r="97">
      <x:c r="A97" s="20" t="str">
        <x:v>R0093</x:v>
      </x:c>
      <x:c r="B97" s="25" t="str">
        <x:v>Artificial empathy in marketing interactions: Bridging the human-AI gap in affective and social customer experience</x:v>
      </x:c>
      <x:c r="C97" s="25" t="n">
        <x:v>2022</x:v>
      </x:c>
      <x:c r="D97" s="25" t="str">
        <x:v>Yuping Liu–Thompkins; Shintaro Okazaki; Hairong Li</x:v>
      </x:c>
      <x:c r="E97" s="25" t="str">
        <x:v>Journal of the Academy of Marketing Science</x:v>
      </x:c>
      <x:c r="F97" s="25" t="str">
        <x:v>10.1007/s11747-022-00892-5</x:v>
      </x:c>
      <x:c r="G97" s="25" t="str">
        <x:v>https://doi.org/10.1007/s11747-022-00892-5</x:v>
      </x:c>
      <x:c r="H97" s="25" t="str">
        <x:v>OpenAlex</x:v>
      </x:c>
      <x:c r="I97" s="25" t="str">
        <x:v>C2_interaction_signals; C4_uncertainty_shared_autonomy; C7_creative_agency</x:v>
      </x:c>
      <x:c r="J97" s="25" t="str">
        <x:v>Exclude</x:v>
      </x:c>
      <x:c r="K97" s="25" t="str">
        <x:v>Exclude: topic mismatch</x:v>
      </x:c>
    </x:row>
    <x:row r="98">
      <x:c r="A98" s="20" t="str">
        <x:v>R0094</x:v>
      </x:c>
      <x:c r="B98" s="25" t="str">
        <x:v>The promise and challenges of generative AI in education</x:v>
      </x:c>
      <x:c r="C98" s="25" t="n">
        <x:v>2024</x:v>
      </x:c>
      <x:c r="D98" s="25" t="str">
        <x:v>Michail N. Giannakos; Roger Azevedo; Peter Brusilovsky; Mutlu Cukurova; Yannis Dimitriadis; Davinia Hernández‐Leo; Sanna Järvelä; Manolis Mavrikis; Bart Rienties</x:v>
      </x:c>
      <x:c r="E98" s="25" t="str">
        <x:v>Behaviour and Information Technology</x:v>
      </x:c>
      <x:c r="F98" s="25" t="str">
        <x:v>10.1080/0144929x.2024.2394886</x:v>
      </x:c>
      <x:c r="G98" s="25" t="str">
        <x:v>https://doi.org/10.1080/0144929x.2024.2394886</x:v>
      </x:c>
      <x:c r="H98" s="25" t="str">
        <x:v>OpenAlex</x:v>
      </x:c>
      <x:c r="I98" s="25" t="str">
        <x:v>C14_agency_ownership; C7_creative_agency</x:v>
      </x:c>
      <x:c r="J98" s="25" t="str">
        <x:v>Exclude</x:v>
      </x:c>
      <x:c r="K98" s="25" t="str">
        <x:v>Exclude: topic mismatch</x:v>
      </x:c>
    </x:row>
    <x:row r="99">
      <x:c r="A99" s="20" t="str">
        <x:v>R0095</x:v>
      </x:c>
      <x:c r="B99" s="25" t="str">
        <x:v>The &lt;scp&gt;ImageJ&lt;/scp&gt; ecosystem: Open‐source software for image visualization, processing, and analysis</x:v>
      </x:c>
      <x:c r="C99" s="25" t="n">
        <x:v>2020</x:v>
      </x:c>
      <x:c r="D99" s="25" t="str">
        <x:v>Alexandra B. Schroeder; Ellen T. A. Dobson; Curtis Rueden; Pavel Tomančák; Florian Jug; Kevin W. Eliceiri</x:v>
      </x:c>
      <x:c r="E99" s="25" t="str">
        <x:v>Protein Science</x:v>
      </x:c>
      <x:c r="F99" s="25" t="str">
        <x:v>10.1002/pro.3993</x:v>
      </x:c>
      <x:c r="G99" s="25" t="str">
        <x:v>https://doi.org/10.1002/pro.3993</x:v>
      </x:c>
      <x:c r="H99" s="25" t="str">
        <x:v>OpenAlex</x:v>
      </x:c>
      <x:c r="I99" s="25" t="str">
        <x:v>C11_hierarchical_goal_recognition</x:v>
      </x:c>
      <x:c r="J99" s="25" t="str">
        <x:v>Exclude</x:v>
      </x:c>
      <x:c r="K99" s="25" t="str">
        <x:v>Exclude: topic mismatch</x:v>
      </x:c>
    </x:row>
    <x:row r="100">
      <x:c r="A100" s="20" t="str">
        <x:v>R0096</x:v>
      </x:c>
      <x:c r="B100" s="25" t="str">
        <x:v>Generative AI in Medicine and Healthcare: Promises, Opportunities and Challenges</x:v>
      </x:c>
      <x:c r="C100" s="25" t="n">
        <x:v>2023</x:v>
      </x:c>
      <x:c r="D100" s="25" t="str">
        <x:v>Peng Zhang; Maged N. Kamel Boulos</x:v>
      </x:c>
      <x:c r="E100" s="25" t="str">
        <x:v>Future Internet</x:v>
      </x:c>
      <x:c r="F100" s="25" t="str">
        <x:v>10.3390/fi15090286</x:v>
      </x:c>
      <x:c r="G100" s="25" t="str">
        <x:v>https://doi.org/10.3390/fi15090286</x:v>
      </x:c>
      <x:c r="H100" s="25" t="str">
        <x:v>OpenAlex</x:v>
      </x:c>
      <x:c r="I100" s="25" t="str">
        <x:v>C14_agency_ownership</x:v>
      </x:c>
      <x:c r="J100" s="25" t="str">
        <x:v>Exclude</x:v>
      </x:c>
      <x:c r="K100" s="25" t="str">
        <x:v>Exclude: topic mismatch</x:v>
      </x:c>
    </x:row>
    <x:row r="101">
      <x:c r="A101" s="20" t="str">
        <x:v>R0097</x:v>
      </x:c>
      <x:c r="B101" s="25" t="str">
        <x:v>Immersive VR and Education: Embodied Design Principles That Include Gesture and Hand Controls</x:v>
      </x:c>
      <x:c r="C101" s="25" t="n">
        <x:v>2018</x:v>
      </x:c>
      <x:c r="D101" s="25" t="str">
        <x:v>Mina C. Johnson‐Glenberg</x:v>
      </x:c>
      <x:c r="E101" s="25" t="str">
        <x:v>Frontiers in Robotics and AI</x:v>
      </x:c>
      <x:c r="F101" s="25" t="str">
        <x:v>10.3389/frobt.2018.00081</x:v>
      </x:c>
      <x:c r="G101" s="25" t="str">
        <x:v>https://doi.org/10.3389/frobt.2018.00081</x:v>
      </x:c>
      <x:c r="H101" s="25" t="str">
        <x:v>OpenAlex</x:v>
      </x:c>
      <x:c r="I101" s="25" t="str">
        <x:v>C10_affordance_embodied; C1_3D_mental_models</x:v>
      </x:c>
      <x:c r="J101" s="25" t="str">
        <x:v>Exclude</x:v>
      </x:c>
      <x:c r="K101" s="25" t="str">
        <x:v>Exclude: adjacent/redundant or insufficiently theory-generative for DC1</x:v>
      </x:c>
    </x:row>
    <x:row r="102">
      <x:c r="A102" s="20" t="str">
        <x:v>R0098</x:v>
      </x:c>
      <x:c r="B102" s="25" t="str">
        <x:v>A Review of Intent Detection, Arbitration, and Communication Aspects of Shared Control for Physical Human–Robot Interaction</x:v>
      </x:c>
      <x:c r="C102" s="25" t="n">
        <x:v>2018</x:v>
      </x:c>
      <x:c r="D102" s="25" t="str">
        <x:v>Dylan P. Losey; Craig G. McDonald; Edoardo Battaglia; Marcia K. O’Malley</x:v>
      </x:c>
      <x:c r="E102" s="25" t="str">
        <x:v>Applied Mechanics Reviews</x:v>
      </x:c>
      <x:c r="F102" s="25" t="str">
        <x:v>10.1115/1.4039145</x:v>
      </x:c>
      <x:c r="G102" s="25" t="str">
        <x:v>https://doi.org/10.1115/1.4039145</x:v>
      </x:c>
      <x:c r="H102" s="25" t="str">
        <x:v>OpenAlex</x:v>
      </x:c>
      <x:c r="I102" s="25" t="str">
        <x:v>C2_interaction_signals; C4_uncertainty_shared_autonomy</x:v>
      </x:c>
      <x:c r="J102" s="25" t="str">
        <x:v>Exclude</x:v>
      </x:c>
      <x:c r="K102" s="25" t="str">
        <x:v>Exclude: adjacent/redundant or insufficiently theory-generative for DC1</x:v>
      </x:c>
    </x:row>
    <x:row r="103">
      <x:c r="A103" s="20" t="str">
        <x:v>R0099</x:v>
      </x:c>
      <x:c r="B103" s="25" t="str">
        <x:v>Hybrid-augmented intelligence: collaboration and cognition</x:v>
      </x:c>
      <x:c r="C103" s="25" t="n">
        <x:v>2017</x:v>
      </x:c>
      <x:c r="D103" s="25" t="str">
        <x:v>Nanning Zheng; Ziyi Liu; Pengju Ren; Yongqiang Ma; Shitao Chen; Siyu Yu; Jianru Xue; Badong Chen; Fei‐Yue Wang</x:v>
      </x:c>
      <x:c r="E103" s="25" t="str">
        <x:v>Frontiers of Information Technology &amp; Electronic Engineering</x:v>
      </x:c>
      <x:c r="F103" s="25" t="str">
        <x:v>10.1631/fitee.1700053</x:v>
      </x:c>
      <x:c r="G103" s="25" t="str">
        <x:v>https://doi.org/10.1631/fitee.1700053</x:v>
      </x:c>
      <x:c r="H103" s="25" t="str">
        <x:v>OpenAlex</x:v>
      </x:c>
      <x:c r="I103" s="25" t="str">
        <x:v>C1_3D_mental_models</x:v>
      </x:c>
      <x:c r="J103" s="25" t="str">
        <x:v>Exclude</x:v>
      </x:c>
      <x:c r="K103" s="25" t="str">
        <x:v>Exclude: adjacent/redundant or insufficiently theory-generative for DC1</x:v>
      </x:c>
    </x:row>
    <x:row r="104">
      <x:c r="A104" s="20" t="str">
        <x:v>R0100</x:v>
      </x:c>
      <x:c r="B104" s="25" t="str">
        <x:v>Design and validation of an augmented book for spatial abilities development in engineering students</x:v>
      </x:c>
      <x:c r="C104" s="25" t="n">
        <x:v>2009</x:v>
      </x:c>
      <x:c r="D104" s="25" t="str">
        <x:v>Jorge Martín‐Gutiérrez; José Luis Saorín; Manuel Contero; Mariano Alcañíz; David Pérez; Mario Ortega</x:v>
      </x:c>
      <x:c r="E104" s="25" t="str">
        <x:v>Computers &amp; Graphics</x:v>
      </x:c>
      <x:c r="F104" s="25" t="str">
        <x:v>10.1016/j.cag.2009.11.003</x:v>
      </x:c>
      <x:c r="G104" s="25" t="str">
        <x:v>https://doi.org/10.1016/j.cag.2009.11.003</x:v>
      </x:c>
      <x:c r="H104" s="25" t="str">
        <x:v>OpenAlex</x:v>
      </x:c>
      <x:c r="I104" s="25" t="str">
        <x:v>C1_3D_mental_models</x:v>
      </x:c>
      <x:c r="J104" s="25" t="str">
        <x:v>Exclude</x:v>
      </x:c>
      <x:c r="K104" s="25" t="str">
        <x:v>Exclude: topic mismatch</x:v>
      </x:c>
    </x:row>
    <x:row r="105">
      <x:c r="A105" s="20" t="str">
        <x:v>R0101</x:v>
      </x:c>
      <x:c r="B105" s="25" t="str">
        <x:v>Measuring the impact of innovative human capital on small firms’ propensity to innovate</x:v>
      </x:c>
      <x:c r="C105" s="25" t="n">
        <x:v>2014</x:v>
      </x:c>
      <x:c r="D105" s="25" t="str">
        <x:v>Helen McGuirk; Helena Lenihan; Mark Hart</x:v>
      </x:c>
      <x:c r="E105" s="25" t="str">
        <x:v>Research Policy</x:v>
      </x:c>
      <x:c r="F105" s="25" t="str">
        <x:v>10.1016/j.respol.2014.11.008</x:v>
      </x:c>
      <x:c r="G105" s="25" t="str">
        <x:v>https://doi.org/10.1016/j.respol.2014.11.008</x:v>
      </x:c>
      <x:c r="H105" s="25" t="str">
        <x:v>OpenAlex</x:v>
      </x:c>
      <x:c r="I105" s="25" t="str">
        <x:v>C3_mixed_initiative_cocreation</x:v>
      </x:c>
      <x:c r="J105" s="25" t="str">
        <x:v>Exclude</x:v>
      </x:c>
      <x:c r="K105" s="25" t="str">
        <x:v>Exclude: topic mismatch</x:v>
      </x:c>
    </x:row>
    <x:row r="106">
      <x:c r="A106" s="20" t="str">
        <x:v>R0102</x:v>
      </x:c>
      <x:c r="B106" s="25" t="str">
        <x:v>Promises and challenges of generative artificial intelligence for human learning</x:v>
      </x:c>
      <x:c r="C106" s="25" t="n">
        <x:v>2024</x:v>
      </x:c>
      <x:c r="D106" s="25" t="str">
        <x:v>Lixiang Yan; Samuel Greiff; Ziwen Teuber; Dragan Gašević</x:v>
      </x:c>
      <x:c r="E106" s="25" t="str">
        <x:v>Nature Human Behaviour</x:v>
      </x:c>
      <x:c r="F106" s="25" t="str">
        <x:v>10.1038/s41562-024-02004-5</x:v>
      </x:c>
      <x:c r="G106" s="25" t="str">
        <x:v>https://doi.org/10.1038/s41562-024-02004-5</x:v>
      </x:c>
      <x:c r="H106" s="25" t="str">
        <x:v>OpenAlex</x:v>
      </x:c>
      <x:c r="I106" s="25" t="str">
        <x:v>C7_creative_agency</x:v>
      </x:c>
      <x:c r="J106" s="25" t="str">
        <x:v>Exclude</x:v>
      </x:c>
      <x:c r="K106" s="25" t="str">
        <x:v>Exclude: topic mismatch</x:v>
      </x:c>
    </x:row>
    <x:row r="107">
      <x:c r="A107" s="20" t="str">
        <x:v>R0103</x:v>
      </x:c>
      <x:c r="B107" s="25" t="str">
        <x:v>Wordcraft: Story Writing With Large Language Models</x:v>
      </x:c>
      <x:c r="C107" s="25" t="n">
        <x:v>2022</x:v>
      </x:c>
      <x:c r="D107" s="25" t="str">
        <x:v>Ann Yuan; Andy Coenen; Emily Reif; Daphne Ippolito</x:v>
      </x:c>
      <x:c r="E107" s="25" t="str"/>
      <x:c r="F107" s="25" t="str">
        <x:v>10.1145/3490099.3511105</x:v>
      </x:c>
      <x:c r="G107" s="25" t="str">
        <x:v>https://doi.org/10.1145/3490099.3511105</x:v>
      </x:c>
      <x:c r="H107" s="25" t="str">
        <x:v>OpenAlex</x:v>
      </x:c>
      <x:c r="I107" s="25" t="str">
        <x:v>C14_agency_ownership</x:v>
      </x:c>
      <x:c r="J107" s="25" t="str">
        <x:v>Exclude</x:v>
      </x:c>
      <x:c r="K107" s="25" t="str">
        <x:v>Exclude: adjacent/redundant or insufficiently theory-generative for DC1</x:v>
      </x:c>
    </x:row>
    <x:row r="108">
      <x:c r="A108" s="20" t="str">
        <x:v>R0104</x:v>
      </x:c>
      <x:c r="B108" s="25" t="str">
        <x:v>Review of control strategies for lower-limb exoskeletons to assist gait</x:v>
      </x:c>
      <x:c r="C108" s="25" t="n">
        <x:v>2021</x:v>
      </x:c>
      <x:c r="D108" s="25" t="str">
        <x:v>Romain Baud; Ali Reza Manzoori; Auke Jan Ijspeert; Mohamed Bouri</x:v>
      </x:c>
      <x:c r="E108" s="25" t="str">
        <x:v>Journal of NeuroEngineering and Rehabilitation</x:v>
      </x:c>
      <x:c r="F108" s="25" t="str">
        <x:v>10.1186/s12984-021-00906-3</x:v>
      </x:c>
      <x:c r="G108" s="25" t="str">
        <x:v>https://doi.org/10.1186/s12984-021-00906-3</x:v>
      </x:c>
      <x:c r="H108" s="25" t="str">
        <x:v>OpenAlex</x:v>
      </x:c>
      <x:c r="I108" s="25" t="str">
        <x:v>C11_hierarchical_goal_recognition</x:v>
      </x:c>
      <x:c r="J108" s="25" t="str">
        <x:v>Exclude</x:v>
      </x:c>
      <x:c r="K108" s="25" t="str">
        <x:v>Exclude: adjacent/redundant or insufficiently theory-generative for DC1</x:v>
      </x:c>
    </x:row>
    <x:row r="109">
      <x:c r="A109" s="20" t="str">
        <x:v>R0105</x:v>
      </x:c>
      <x:c r="B109" s="25" t="str">
        <x:v>In search of artificial intelligence (AI) literacy in teacher education: A scoping review</x:v>
      </x:c>
      <x:c r="C109" s="25" t="n">
        <x:v>2024</x:v>
      </x:c>
      <x:c r="D109" s="25" t="str">
        <x:v>Katarina Sperling; Carl-Johan Stenberg; Cormac McGrath; Anna Åkerfeldt; Fredrik Heintz; Linnéa Stenliden</x:v>
      </x:c>
      <x:c r="E109" s="25" t="str">
        <x:v>Computers and Education Open</x:v>
      </x:c>
      <x:c r="F109" s="25" t="str">
        <x:v>10.1016/j.caeo.2024.100169</x:v>
      </x:c>
      <x:c r="G109" s="25" t="str">
        <x:v>https://doi.org/10.1016/j.caeo.2024.100169</x:v>
      </x:c>
      <x:c r="H109" s="25" t="str">
        <x:v>OpenAlex</x:v>
      </x:c>
      <x:c r="I109" s="25" t="str">
        <x:v>C3_mixed_initiative_cocreation</x:v>
      </x:c>
      <x:c r="J109" s="25" t="str">
        <x:v>Exclude</x:v>
      </x:c>
      <x:c r="K109" s="25" t="str">
        <x:v>Exclude: topic mismatch</x:v>
      </x:c>
    </x:row>
    <x:row r="110">
      <x:c r="A110" s="20" t="str">
        <x:v>R0106</x:v>
      </x:c>
      <x:c r="B110" s="25" t="str">
        <x:v>Large Language Models in Healthcare and Medical Domain: A Review</x:v>
      </x:c>
      <x:c r="C110" s="25" t="n">
        <x:v>2024</x:v>
      </x:c>
      <x:c r="D110" s="25" t="str">
        <x:v>Zabir Al Nazi; Wei Peng</x:v>
      </x:c>
      <x:c r="E110" s="25" t="str">
        <x:v>Informatics</x:v>
      </x:c>
      <x:c r="F110" s="25" t="str">
        <x:v>10.3390/informatics11030057</x:v>
      </x:c>
      <x:c r="G110" s="25" t="str">
        <x:v>https://doi.org/10.3390/informatics11030057</x:v>
      </x:c>
      <x:c r="H110" s="25" t="str">
        <x:v>OpenAlex</x:v>
      </x:c>
      <x:c r="I110" s="25" t="str">
        <x:v>C8_AI_3D_authoring</x:v>
      </x:c>
      <x:c r="J110" s="25" t="str">
        <x:v>Exclude</x:v>
      </x:c>
      <x:c r="K110" s="25" t="str">
        <x:v>Exclude: topic mismatch</x:v>
      </x:c>
    </x:row>
    <x:row r="111">
      <x:c r="A111" s="20" t="str">
        <x:v>R0107</x:v>
      </x:c>
      <x:c r="B111" s="25" t="str">
        <x:v>The neurobiology of emotionâ€“cognition interactions: fundamental questions and strategies for future research</x:v>
      </x:c>
      <x:c r="C111" s="25" t="n">
        <x:v>2015</x:v>
      </x:c>
      <x:c r="D111" s="25" t="str">
        <x:v>Hadas Okon‐Singer; Talma Hendler; Luiz Pessoa; Alexander J. Shackman</x:v>
      </x:c>
      <x:c r="E111" s="25" t="str">
        <x:v>Frontiers in Human Neuroscience</x:v>
      </x:c>
      <x:c r="F111" s="25" t="str">
        <x:v>10.3389/fnhum.2015.00058</x:v>
      </x:c>
      <x:c r="G111" s="25" t="str">
        <x:v>https://doi.org/10.3389/fnhum.2015.00058</x:v>
      </x:c>
      <x:c r="H111" s="25" t="str">
        <x:v>OpenAlex</x:v>
      </x:c>
      <x:c r="I111" s="25" t="str">
        <x:v>C10_affordance_embodied</x:v>
      </x:c>
      <x:c r="J111" s="25" t="str">
        <x:v>Exclude</x:v>
      </x:c>
      <x:c r="K111" s="25" t="str">
        <x:v>Exclude: adjacent/redundant or insufficiently theory-generative for DC1</x:v>
      </x:c>
    </x:row>
    <x:row r="112">
      <x:c r="A112" s="20" t="str">
        <x:v>R0108</x:v>
      </x:c>
      <x:c r="B112" s="25" t="str">
        <x:v>Artificial intelligence enabling circular business model innovation in digital servitization: Conceptualizing dynamic capabilities, AI capacities, business models and effects</x:v>
      </x:c>
      <x:c r="C112" s="25" t="n">
        <x:v>2023</x:v>
      </x:c>
      <x:c r="D112" s="25" t="str">
        <x:v>David Sjödin; Vinit Parida; Marko Kohtamäki</x:v>
      </x:c>
      <x:c r="E112" s="25" t="str">
        <x:v>Technological Forecasting and Social Change</x:v>
      </x:c>
      <x:c r="F112" s="25" t="str">
        <x:v>10.1016/j.techfore.2023.122903</x:v>
      </x:c>
      <x:c r="G112" s="25" t="str">
        <x:v>https://doi.org/10.1016/j.techfore.2023.122903</x:v>
      </x:c>
      <x:c r="H112" s="25" t="str">
        <x:v>OpenAlex</x:v>
      </x:c>
      <x:c r="I112" s="25" t="str">
        <x:v>C14_agency_ownership</x:v>
      </x:c>
      <x:c r="J112" s="25" t="str">
        <x:v>Exclude</x:v>
      </x:c>
      <x:c r="K112" s="25" t="str">
        <x:v>Exclude: adjacent/redundant or insufficiently theory-generative for DC1</x:v>
      </x:c>
    </x:row>
    <x:row r="113">
      <x:c r="A113" s="20" t="str">
        <x:v>R0109</x:v>
      </x:c>
      <x:c r="B113" s="25" t="str">
        <x:v>Cognitive and Usability Issues in Geovisualization</x:v>
      </x:c>
      <x:c r="C113" s="25" t="n">
        <x:v>2001</x:v>
      </x:c>
      <x:c r="D113" s="25" t="str">
        <x:v>Terry A. Slocum; C.A. Blok; Bin Jiang; Alexandra Koussoulakou; Daniel R. Montello; Sven Fuhrmann; Nick Hedley</x:v>
      </x:c>
      <x:c r="E113" s="25" t="str">
        <x:v>Cartography and Geographic Information Science</x:v>
      </x:c>
      <x:c r="F113" s="25" t="str">
        <x:v>10.1559/152304001782173998</x:v>
      </x:c>
      <x:c r="G113" s="25" t="str">
        <x:v>https://doi.org/10.1559/152304001782173998</x:v>
      </x:c>
      <x:c r="H113" s="25" t="str">
        <x:v>OpenAlex</x:v>
      </x:c>
      <x:c r="I113" s="25" t="str">
        <x:v>C1_3D_mental_models</x:v>
      </x:c>
      <x:c r="J113" s="25" t="str">
        <x:v>Exclude</x:v>
      </x:c>
      <x:c r="K113" s="25" t="str">
        <x:v>Exclude: adjacent/redundant or insufficiently theory-generative for DC1</x:v>
      </x:c>
    </x:row>
    <x:row r="114">
      <x:c r="A114" s="20" t="str">
        <x:v>R0110</x:v>
      </x:c>
      <x:c r="B114" s="25" t="str">
        <x:v>The Robots Are Here: Navigating the Generative AI Revolution in Computing Education</x:v>
      </x:c>
      <x:c r="C114" s="25" t="n">
        <x:v>2023</x:v>
      </x:c>
      <x:c r="D114" s="25" t="str">
        <x:v>James Prather; Paul Denny; Juho Leinonen; Brett A. Becker; Ibrahim Albluwi; Michelle Craig; Hieke Keuning; Natalie Kiesler; Tobias Kohn; Andrew Luxton-Reilly; Stephen MacNeil; Andrew Petersen; Raymond Pettit; Brent N. Reeves; Jaromír Šavelka</x:v>
      </x:c>
      <x:c r="E114" s="25" t="str"/>
      <x:c r="F114" s="25" t="str">
        <x:v>10.1145/3623762.3633499</x:v>
      </x:c>
      <x:c r="G114" s="25" t="str">
        <x:v>https://doi.org/10.1145/3623762.3633499</x:v>
      </x:c>
      <x:c r="H114" s="25" t="str">
        <x:v>OpenAlex</x:v>
      </x:c>
      <x:c r="I114" s="25" t="str">
        <x:v>C7_creative_agency</x:v>
      </x:c>
      <x:c r="J114" s="25" t="str">
        <x:v>Exclude</x:v>
      </x:c>
      <x:c r="K114" s="25" t="str">
        <x:v>Exclude: topic mismatch</x:v>
      </x:c>
    </x:row>
    <x:row r="115">
      <x:c r="A115" s="20" t="str">
        <x:v>R0111</x:v>
      </x:c>
      <x:c r="B115" s="25" t="str">
        <x:v>A Review of User Interface Design for Interactive Machine Learning</x:v>
      </x:c>
      <x:c r="C115" s="25" t="n">
        <x:v>2018</x:v>
      </x:c>
      <x:c r="D115" s="25" t="str">
        <x:v>John J. Dudley; Per Ola Kristensson</x:v>
      </x:c>
      <x:c r="E115" s="25" t="str">
        <x:v>ACM Transactions on Interactive Intelligent Systems</x:v>
      </x:c>
      <x:c r="F115" s="25" t="str">
        <x:v>10.1145/3185517</x:v>
      </x:c>
      <x:c r="G115" s="25" t="str">
        <x:v>https://doi.org/10.1145/3185517</x:v>
      </x:c>
      <x:c r="H115" s="25" t="str">
        <x:v>OpenAlex</x:v>
      </x:c>
      <x:c r="I115" s="25" t="str">
        <x:v>C2_interaction_signals</x:v>
      </x:c>
      <x:c r="J115" s="25" t="str">
        <x:v>Exclude</x:v>
      </x:c>
      <x:c r="K115" s="25" t="str">
        <x:v>Exclude: topic mismatch</x:v>
      </x:c>
    </x:row>
    <x:row r="116">
      <x:c r="A116" s="20" t="str">
        <x:v>R0112</x:v>
      </x:c>
      <x:c r="B116" s="25" t="str">
        <x:v>A Survey on ChatGPT: AI–Generated Contents, Challenges, and Solutions</x:v>
      </x:c>
      <x:c r="C116" s="25" t="n">
        <x:v>2023</x:v>
      </x:c>
      <x:c r="D116" s="25" t="str">
        <x:v>Yuntao Wang; Yanghe Pan; Miao Yan; Zhou Su; Tom H. Luan</x:v>
      </x:c>
      <x:c r="E116" s="25" t="str">
        <x:v>IEEE Open Journal of the Computer Society</x:v>
      </x:c>
      <x:c r="F116" s="25" t="str">
        <x:v>10.1109/ojcs.2023.3300321</x:v>
      </x:c>
      <x:c r="G116" s="25" t="str">
        <x:v>https://doi.org/10.1109/ojcs.2023.3300321</x:v>
      </x:c>
      <x:c r="H116" s="25" t="str">
        <x:v>OpenAlex</x:v>
      </x:c>
      <x:c r="I116" s="25" t="str">
        <x:v>C14_agency_ownership; C7_creative_agency</x:v>
      </x:c>
      <x:c r="J116" s="25" t="str">
        <x:v>Exclude</x:v>
      </x:c>
      <x:c r="K116" s="25" t="str">
        <x:v>Exclude: adjacent/redundant or insufficiently theory-generative for DC1</x:v>
      </x:c>
    </x:row>
    <x:row r="117">
      <x:c r="A117" s="20" t="str">
        <x:v>R0113</x:v>
      </x:c>
      <x:c r="B117" s="25" t="str">
        <x:v>Worker and workplace Artificial Intelligence (AI) coexistence: Emerging themes and research agenda</x:v>
      </x:c>
      <x:c r="C117" s="25" t="n">
        <x:v>2023</x:v>
      </x:c>
      <x:c r="D117" s="25" t="str">
        <x:v>Araz Zirar; Syed Imran Ali; Nazrul Islam</x:v>
      </x:c>
      <x:c r="E117" s="25" t="str">
        <x:v>Technovation</x:v>
      </x:c>
      <x:c r="F117" s="25" t="str">
        <x:v>10.1016/j.technovation.2023.102747</x:v>
      </x:c>
      <x:c r="G117" s="25" t="str">
        <x:v>https://doi.org/10.1016/j.technovation.2023.102747</x:v>
      </x:c>
      <x:c r="H117" s="25" t="str">
        <x:v>OpenAlex</x:v>
      </x:c>
      <x:c r="I117" s="25" t="str">
        <x:v>C3_mixed_initiative_cocreation</x:v>
      </x:c>
      <x:c r="J117" s="25" t="str">
        <x:v>Exclude</x:v>
      </x:c>
      <x:c r="K117" s="25" t="str">
        <x:v>Exclude: topic mismatch</x:v>
      </x:c>
    </x:row>
    <x:row r="118">
      <x:c r="A118" s="20" t="str">
        <x:v>R0114</x:v>
      </x:c>
      <x:c r="B118" s="25" t="str">
        <x:v>Speculative futures on ChatGPT and generative artificial intelligence (AI): A collective reflection from the educational landscape</x:v>
      </x:c>
      <x:c r="C118" s="25" t="n">
        <x:v>2023</x:v>
      </x:c>
      <x:c r="D118" s="25" t="str">
        <x:v>Aras Bozkurt; J. Xiao; Steven Imanuel Lambert; A. Pazurek; H. Crompton; S. Koseoglu; Robert Farrow; Melissa Bond; Chrissi Nerantzi; Selina Honeychurch; Maha Bali; Jon Dron; Kamran Mir; Bonnie Stewart; Eamon Costello; Jon Mason; Christian M. Stracke; E. Romero-Hall; A. Koutropoulos; C. M. Toquero; L. Singh; A. Tlili; Kyungmee Lee; Mark Nichols; E. Ossiannilsson; M. Brown; V. Irvine; Juliana Elisa Raffaghelli; G. Santos-Hermosa; Orna Farrell; T. Adam; Y. L. Thong; S. Sani-Bozkurt; R. C. Sharma; Stefan Hrastinski; Petar Jandrić</x:v>
      </x:c>
      <x:c r="E118" s="25" t="str">
        <x:v>Dublin City University Open Access Institutional Repository (Dublin City University)</x:v>
      </x:c>
      <x:c r="F118" s="25" t="str">
        <x:v>10.5281/zenodo.7636568</x:v>
      </x:c>
      <x:c r="G118" s="25" t="str">
        <x:v>https://openalex.org/W4327672398</x:v>
      </x:c>
      <x:c r="H118" s="25" t="str">
        <x:v>OpenAlex</x:v>
      </x:c>
      <x:c r="I118" s="25" t="str">
        <x:v>C14_agency_ownership; C3_mixed_initiative_cocreation</x:v>
      </x:c>
      <x:c r="J118" s="25" t="str">
        <x:v>Exclude</x:v>
      </x:c>
      <x:c r="K118" s="25" t="str">
        <x:v>Exclude: topic mismatch</x:v>
      </x:c>
    </x:row>
    <x:row r="119">
      <x:c r="A119" s="20" t="str">
        <x:v>R0115</x:v>
      </x:c>
      <x:c r="B119" s="25" t="str">
        <x:v>The uselessness of AI ethics</x:v>
      </x:c>
      <x:c r="C119" s="25" t="n">
        <x:v>2022</x:v>
      </x:c>
      <x:c r="D119" s="25" t="str">
        <x:v>Luke Munn</x:v>
      </x:c>
      <x:c r="E119" s="25" t="str">
        <x:v>AI and Ethics</x:v>
      </x:c>
      <x:c r="F119" s="25" t="str">
        <x:v>10.1007/s43681-022-00209-w</x:v>
      </x:c>
      <x:c r="G119" s="25" t="str">
        <x:v>https://doi.org/10.1007/s43681-022-00209-w</x:v>
      </x:c>
      <x:c r="H119" s="25" t="str">
        <x:v>OpenAlex</x:v>
      </x:c>
      <x:c r="I119" s="25" t="str">
        <x:v>C7_creative_agency</x:v>
      </x:c>
      <x:c r="J119" s="25" t="str">
        <x:v>Exclude</x:v>
      </x:c>
      <x:c r="K119" s="25" t="str">
        <x:v>Exclude: topic mismatch</x:v>
      </x:c>
    </x:row>
    <x:row r="120">
      <x:c r="A120" s="20" t="str">
        <x:v>R0116</x:v>
      </x:c>
      <x:c r="B120" s="25" t="str">
        <x:v>The poverty of embodied cognition</x:v>
      </x:c>
      <x:c r="C120" s="25" t="n">
        <x:v>2016</x:v>
      </x:c>
      <x:c r="D120" s="25" t="str">
        <x:v>Stephen D. Goldinger; Megan H. Papesh; Anthony S. Barnhart; Whitney A. Hansen; Michael C. Hout</x:v>
      </x:c>
      <x:c r="E120" s="25" t="str">
        <x:v>Psychonomic Bulletin &amp; Review</x:v>
      </x:c>
      <x:c r="F120" s="25" t="str">
        <x:v>10.3758/s13423-015-0860-1</x:v>
      </x:c>
      <x:c r="G120" s="25" t="str">
        <x:v>https://doi.org/10.3758/s13423-015-0860-1</x:v>
      </x:c>
      <x:c r="H120" s="25" t="str">
        <x:v>OpenAlex</x:v>
      </x:c>
      <x:c r="I120" s="25" t="str">
        <x:v>C10_affordance_embodied</x:v>
      </x:c>
      <x:c r="J120" s="25" t="str">
        <x:v>Exclude</x:v>
      </x:c>
      <x:c r="K120" s="25" t="str">
        <x:v>Exclude: topic mismatch</x:v>
      </x:c>
    </x:row>
    <x:row r="121">
      <x:c r="A121" s="20" t="str">
        <x:v>R0117</x:v>
      </x:c>
      <x:c r="B121" s="25" t="str">
        <x:v>Rethinking the entwinement between artificial intelligence and human learning: What capabilities do learners need for a world with AI?</x:v>
      </x:c>
      <x:c r="C121" s="25" t="n">
        <x:v>2022</x:v>
      </x:c>
      <x:c r="D121" s="25" t="str">
        <x:v>Lina Markauskaitė; Rebecca Marrone; Oleksandra Poquet; Simon Knight; Roberto Martínez‐Maldonado; Sarah Howard; Jo Tondeur; Maarten de Laat; Simon Buckingham Shum; Dragan Gašević; George Siemens</x:v>
      </x:c>
      <x:c r="E121" s="25" t="str">
        <x:v>Computers and Education Artificial Intelligence</x:v>
      </x:c>
      <x:c r="F121" s="25" t="str">
        <x:v>10.1016/j.caeai.2022.100056</x:v>
      </x:c>
      <x:c r="G121" s="25" t="str">
        <x:v>https://doi.org/10.1016/j.caeai.2022.100056</x:v>
      </x:c>
      <x:c r="H121" s="25" t="str">
        <x:v>OpenAlex</x:v>
      </x:c>
      <x:c r="I121" s="25" t="str">
        <x:v>C14_agency_ownership; C7_creative_agency</x:v>
      </x:c>
      <x:c r="J121" s="25" t="str">
        <x:v>Exclude</x:v>
      </x:c>
      <x:c r="K121" s="25" t="str">
        <x:v>Exclude: topic mismatch</x:v>
      </x:c>
    </x:row>
    <x:row r="122">
      <x:c r="A122" s="20" t="str">
        <x:v>R0118</x:v>
      </x:c>
      <x:c r="B122" s="25" t="str">
        <x:v>Guided GUI testing of android apps with minimal restart and approximate learning</x:v>
      </x:c>
      <x:c r="C122" s="25" t="n">
        <x:v>2013</x:v>
      </x:c>
      <x:c r="D122" s="25" t="str">
        <x:v>Wontae Choi; George C. Necula; Koushik Sen</x:v>
      </x:c>
      <x:c r="E122" s="25" t="str"/>
      <x:c r="F122" s="25" t="str">
        <x:v>10.1145/2509136.2509552</x:v>
      </x:c>
      <x:c r="G122" s="25" t="str">
        <x:v>https://doi.org/10.1145/2509136.2509552</x:v>
      </x:c>
      <x:c r="H122" s="25" t="str">
        <x:v>OpenAlex</x:v>
      </x:c>
      <x:c r="I122" s="25" t="str">
        <x:v>C11_hierarchical_goal_recognition</x:v>
      </x:c>
      <x:c r="J122" s="25" t="str">
        <x:v>Exclude</x:v>
      </x:c>
      <x:c r="K122" s="25" t="str">
        <x:v>Exclude: topic mismatch</x:v>
      </x:c>
    </x:row>
    <x:row r="123">
      <x:c r="A123" s="20" t="str">
        <x:v>R0119</x:v>
      </x:c>
      <x:c r="B123" s="25" t="str">
        <x:v>The Evolution of Altruism in Humans</x:v>
      </x:c>
      <x:c r="C123" s="25" t="n">
        <x:v>2014</x:v>
      </x:c>
      <x:c r="D123" s="25" t="str">
        <x:v>Robert Kurzban; Maxwell N. Burton-Chellew; Stuart A. West</x:v>
      </x:c>
      <x:c r="E123" s="25" t="str">
        <x:v>Annual Review of Psychology</x:v>
      </x:c>
      <x:c r="F123" s="25" t="str">
        <x:v>10.1146/annurev-psych-010814-015355</x:v>
      </x:c>
      <x:c r="G123" s="25" t="str">
        <x:v>https://doi.org/10.1146/annurev-psych-010814-015355</x:v>
      </x:c>
      <x:c r="H123" s="25" t="str">
        <x:v>OpenAlex</x:v>
      </x:c>
      <x:c r="I123" s="25" t="str">
        <x:v>C4_uncertainty_shared_autonomy</x:v>
      </x:c>
      <x:c r="J123" s="25" t="str">
        <x:v>Exclude</x:v>
      </x:c>
      <x:c r="K123" s="25" t="str">
        <x:v>Exclude: adjacent/redundant or insufficiently theory-generative for DC1</x:v>
      </x:c>
    </x:row>
    <x:row r="124">
      <x:c r="A124" s="20" t="str">
        <x:v>R0120</x:v>
      </x:c>
      <x:c r="B124" s="25" t="str">
        <x:v>Revisiting active perception</x:v>
      </x:c>
      <x:c r="C124" s="25" t="n">
        <x:v>2017</x:v>
      </x:c>
      <x:c r="D124" s="25" t="str">
        <x:v>Růžena Bajcsy; Yiannis Aloimonos; John K. Tsotsos</x:v>
      </x:c>
      <x:c r="E124" s="25" t="str">
        <x:v>Autonomous Robots</x:v>
      </x:c>
      <x:c r="F124" s="25" t="str">
        <x:v>10.1007/s10514-017-9615-3</x:v>
      </x:c>
      <x:c r="G124" s="25" t="str">
        <x:v>https://doi.org/10.1007/s10514-017-9615-3</x:v>
      </x:c>
      <x:c r="H124" s="25" t="str">
        <x:v>OpenAlex</x:v>
      </x:c>
      <x:c r="I124" s="25" t="str">
        <x:v>C13_CAD_design_intent</x:v>
      </x:c>
      <x:c r="J124" s="25" t="str">
        <x:v>Exclude</x:v>
      </x:c>
      <x:c r="K124" s="25" t="str">
        <x:v>Exclude: topic mismatch</x:v>
      </x:c>
    </x:row>
    <x:row r="125">
      <x:c r="A125" s="20" t="str">
        <x:v>R0121</x:v>
      </x:c>
      <x:c r="B125" s="25" t="str">
        <x:v>Noncommand user interfaces</x:v>
      </x:c>
      <x:c r="C125" s="25" t="n">
        <x:v>1993</x:v>
      </x:c>
      <x:c r="D125" s="25" t="str">
        <x:v>Jakob Nielsen</x:v>
      </x:c>
      <x:c r="E125" s="25" t="str">
        <x:v>Communications of the ACM</x:v>
      </x:c>
      <x:c r="F125" s="25" t="str">
        <x:v>10.1145/255950.153582</x:v>
      </x:c>
      <x:c r="G125" s="25" t="str">
        <x:v>https://doi.org/10.1145/255950.153582</x:v>
      </x:c>
      <x:c r="H125" s="25" t="str">
        <x:v>OpenAlex</x:v>
      </x:c>
      <x:c r="I125" s="25" t="str">
        <x:v>C6_frontend_GUI_intent</x:v>
      </x:c>
      <x:c r="J125" s="25" t="str">
        <x:v>Exclude</x:v>
      </x:c>
      <x:c r="K125" s="25" t="str">
        <x:v>Exclude: topic mismatch</x:v>
      </x:c>
    </x:row>
    <x:row r="126">
      <x:c r="A126" s="20" t="str">
        <x:v>R0122</x:v>
      </x:c>
      <x:c r="B126" s="25" t="str">
        <x:v>Spatial and Linguistic Aspects of Visual Imagery in Sentence Comprehension</x:v>
      </x:c>
      <x:c r="C126" s="25" t="n">
        <x:v>2007</x:v>
      </x:c>
      <x:c r="D126" s="25" t="str">
        <x:v>Benjamin K. Bergen; Shane Lindsay; Teenie Matlock; Srini Narayanan</x:v>
      </x:c>
      <x:c r="E126" s="25" t="str">
        <x:v>Cognitive Science</x:v>
      </x:c>
      <x:c r="F126" s="25" t="str">
        <x:v>10.1080/03640210701530748</x:v>
      </x:c>
      <x:c r="G126" s="25" t="str">
        <x:v>https://doi.org/10.1080/03640210701530748</x:v>
      </x:c>
      <x:c r="H126" s="25" t="str">
        <x:v>OpenAlex</x:v>
      </x:c>
      <x:c r="I126" s="25" t="str">
        <x:v>C10_affordance_embodied</x:v>
      </x:c>
      <x:c r="J126" s="25" t="str">
        <x:v>Exclude</x:v>
      </x:c>
      <x:c r="K126" s="25" t="str">
        <x:v>Exclude: topic mismatch</x:v>
      </x:c>
    </x:row>
    <x:row r="127">
      <x:c r="A127" s="20" t="str">
        <x:v>R0123</x:v>
      </x:c>
      <x:c r="B127" s="25" t="str">
        <x:v>Generative AI in Medical Practice: In-Depth Exploration of Privacy and Security Challenges</x:v>
      </x:c>
      <x:c r="C127" s="25" t="n">
        <x:v>2024</x:v>
      </x:c>
      <x:c r="D127" s="25" t="str">
        <x:v>Yan Chen; Pouyan Esmaeilzadeh</x:v>
      </x:c>
      <x:c r="E127" s="25" t="str">
        <x:v>Journal of Medical Internet Research</x:v>
      </x:c>
      <x:c r="F127" s="25" t="str">
        <x:v>10.2196/53008</x:v>
      </x:c>
      <x:c r="G127" s="25" t="str">
        <x:v>https://doi.org/10.2196/53008</x:v>
      </x:c>
      <x:c r="H127" s="25" t="str">
        <x:v>OpenAlex</x:v>
      </x:c>
      <x:c r="I127" s="25" t="str">
        <x:v>C3_mixed_initiative_cocreation</x:v>
      </x:c>
      <x:c r="J127" s="25" t="str">
        <x:v>Exclude</x:v>
      </x:c>
      <x:c r="K127" s="25" t="str">
        <x:v>Exclude: topic mismatch</x:v>
      </x:c>
    </x:row>
    <x:row r="128">
      <x:c r="A128" s="20" t="str">
        <x:v>R0124</x:v>
      </x:c>
      <x:c r="B128" s="25" t="str">
        <x:v>Conceptualizing human resource management in the gig economy</x:v>
      </x:c>
      <x:c r="C128" s="25" t="n">
        <x:v>2019</x:v>
      </x:c>
      <x:c r="D128" s="25" t="str">
        <x:v>Jeroen Meijerink; Anne Keegan</x:v>
      </x:c>
      <x:c r="E128" s="25" t="str">
        <x:v>Journal of Managerial Psychology</x:v>
      </x:c>
      <x:c r="F128" s="25" t="str">
        <x:v>10.1108/jmp-07-2018-0277</x:v>
      </x:c>
      <x:c r="G128" s="25" t="str">
        <x:v>https://doi.org/10.1108/jmp-07-2018-0277</x:v>
      </x:c>
      <x:c r="H128" s="25" t="str">
        <x:v>OpenAlex</x:v>
      </x:c>
      <x:c r="I128" s="25" t="str">
        <x:v>C14_agency_ownership</x:v>
      </x:c>
      <x:c r="J128" s="25" t="str">
        <x:v>Exclude</x:v>
      </x:c>
      <x:c r="K128" s="25" t="str">
        <x:v>Exclude: adjacent/redundant or insufficiently theory-generative for DC1</x:v>
      </x:c>
    </x:row>
    <x:row r="129">
      <x:c r="A129" s="20" t="str">
        <x:v>R0125</x:v>
      </x:c>
      <x:c r="B129" s="25" t="str">
        <x:v>Embodied and disembodied cognition: Spatial perspective-taking</x:v>
      </x:c>
      <x:c r="C129" s="25" t="n">
        <x:v>2009</x:v>
      </x:c>
      <x:c r="D129" s="25" t="str">
        <x:v>Barbara Tversky; Bridgette Martin Hard</x:v>
      </x:c>
      <x:c r="E129" s="25" t="str">
        <x:v>Cognition</x:v>
      </x:c>
      <x:c r="F129" s="25" t="str">
        <x:v>10.1016/j.cognition.2008.10.008</x:v>
      </x:c>
      <x:c r="G129" s="25" t="str">
        <x:v>https://doi.org/10.1016/j.cognition.2008.10.008</x:v>
      </x:c>
      <x:c r="H129" s="25" t="str">
        <x:v>Crossref</x:v>
      </x:c>
      <x:c r="I129" s="25" t="str">
        <x:v>C10_affordance_embodied</x:v>
      </x:c>
      <x:c r="J129" s="25" t="str">
        <x:v>Exclude</x:v>
      </x:c>
      <x:c r="K129" s="25" t="str">
        <x:v>Exclude: topic mismatch</x:v>
      </x:c>
    </x:row>
    <x:row r="130">
      <x:c r="A130" s="20" t="str">
        <x:v>R0126</x:v>
      </x:c>
      <x:c r="B130" s="25" t="str">
        <x:v>The Spatial Presence Experience Scale (SPES)</x:v>
      </x:c>
      <x:c r="C130" s="25" t="n">
        <x:v>2015</x:v>
      </x:c>
      <x:c r="D130" s="25" t="str">
        <x:v>Tilo Hartmann; Werner Wirth; Holger Schramm; Christoph Klimmt; Peter Vorderer; André Gysbers; Saskia Böcking; Niklas Ravaja; Jari Laarni; Timo Saari; Feliz Ribeiro Gouveia; Ana Sacau</x:v>
      </x:c>
      <x:c r="E130" s="25" t="str">
        <x:v>Journal of Media Psychology Theories Methods and Applications</x:v>
      </x:c>
      <x:c r="F130" s="25" t="str">
        <x:v>10.1027/1864-1105/a000137</x:v>
      </x:c>
      <x:c r="G130" s="25" t="str">
        <x:v>https://doi.org/10.1027/1864-1105/a000137</x:v>
      </x:c>
      <x:c r="H130" s="25" t="str">
        <x:v>OpenAlex</x:v>
      </x:c>
      <x:c r="I130" s="25" t="str">
        <x:v>C1_3D_mental_models</x:v>
      </x:c>
      <x:c r="J130" s="25" t="str">
        <x:v>Exclude</x:v>
      </x:c>
      <x:c r="K130" s="25" t="str">
        <x:v>Exclude: topic mismatch</x:v>
      </x:c>
    </x:row>
    <x:row r="131">
      <x:c r="A131" s="20" t="str">
        <x:v>R0127</x:v>
      </x:c>
      <x:c r="B131" s="25" t="str">
        <x:v>When large language models meet personalization: perspectives of challenges and opportunities</x:v>
      </x:c>
      <x:c r="C131" s="25" t="n">
        <x:v>2024</x:v>
      </x:c>
      <x:c r="D131" s="25" t="str">
        <x:v>Jing Chen; Zheng Liu; Xu Huang; Chenwang Wu; Qi Liu; Gangwei Jiang; Yuanhao Pu; Yuxuan Lei; Xiaolong Chen; Xingmei Wang; Kai Zheng; Defu Lian; Enhong Chen</x:v>
      </x:c>
      <x:c r="E131" s="25" t="str">
        <x:v>World Wide Web</x:v>
      </x:c>
      <x:c r="F131" s="25" t="str">
        <x:v>10.1007/s11280-024-01276-1</x:v>
      </x:c>
      <x:c r="G131" s="25" t="str">
        <x:v>https://doi.org/10.1007/s11280-024-01276-1</x:v>
      </x:c>
      <x:c r="H131" s="25" t="str">
        <x:v>OpenAlex</x:v>
      </x:c>
      <x:c r="I131" s="25" t="str">
        <x:v>C11_hierarchical_goal_recognition; C6_frontend_GUI_intent</x:v>
      </x:c>
      <x:c r="J131" s="25" t="str">
        <x:v>Exclude</x:v>
      </x:c>
      <x:c r="K131" s="25" t="str">
        <x:v>Exclude: topic mismatch</x:v>
      </x:c>
    </x:row>
    <x:row r="132">
      <x:c r="A132" s="20" t="str">
        <x:v>R0128</x:v>
      </x:c>
      <x:c r="B132" s="25" t="str">
        <x:v>A Review of Trustworthy and Explainable Artificial Intelligence (XAI)</x:v>
      </x:c>
      <x:c r="C132" s="25" t="n">
        <x:v>2023</x:v>
      </x:c>
      <x:c r="D132" s="25" t="str">
        <x:v>Vinay Chamola; Vikas Hassija; A. Razia Sulthana; Debshishu Ghosh; Divyansh Dhingra; Biplab Sikdar</x:v>
      </x:c>
      <x:c r="E132" s="25" t="str">
        <x:v>IEEE Access</x:v>
      </x:c>
      <x:c r="F132" s="25" t="str">
        <x:v>10.1109/access.2023.3294569</x:v>
      </x:c>
      <x:c r="G132" s="25" t="str">
        <x:v>https://doi.org/10.1109/access.2023.3294569</x:v>
      </x:c>
      <x:c r="H132" s="25" t="str">
        <x:v>OpenAlex</x:v>
      </x:c>
      <x:c r="I132" s="25" t="str">
        <x:v>C7_creative_agency</x:v>
      </x:c>
      <x:c r="J132" s="25" t="str">
        <x:v>Exclude</x:v>
      </x:c>
      <x:c r="K132" s="25" t="str">
        <x:v>Exclude: adjacent/redundant or insufficiently theory-generative for DC1</x:v>
      </x:c>
    </x:row>
    <x:row r="133">
      <x:c r="A133" s="20" t="str">
        <x:v>R0129</x:v>
      </x:c>
      <x:c r="B133" s="25" t="str">
        <x:v>Artificial intelligence in innovation management: A review of innovation capabilities and a taxonomy of &lt;scp&gt;AI&lt;/scp&gt; applications</x:v>
      </x:c>
      <x:c r="C133" s="25" t="n">
        <x:v>2023</x:v>
      </x:c>
      <x:c r="D133" s="25" t="str">
        <x:v>Fábio Gama; Stefano Magistretti</x:v>
      </x:c>
      <x:c r="E133" s="25" t="str">
        <x:v>Journal of Product Innovation Management</x:v>
      </x:c>
      <x:c r="F133" s="25" t="str">
        <x:v>10.1111/jpim.12698</x:v>
      </x:c>
      <x:c r="G133" s="25" t="str">
        <x:v>https://doi.org/10.1111/jpim.12698</x:v>
      </x:c>
      <x:c r="H133" s="25" t="str">
        <x:v>OpenAlex</x:v>
      </x:c>
      <x:c r="I133" s="25" t="str">
        <x:v>C3_mixed_initiative_cocreation</x:v>
      </x:c>
      <x:c r="J133" s="25" t="str">
        <x:v>Exclude</x:v>
      </x:c>
      <x:c r="K133" s="25" t="str">
        <x:v>Exclude: topic mismatch</x:v>
      </x:c>
    </x:row>
    <x:row r="134">
      <x:c r="A134" s="20" t="str">
        <x:v>R0130</x:v>
      </x:c>
      <x:c r="B134" s="25" t="str">
        <x:v>Let Me Imagine That for You: Transforming the Retail Frontline Through Augmenting Customer Mental Imagery Ability</x:v>
      </x:c>
      <x:c r="C134" s="25" t="n">
        <x:v>2019</x:v>
      </x:c>
      <x:c r="D134" s="25" t="str">
        <x:v>Jonas Heller; Mathew Chylinski; Ko de Ruyter; Dominik Mahr; Debbie Keeling</x:v>
      </x:c>
      <x:c r="E134" s="25" t="str">
        <x:v>Journal of Retailing</x:v>
      </x:c>
      <x:c r="F134" s="25" t="str">
        <x:v>10.1016/j.jretai.2019.03.005</x:v>
      </x:c>
      <x:c r="G134" s="25" t="str">
        <x:v>https://doi.org/10.1016/j.jretai.2019.03.005</x:v>
      </x:c>
      <x:c r="H134" s="25" t="str">
        <x:v>OpenAlex</x:v>
      </x:c>
      <x:c r="I134" s="25" t="str">
        <x:v>C1_3D_mental_models</x:v>
      </x:c>
      <x:c r="J134" s="25" t="str">
        <x:v>Exclude</x:v>
      </x:c>
      <x:c r="K134" s="25" t="str">
        <x:v>Exclude: topic mismatch</x:v>
      </x:c>
    </x:row>
    <x:row r="135">
      <x:c r="A135" s="20" t="str">
        <x:v>R0131</x:v>
      </x:c>
      <x:c r="B135" s="25" t="str">
        <x:v>Extended Reality in Spatial Sciences: A Review of Research Challenges and Future Directions</x:v>
      </x:c>
      <x:c r="C135" s="25" t="n">
        <x:v>2020</x:v>
      </x:c>
      <x:c r="D135" s="25" t="str">
        <x:v>Arzu Çöltekin; Ian Lochhead; Marguerite Madden; Sidonie Christophe; Alexandre Devaux; Christopher Pettit; Oliver Lock; Shashwat Shukla; Lukáš Heřman; Zdeněk Stachoň; Petr Kubíček; Dajana Snopková; Sérgio Bernardes; Nick Hedley</x:v>
      </x:c>
      <x:c r="E135" s="25" t="str">
        <x:v>ISPRS International Journal of Geo-Information</x:v>
      </x:c>
      <x:c r="F135" s="25" t="str">
        <x:v>10.3390/ijgi9070439</x:v>
      </x:c>
      <x:c r="G135" s="25" t="str">
        <x:v>https://doi.org/10.3390/ijgi9070439</x:v>
      </x:c>
      <x:c r="H135" s="25" t="str">
        <x:v>OpenAlex</x:v>
      </x:c>
      <x:c r="I135" s="25" t="str">
        <x:v>C1_3D_mental_models</x:v>
      </x:c>
      <x:c r="J135" s="25" t="str">
        <x:v>Exclude</x:v>
      </x:c>
      <x:c r="K135" s="25" t="str">
        <x:v>Exclude: adjacent/redundant or insufficiently theory-generative for DC1</x:v>
      </x:c>
    </x:row>
    <x:row r="136">
      <x:c r="A136" s="20" t="str">
        <x:v>R0132</x:v>
      </x:c>
      <x:c r="B136" s="25" t="str">
        <x:v>Use of Intelligent Voice Assistants by Older Adults with Low Technology Use</x:v>
      </x:c>
      <x:c r="C136" s="25" t="n">
        <x:v>2020</x:v>
      </x:c>
      <x:c r="D136" s="25" t="str">
        <x:v>Alisha Pradhan; Amanda Lazar; Leah Findlater</x:v>
      </x:c>
      <x:c r="E136" s="25" t="str">
        <x:v>ACM Transactions on Computer-Human Interaction</x:v>
      </x:c>
      <x:c r="F136" s="25" t="str">
        <x:v>10.1145/3373759</x:v>
      </x:c>
      <x:c r="G136" s="25" t="str">
        <x:v>https://doi.org/10.1145/3373759</x:v>
      </x:c>
      <x:c r="H136" s="25" t="str">
        <x:v>OpenAlex</x:v>
      </x:c>
      <x:c r="I136" s="25" t="str">
        <x:v>C6_frontend_GUI_intent</x:v>
      </x:c>
      <x:c r="J136" s="25" t="str">
        <x:v>Exclude</x:v>
      </x:c>
      <x:c r="K136" s="25" t="str">
        <x:v>Exclude: adjacent/redundant or insufficiently theory-generative for DC1</x:v>
      </x:c>
    </x:row>
    <x:row r="137">
      <x:c r="A137" s="20" t="str">
        <x:v>R0133</x:v>
      </x:c>
      <x:c r="B137" s="25" t="str">
        <x:v>Evolution and future of manufacturing systems</x:v>
      </x:c>
      <x:c r="C137" s="25" t="n">
        <x:v>2021</x:v>
      </x:c>
      <x:c r="D137" s="25" t="str">
        <x:v>Hoda ElMaraghy; László Monostori; Guenther Schuh; Waguih ElMaraghy</x:v>
      </x:c>
      <x:c r="E137" s="25" t="str">
        <x:v>CIRP Annals</x:v>
      </x:c>
      <x:c r="F137" s="25" t="str">
        <x:v>10.1016/j.cirp.2021.05.008</x:v>
      </x:c>
      <x:c r="G137" s="25" t="str">
        <x:v>https://doi.org/10.1016/j.cirp.2021.05.008</x:v>
      </x:c>
      <x:c r="H137" s="25" t="str">
        <x:v>OpenAlex</x:v>
      </x:c>
      <x:c r="I137" s="25" t="str">
        <x:v>C15_proactive_interruption</x:v>
      </x:c>
      <x:c r="J137" s="25" t="str">
        <x:v>Exclude</x:v>
      </x:c>
      <x:c r="K137" s="25" t="str">
        <x:v>Exclude: topic mismatch</x:v>
      </x:c>
    </x:row>
    <x:row r="138">
      <x:c r="A138" s="20" t="str">
        <x:v>R0134</x:v>
      </x:c>
      <x:c r="B138" s="25" t="str">
        <x:v>The Role of Trust in Human-Robot Interaction</x:v>
      </x:c>
      <x:c r="C138" s="25" t="n">
        <x:v>2018</x:v>
      </x:c>
      <x:c r="D138" s="25" t="str">
        <x:v>Michael Lewis; Katia Sycara; Phillip Walker</x:v>
      </x:c>
      <x:c r="E138" s="25" t="str">
        <x:v>Studies in systems, decision and control</x:v>
      </x:c>
      <x:c r="F138" s="25" t="str">
        <x:v>10.1007/978-3-319-64816-3_8</x:v>
      </x:c>
      <x:c r="G138" s="25" t="str">
        <x:v>https://doi.org/10.1007/978-3-319-64816-3_8</x:v>
      </x:c>
      <x:c r="H138" s="25" t="str">
        <x:v>OpenAlex</x:v>
      </x:c>
      <x:c r="I138" s="25" t="str">
        <x:v>C2_interaction_signals; C4_uncertainty_shared_autonomy</x:v>
      </x:c>
      <x:c r="J138" s="25" t="str">
        <x:v>Exclude</x:v>
      </x:c>
      <x:c r="K138" s="25" t="str">
        <x:v>Exclude: topic mismatch</x:v>
      </x:c>
    </x:row>
    <x:row r="139">
      <x:c r="A139" s="20" t="str">
        <x:v>R0135</x:v>
      </x:c>
      <x:c r="B139" s="25" t="str">
        <x:v>Brain-Computer Interfacing for Intelligent Systems</x:v>
      </x:c>
      <x:c r="C139" s="25" t="n">
        <x:v>2008</x:v>
      </x:c>
      <x:c r="D139" s="25" t="str">
        <x:v>Anton Nijholt; Desney Tan</x:v>
      </x:c>
      <x:c r="E139" s="25" t="str">
        <x:v>IEEE Intelligent Systems</x:v>
      </x:c>
      <x:c r="F139" s="25" t="str">
        <x:v>10.1109/mis.2008.41</x:v>
      </x:c>
      <x:c r="G139" s="25" t="str">
        <x:v>https://doi.org/10.1109/mis.2008.41</x:v>
      </x:c>
      <x:c r="H139" s="25" t="str">
        <x:v>OpenAlex</x:v>
      </x:c>
      <x:c r="I139" s="25" t="str">
        <x:v>C2_interaction_signals</x:v>
      </x:c>
      <x:c r="J139" s="25" t="str">
        <x:v>Exclude</x:v>
      </x:c>
      <x:c r="K139" s="25" t="str">
        <x:v>Exclude: adjacent/redundant or insufficiently theory-generative for DC1</x:v>
      </x:c>
    </x:row>
    <x:row r="140">
      <x:c r="A140" s="20" t="str">
        <x:v>R0136</x:v>
      </x:c>
      <x:c r="B140" s="25" t="str">
        <x:v>Perceptual user interfaces: multimodal interfaces that process what comes naturally</x:v>
      </x:c>
      <x:c r="C140" s="25" t="n">
        <x:v>2000</x:v>
      </x:c>
      <x:c r="D140" s="25" t="str">
        <x:v>Sharon Oviatt; Philip R. Cohen</x:v>
      </x:c>
      <x:c r="E140" s="25" t="str">
        <x:v>Communications of the ACM</x:v>
      </x:c>
      <x:c r="F140" s="25" t="str">
        <x:v>10.1145/330534.330538</x:v>
      </x:c>
      <x:c r="G140" s="25" t="str">
        <x:v>https://doi.org/10.1145/330534.330538</x:v>
      </x:c>
      <x:c r="H140" s="25" t="str">
        <x:v>OpenAlex</x:v>
      </x:c>
      <x:c r="I140" s="25" t="str">
        <x:v>C11_hierarchical_goal_recognition</x:v>
      </x:c>
      <x:c r="J140" s="25" t="str">
        <x:v>Exclude</x:v>
      </x:c>
      <x:c r="K140" s="25" t="str">
        <x:v>Exclude: topic mismatch</x:v>
      </x:c>
    </x:row>
    <x:row r="141">
      <x:c r="A141" s="20" t="str">
        <x:v>R0137</x:v>
      </x:c>
      <x:c r="B141" s="25" t="str">
        <x:v>Advancing Conservation by Understanding and Influencing Human Behavior</x:v>
      </x:c>
      <x:c r="C141" s="25" t="n">
        <x:v>2016</x:v>
      </x:c>
      <x:c r="D141" s="25" t="str">
        <x:v>Sheila M. W. Reddy; Jensen Montambault; Yuta J. Masuda; Elizabeth A. Keenan; W. H. Butler; Jonathan R. B. Fisher; Stanley T. Asah; Ayelet Gneezy</x:v>
      </x:c>
      <x:c r="E141" s="25" t="str">
        <x:v>Conservation Letters</x:v>
      </x:c>
      <x:c r="F141" s="25" t="str">
        <x:v>10.1111/conl.12252</x:v>
      </x:c>
      <x:c r="G141" s="25" t="str">
        <x:v>https://doi.org/10.1111/conl.12252</x:v>
      </x:c>
      <x:c r="H141" s="25" t="str">
        <x:v>OpenAlex</x:v>
      </x:c>
      <x:c r="I141" s="25" t="str">
        <x:v>C4_uncertainty_shared_autonomy</x:v>
      </x:c>
      <x:c r="J141" s="25" t="str">
        <x:v>Exclude</x:v>
      </x:c>
      <x:c r="K141" s="25" t="str">
        <x:v>Exclude: topic mismatch</x:v>
      </x:c>
    </x:row>
    <x:row r="142">
      <x:c r="A142" s="20" t="str">
        <x:v>R0138</x:v>
      </x:c>
      <x:c r="B142" s="25" t="str">
        <x:v>AutoTutor and Family: A Review of 17 Years of Natural Language Tutoring</x:v>
      </x:c>
      <x:c r="C142" s="25" t="n">
        <x:v>2014</x:v>
      </x:c>
      <x:c r="D142" s="25" t="str">
        <x:v>Benjamin D. Nye; Arthur C. Graesser; Xiangen Hu</x:v>
      </x:c>
      <x:c r="E142" s="25" t="str">
        <x:v>International Journal of Artificial Intelligence in Education</x:v>
      </x:c>
      <x:c r="F142" s="25" t="str">
        <x:v>10.1007/s40593-014-0029-5</x:v>
      </x:c>
      <x:c r="G142" s="25" t="str">
        <x:v>https://doi.org/10.1007/s40593-014-0029-5</x:v>
      </x:c>
      <x:c r="H142" s="25" t="str">
        <x:v>OpenAlex</x:v>
      </x:c>
      <x:c r="I142" s="25" t="str">
        <x:v>C12_common_ground_repair</x:v>
      </x:c>
      <x:c r="J142" s="25" t="str">
        <x:v>Exclude</x:v>
      </x:c>
      <x:c r="K142" s="25" t="str">
        <x:v>Exclude: topic mismatch</x:v>
      </x:c>
    </x:row>
    <x:row r="143">
      <x:c r="A143" s="20" t="str">
        <x:v>R0139</x:v>
      </x:c>
      <x:c r="B143" s="25" t="str">
        <x:v>Who Will Be the Members of Society 5.0? Towards an Anthropology of Technologically Posthumanized Future Societies</x:v>
      </x:c>
      <x:c r="C143" s="25" t="n">
        <x:v>2019</x:v>
      </x:c>
      <x:c r="D143" s="25" t="str">
        <x:v>Matthew E. Gladden</x:v>
      </x:c>
      <x:c r="E143" s="25" t="str">
        <x:v>Social Sciences</x:v>
      </x:c>
      <x:c r="F143" s="25" t="str">
        <x:v>10.3390/socsci8050148</x:v>
      </x:c>
      <x:c r="G143" s="25" t="str">
        <x:v>https://doi.org/10.3390/socsci8050148</x:v>
      </x:c>
      <x:c r="H143" s="25" t="str">
        <x:v>OpenAlex</x:v>
      </x:c>
      <x:c r="I143" s="25" t="str">
        <x:v>C15_proactive_interruption</x:v>
      </x:c>
      <x:c r="J143" s="25" t="str">
        <x:v>Exclude</x:v>
      </x:c>
      <x:c r="K143" s="25" t="str">
        <x:v>Exclude: adjacent/redundant or insufficiently theory-generative for DC1</x:v>
      </x:c>
    </x:row>
    <x:row r="144">
      <x:c r="A144" s="20" t="str">
        <x:v>R0140</x:v>
      </x:c>
      <x:c r="B144" s="25" t="str">
        <x:v>Developing Middle School Students' AI Literacy</x:v>
      </x:c>
      <x:c r="C144" s="25" t="n">
        <x:v>2021</x:v>
      </x:c>
      <x:c r="D144" s="25" t="str">
        <x:v>Irene Lee; Safinah Ali; Baiyu Zhang; Daniella DiPaola; Cynthia Breazeal</x:v>
      </x:c>
      <x:c r="E144" s="25" t="str"/>
      <x:c r="F144" s="25" t="str">
        <x:v>10.1145/3408877.3432513</x:v>
      </x:c>
      <x:c r="G144" s="25" t="str">
        <x:v>https://doi.org/10.1145/3408877.3432513</x:v>
      </x:c>
      <x:c r="H144" s="25" t="str">
        <x:v>OpenAlex</x:v>
      </x:c>
      <x:c r="I144" s="25" t="str">
        <x:v>C14_agency_ownership</x:v>
      </x:c>
      <x:c r="J144" s="25" t="str">
        <x:v>Exclude</x:v>
      </x:c>
      <x:c r="K144" s="25" t="str">
        <x:v>Exclude: topic mismatch</x:v>
      </x:c>
    </x:row>
    <x:row r="145">
      <x:c r="A145" s="20" t="str">
        <x:v>R0141</x:v>
      </x:c>
      <x:c r="B145" s="25" t="str">
        <x:v>Synthetic Lies: Understanding AI-Generated Misinformation and Evaluating Algorithmic and Human Solutions</x:v>
      </x:c>
      <x:c r="C145" s="25" t="n">
        <x:v>2023</x:v>
      </x:c>
      <x:c r="D145" s="25" t="str">
        <x:v>Jiawei Zhou; Yixuan Zhang; Qianni Luo; Andrea G. Parker; Munmun De Choudhury</x:v>
      </x:c>
      <x:c r="E145" s="25" t="str"/>
      <x:c r="F145" s="25" t="str">
        <x:v>10.1145/3544548.3581318</x:v>
      </x:c>
      <x:c r="G145" s="25" t="str">
        <x:v>https://doi.org/10.1145/3544548.3581318</x:v>
      </x:c>
      <x:c r="H145" s="25" t="str">
        <x:v>OpenAlex</x:v>
      </x:c>
      <x:c r="I145" s="25" t="str">
        <x:v>C7_creative_agency</x:v>
      </x:c>
      <x:c r="J145" s="25" t="str">
        <x:v>Exclude</x:v>
      </x:c>
      <x:c r="K145" s="25" t="str">
        <x:v>Exclude: topic mismatch</x:v>
      </x:c>
    </x:row>
    <x:row r="146">
      <x:c r="A146" s="20" t="str">
        <x:v>R0142</x:v>
      </x:c>
      <x:c r="B146" s="25" t="str">
        <x:v>The embodied nature of spatial perspective taking: Embodied transformation versus sensorimotor interference</x:v>
      </x:c>
      <x:c r="C146" s="25" t="n">
        <x:v>2010</x:v>
      </x:c>
      <x:c r="D146" s="25" t="str">
        <x:v>Klaus Kessler; Lindsey Anne Thomson</x:v>
      </x:c>
      <x:c r="E146" s="25" t="str">
        <x:v>Cognition</x:v>
      </x:c>
      <x:c r="F146" s="25" t="str">
        <x:v>10.1016/j.cognition.2009.08.015</x:v>
      </x:c>
      <x:c r="G146" s="25" t="str">
        <x:v>https://doi.org/10.1016/j.cognition.2009.08.015</x:v>
      </x:c>
      <x:c r="H146" s="25" t="str">
        <x:v>Crossref</x:v>
      </x:c>
      <x:c r="I146" s="25" t="str">
        <x:v>C10_affordance_embodied</x:v>
      </x:c>
      <x:c r="J146" s="25" t="str">
        <x:v>Exclude</x:v>
      </x:c>
      <x:c r="K146" s="25" t="str">
        <x:v>Exclude: topic mismatch</x:v>
      </x:c>
    </x:row>
    <x:row r="147">
      <x:c r="A147" s="20" t="str">
        <x:v>R0143</x:v>
      </x:c>
      <x:c r="B147" s="25" t="str">
        <x:v>The key role of innovation and organizational resilience in improving business performance: A mixed-methods approach</x:v>
      </x:c>
      <x:c r="C147" s="25" t="n">
        <x:v>2024</x:v>
      </x:c>
      <x:c r="D147" s="25" t="str">
        <x:v>Aurora Garrido‐Moreno; Rodrigo Martín‐Rojas; Victor Jesús García Morales</x:v>
      </x:c>
      <x:c r="E147" s="25" t="str">
        <x:v>International Journal of Information Management</x:v>
      </x:c>
      <x:c r="F147" s="25" t="str">
        <x:v>10.1016/j.ijinfomgt.2024.102777</x:v>
      </x:c>
      <x:c r="G147" s="25" t="str">
        <x:v>https://doi.org/10.1016/j.ijinfomgt.2024.102777</x:v>
      </x:c>
      <x:c r="H147" s="25" t="str">
        <x:v>OpenAlex</x:v>
      </x:c>
      <x:c r="I147" s="25" t="str">
        <x:v>C3_mixed_initiative_cocreation</x:v>
      </x:c>
      <x:c r="J147" s="25" t="str">
        <x:v>Exclude</x:v>
      </x:c>
      <x:c r="K147" s="25" t="str">
        <x:v>Exclude: topic mismatch</x:v>
      </x:c>
    </x:row>
    <x:row r="148">
      <x:c r="A148" s="20" t="str">
        <x:v>R0144</x:v>
      </x:c>
      <x:c r="B148" s="25" t="str">
        <x:v>Affordances and the musically extended mind</x:v>
      </x:c>
      <x:c r="C148" s="25" t="n">
        <x:v>2014</x:v>
      </x:c>
      <x:c r="D148" s="25" t="str">
        <x:v>Joel Krueger</x:v>
      </x:c>
      <x:c r="E148" s="25" t="str">
        <x:v>Frontiers in Psychology</x:v>
      </x:c>
      <x:c r="F148" s="25" t="str">
        <x:v>10.3389/fpsyg.2013.01003</x:v>
      </x:c>
      <x:c r="G148" s="25" t="str">
        <x:v>https://doi.org/10.3389/fpsyg.2013.01003</x:v>
      </x:c>
      <x:c r="H148" s="25" t="str">
        <x:v>OpenAlex</x:v>
      </x:c>
      <x:c r="I148" s="25" t="str">
        <x:v>C10_affordance_embodied</x:v>
      </x:c>
      <x:c r="J148" s="25" t="str">
        <x:v>Exclude</x:v>
      </x:c>
      <x:c r="K148" s="25" t="str">
        <x:v>Exclude: topic mismatch</x:v>
      </x:c>
    </x:row>
    <x:row r="149">
      <x:c r="A149" s="20" t="str">
        <x:v>R0145</x:v>
      </x:c>
      <x:c r="B149" s="25" t="str">
        <x:v>Novice-AI Music Co-Creation via AI-Steering Tools for Deep Generative Models</x:v>
      </x:c>
      <x:c r="C149" s="25" t="n">
        <x:v>2020</x:v>
      </x:c>
      <x:c r="D149" s="25" t="str">
        <x:v>Ryan Louie; Andy Coenen; Cheng Zhi Huang; Michael Terry; Carrie J. Cai</x:v>
      </x:c>
      <x:c r="E149" s="25" t="str"/>
      <x:c r="F149" s="25" t="str">
        <x:v>10.1145/3313831.3376739</x:v>
      </x:c>
      <x:c r="G149" s="25" t="str">
        <x:v>https://doi.org/10.1145/3313831.3376739</x:v>
      </x:c>
      <x:c r="H149" s="25" t="str">
        <x:v>OpenAlex</x:v>
      </x:c>
      <x:c r="I149" s="25" t="str">
        <x:v>C14_agency_ownership; C3_mixed_initiative_cocreation</x:v>
      </x:c>
      <x:c r="J149" s="25" t="str">
        <x:v>Include</x:v>
      </x:c>
      <x:c r="K149" s="25" t="str">
        <x:v>Included in focused synthesis</x:v>
      </x:c>
    </x:row>
    <x:row r="150">
      <x:c r="A150" s="20" t="str">
        <x:v>R0146</x:v>
      </x:c>
      <x:c r="B150" s="25" t="str">
        <x:v>A Review of Machine Learning and Deep Learning for Object Detection, Semantic Segmentation, and Human Action Recognition in Machine and Robotic Vision</x:v>
      </x:c>
      <x:c r="C150" s="25" t="n">
        <x:v>2024</x:v>
      </x:c>
      <x:c r="D150" s="25" t="str">
        <x:v>Nikoleta Manakitsa; George S. Maraslidis; Lazaros Moysis; George F. Fragulis</x:v>
      </x:c>
      <x:c r="E150" s="25" t="str">
        <x:v>Technologies</x:v>
      </x:c>
      <x:c r="F150" s="25" t="str">
        <x:v>10.3390/technologies12020015</x:v>
      </x:c>
      <x:c r="G150" s="25" t="str">
        <x:v>https://doi.org/10.3390/technologies12020015</x:v>
      </x:c>
      <x:c r="H150" s="25" t="str">
        <x:v>OpenAlex</x:v>
      </x:c>
      <x:c r="I150" s="25" t="str">
        <x:v>C8_AI_3D_authoring</x:v>
      </x:c>
      <x:c r="J150" s="25" t="str">
        <x:v>Exclude</x:v>
      </x:c>
      <x:c r="K150" s="25" t="str">
        <x:v>Exclude: topic mismatch</x:v>
      </x:c>
    </x:row>
    <x:row r="151">
      <x:c r="A151" s="20" t="str">
        <x:v>R0147</x:v>
      </x:c>
      <x:c r="B151" s="25" t="str">
        <x:v>Fluid interaction for information visualization</x:v>
      </x:c>
      <x:c r="C151" s="25" t="n">
        <x:v>2011</x:v>
      </x:c>
      <x:c r="D151" s="25" t="str">
        <x:v>Niklas Elmqvist; Andrew Vande Moere; Hans-Christian Jetter; Daniel Cernea; Harald Reiterer; T. J. Jankun-Kelly</x:v>
      </x:c>
      <x:c r="E151" s="25" t="str">
        <x:v>Information Visualization</x:v>
      </x:c>
      <x:c r="F151" s="25" t="str">
        <x:v>10.1177/1473871611413180</x:v>
      </x:c>
      <x:c r="G151" s="25" t="str">
        <x:v>https://doi.org/10.1177/1473871611413180</x:v>
      </x:c>
      <x:c r="H151" s="25" t="str">
        <x:v>OpenAlex</x:v>
      </x:c>
      <x:c r="I151" s="25" t="str">
        <x:v>C10_affordance_embodied</x:v>
      </x:c>
      <x:c r="J151" s="25" t="str">
        <x:v>Exclude</x:v>
      </x:c>
      <x:c r="K151" s="25" t="str">
        <x:v>Exclude: adjacent/redundant or insufficiently theory-generative for DC1</x:v>
      </x:c>
    </x:row>
    <x:row r="152">
      <x:c r="A152" s="20" t="str">
        <x:v>R0148</x:v>
      </x:c>
      <x:c r="B152" s="25" t="str">
        <x:v>The Rise and Potential of Large Language Model Based Agents: A Survey</x:v>
      </x:c>
      <x:c r="C152" s="25" t="n">
        <x:v>2023</x:v>
      </x:c>
      <x:c r="D152" s="25" t="str">
        <x:v>Zhiheng Xi; Wen-Xiang Chen; Xin Guo; Wei He; Yiwen Ding; Boyang Hong; Ming Zhang; Junzhe Wang; Senjie Jin; Enyu Zhou; Rui Zheng; Xiaoran Fan; Xiao Wang; Limao Xiong; Yuhao Zhou; Weiran Wang; Changhao Jiang; Yicheng Zou; Xiangyang Liu; Zhangyue Yin; Shihan Dou; Rongxiang Weng; Wensen Cheng; Qi Zhang; Wenjuan Qin; Yongyan Zheng; Xipeng Qiu; Huang, Xuanjing; Tao Gui</x:v>
      </x:c>
      <x:c r="E152" s="25" t="str">
        <x:v>arXiv (Cornell University)</x:v>
      </x:c>
      <x:c r="F152" s="25" t="str">
        <x:v>10.48550/arxiv.2309.07864</x:v>
      </x:c>
      <x:c r="G152" s="25" t="str">
        <x:v>http://arxiv.org/abs/2309.07864</x:v>
      </x:c>
      <x:c r="H152" s="25" t="str">
        <x:v>OpenAlex</x:v>
      </x:c>
      <x:c r="I152" s="25" t="str">
        <x:v>C18_video_intent_coding_VLM_annotation; C1_3D_mental_models; C8_AI_3D_authoring</x:v>
      </x:c>
      <x:c r="J152" s="25" t="str">
        <x:v>Exclude</x:v>
      </x:c>
      <x:c r="K152" s="25" t="str">
        <x:v>Exclude: topic mismatch</x:v>
      </x:c>
    </x:row>
    <x:row r="153">
      <x:c r="A153" s="20" t="str">
        <x:v>R0149</x:v>
      </x:c>
      <x:c r="B153" s="25" t="str">
        <x:v>Robot Learning from Demonstration in Robotic Assembly: A Survey</x:v>
      </x:c>
      <x:c r="C153" s="25" t="n">
        <x:v>2018</x:v>
      </x:c>
      <x:c r="D153" s="25" t="str">
        <x:v>Zuyuan Zhu; Huosheng Hu</x:v>
      </x:c>
      <x:c r="E153" s="25" t="str">
        <x:v>Robotics</x:v>
      </x:c>
      <x:c r="F153" s="25" t="str">
        <x:v>10.3390/robotics7020017</x:v>
      </x:c>
      <x:c r="G153" s="25" t="str">
        <x:v>https://doi.org/10.3390/robotics7020017</x:v>
      </x:c>
      <x:c r="H153" s="25" t="str">
        <x:v>OpenAlex</x:v>
      </x:c>
      <x:c r="I153" s="25" t="str">
        <x:v>C11_hierarchical_goal_recognition</x:v>
      </x:c>
      <x:c r="J153" s="25" t="str">
        <x:v>Exclude</x:v>
      </x:c>
      <x:c r="K153" s="25" t="str">
        <x:v>Exclude: adjacent/redundant or insufficiently theory-generative for DC1</x:v>
      </x:c>
    </x:row>
    <x:row r="154">
      <x:c r="A154" s="20" t="str">
        <x:v>R0150</x:v>
      </x:c>
      <x:c r="B154" s="25" t="str">
        <x:v>AI in the Foreign Language Classroom: A Pedagogical Overview of Automated Writing Assistance Tools</x:v>
      </x:c>
      <x:c r="C154" s="25" t="n">
        <x:v>2023</x:v>
      </x:c>
      <x:c r="D154" s="25" t="str">
        <x:v>Wael Alharbi</x:v>
      </x:c>
      <x:c r="E154" s="25" t="str">
        <x:v>Education Research International</x:v>
      </x:c>
      <x:c r="F154" s="25" t="str">
        <x:v>10.1155/2023/4253331</x:v>
      </x:c>
      <x:c r="G154" s="25" t="str">
        <x:v>https://doi.org/10.1155/2023/4253331</x:v>
      </x:c>
      <x:c r="H154" s="25" t="str">
        <x:v>OpenAlex</x:v>
      </x:c>
      <x:c r="I154" s="25" t="str">
        <x:v>C7_creative_agency</x:v>
      </x:c>
      <x:c r="J154" s="25" t="str">
        <x:v>Exclude</x:v>
      </x:c>
      <x:c r="K154" s="25" t="str">
        <x:v>Exclude: topic mismatch</x:v>
      </x:c>
    </x:row>
    <x:row r="155">
      <x:c r="A155" s="20" t="str">
        <x:v>R0151</x:v>
      </x:c>
      <x:c r="B155" s="25" t="str">
        <x:v>Proactive human–robot collaboration: Mutual-cognitive, predictable, and self-organising perspectives</x:v>
      </x:c>
      <x:c r="C155" s="25" t="n">
        <x:v>2022</x:v>
      </x:c>
      <x:c r="D155" s="25" t="str">
        <x:v>Shufei Li; Pai Zheng; Sichao Liu; Zuoxu Wang; Xi Vincent Wang; Lianyu Zheng; Lihui Wang</x:v>
      </x:c>
      <x:c r="E155" s="25" t="str">
        <x:v>Robotics and Computer-Integrated Manufacturing</x:v>
      </x:c>
      <x:c r="F155" s="25" t="str">
        <x:v>10.1016/j.rcim.2022.102510</x:v>
      </x:c>
      <x:c r="G155" s="25" t="str">
        <x:v>https://doi.org/10.1016/j.rcim.2022.102510</x:v>
      </x:c>
      <x:c r="H155" s="25" t="str">
        <x:v>OpenAlex</x:v>
      </x:c>
      <x:c r="I155" s="25" t="str">
        <x:v>C4_uncertainty_shared_autonomy</x:v>
      </x:c>
      <x:c r="J155" s="25" t="str">
        <x:v>Exclude</x:v>
      </x:c>
      <x:c r="K155" s="25" t="str">
        <x:v>Exclude: adjacent/redundant or insufficiently theory-generative for DC1</x:v>
      </x:c>
    </x:row>
    <x:row r="156">
      <x:c r="A156" s="20" t="str">
        <x:v>R0152</x:v>
      </x:c>
      <x:c r="B156" s="25" t="str">
        <x:v>Ethical Challenges and Solutions of Generative AI: An Interdisciplinary Perspective</x:v>
      </x:c>
      <x:c r="C156" s="25" t="n">
        <x:v>2024</x:v>
      </x:c>
      <x:c r="D156" s="25" t="str">
        <x:v>Mousa Al-kfairy; Dheya Mustafa; Nir Kshetri; Mazen Insiew; Omar Alfandi</x:v>
      </x:c>
      <x:c r="E156" s="25" t="str">
        <x:v>Informatics</x:v>
      </x:c>
      <x:c r="F156" s="25" t="str">
        <x:v>10.3390/informatics11030058</x:v>
      </x:c>
      <x:c r="G156" s="25" t="str">
        <x:v>https://doi.org/10.3390/informatics11030058</x:v>
      </x:c>
      <x:c r="H156" s="25" t="str">
        <x:v>OpenAlex</x:v>
      </x:c>
      <x:c r="I156" s="25" t="str">
        <x:v>C14_agency_ownership</x:v>
      </x:c>
      <x:c r="J156" s="25" t="str">
        <x:v>Exclude</x:v>
      </x:c>
      <x:c r="K156" s="25" t="str">
        <x:v>Exclude: adjacent/redundant or insufficiently theory-generative for DC1</x:v>
      </x:c>
    </x:row>
    <x:row r="157">
      <x:c r="A157" s="20" t="str">
        <x:v>R0153</x:v>
      </x:c>
      <x:c r="B157" s="25" t="str">
        <x:v>Can Generative AI improve social science?</x:v>
      </x:c>
      <x:c r="C157" s="25" t="n">
        <x:v>2024</x:v>
      </x:c>
      <x:c r="D157" s="25" t="str">
        <x:v>Christopher A. Bail</x:v>
      </x:c>
      <x:c r="E157" s="25" t="str">
        <x:v>Proceedings of the National Academy of Sciences</x:v>
      </x:c>
      <x:c r="F157" s="25" t="str">
        <x:v>10.1073/pnas.2314021121</x:v>
      </x:c>
      <x:c r="G157" s="25" t="str">
        <x:v>https://doi.org/10.1073/pnas.2314021121</x:v>
      </x:c>
      <x:c r="H157" s="25" t="str">
        <x:v>OpenAlex</x:v>
      </x:c>
      <x:c r="I157" s="25" t="str">
        <x:v>C7_creative_agency</x:v>
      </x:c>
      <x:c r="J157" s="25" t="str">
        <x:v>Exclude</x:v>
      </x:c>
      <x:c r="K157" s="25" t="str">
        <x:v>Exclude: topic mismatch</x:v>
      </x:c>
    </x:row>
    <x:row r="158">
      <x:c r="A158" s="20" t="str">
        <x:v>R0154</x:v>
      </x:c>
      <x:c r="B158" s="25" t="str">
        <x:v>The Crowdless Future? Generative AI and Creative Problem-Solving</x:v>
      </x:c>
      <x:c r="C158" s="25" t="n">
        <x:v>2024</x:v>
      </x:c>
      <x:c r="D158" s="25" t="str">
        <x:v>Léonard Boussioux; Jacqueline N. Lane; Miaomiao Zhang; Vladimir Jaćimović; Karim R. Lakhani</x:v>
      </x:c>
      <x:c r="E158" s="25" t="str">
        <x:v>Organization Science</x:v>
      </x:c>
      <x:c r="F158" s="25" t="str">
        <x:v>10.1287/orsc.2023.18430</x:v>
      </x:c>
      <x:c r="G158" s="25" t="str">
        <x:v>https://doi.org/10.1287/orsc.2023.18430</x:v>
      </x:c>
      <x:c r="H158" s="25" t="str">
        <x:v>OpenAlex</x:v>
      </x:c>
      <x:c r="I158" s="25" t="str">
        <x:v>C7_creative_agency</x:v>
      </x:c>
      <x:c r="J158" s="25" t="str">
        <x:v>Exclude</x:v>
      </x:c>
      <x:c r="K158" s="25" t="str">
        <x:v>Exclude: adjacent/redundant or insufficiently theory-generative for DC1</x:v>
      </x:c>
    </x:row>
    <x:row r="159">
      <x:c r="A159" s="20" t="str">
        <x:v>R0155</x:v>
      </x:c>
      <x:c r="B159" s="25" t="str">
        <x:v>Explainable AI for Designers: A Human-Centered Perspective on Mixed-Initiative Co-Creation</x:v>
      </x:c>
      <x:c r="C159" s="25" t="n">
        <x:v>2018</x:v>
      </x:c>
      <x:c r="D159" s="25" t="str">
        <x:v>Jichen Zhu; Antonios Liapis; Sebastian Risi; Rafael Bidarra; G. Michael Youngblood</x:v>
      </x:c>
      <x:c r="E159" s="25" t="str">
        <x:v>2018 IEEE Conference on Computational Intelligence and Games (CIG)</x:v>
      </x:c>
      <x:c r="F159" s="25" t="str">
        <x:v>10.1109/cig.2018.8490433</x:v>
      </x:c>
      <x:c r="G159" s="25" t="str">
        <x:v>https://doi.org/10.1109/cig.2018.8490433</x:v>
      </x:c>
      <x:c r="H159" s="25" t="str">
        <x:v>Crossref; OpenAlex</x:v>
      </x:c>
      <x:c r="I159" s="25" t="str">
        <x:v>C3_mixed_initiative_cocreation</x:v>
      </x:c>
      <x:c r="J159" s="25" t="str">
        <x:v>Exclude</x:v>
      </x:c>
      <x:c r="K159" s="25" t="str">
        <x:v>Exclude: adjacent/redundant or insufficiently theory-generative for DC1</x:v>
      </x:c>
    </x:row>
    <x:row r="160">
      <x:c r="A160" s="20" t="str">
        <x:v>R0156</x:v>
      </x:c>
      <x:c r="B160" s="25" t="str">
        <x:v>The Programmer’s Assistant: Conversational Interaction with a Large Language Model for Software Development</x:v>
      </x:c>
      <x:c r="C160" s="25" t="n">
        <x:v>2023</x:v>
      </x:c>
      <x:c r="D160" s="25" t="str">
        <x:v>Steven Ross; Fernando Martinez; Stephanie Houde; Michael Müller; Justin D. Weisz</x:v>
      </x:c>
      <x:c r="E160" s="25" t="str"/>
      <x:c r="F160" s="25" t="str">
        <x:v>10.1145/3581641.3584037</x:v>
      </x:c>
      <x:c r="G160" s="25" t="str">
        <x:v>https://doi.org/10.1145/3581641.3584037</x:v>
      </x:c>
      <x:c r="H160" s="25" t="str">
        <x:v>OpenAlex</x:v>
      </x:c>
      <x:c r="I160" s="25" t="str">
        <x:v>C11_hierarchical_goal_recognition; C6_frontend_GUI_intent</x:v>
      </x:c>
      <x:c r="J160" s="25" t="str">
        <x:v>Exclude</x:v>
      </x:c>
      <x:c r="K160" s="25" t="str">
        <x:v>Exclude: adjacent/redundant or insufficiently theory-generative for DC1</x:v>
      </x:c>
    </x:row>
    <x:row r="161">
      <x:c r="A161" s="20" t="str">
        <x:v>R0157</x:v>
      </x:c>
      <x:c r="B161" s="25" t="str">
        <x:v>Human–robot collaboration in industrial environments: A literature review on non-destructive disassembly</x:v>
      </x:c>
      <x:c r="C161" s="25" t="n">
        <x:v>2021</x:v>
      </x:c>
      <x:c r="D161" s="25" t="str">
        <x:v>Sebastian Hjorth; Dimitrios Chrysostomou</x:v>
      </x:c>
      <x:c r="E161" s="25" t="str">
        <x:v>Robotics and Computer-Integrated Manufacturing</x:v>
      </x:c>
      <x:c r="F161" s="25" t="str">
        <x:v>10.1016/j.rcim.2021.102208</x:v>
      </x:c>
      <x:c r="G161" s="25" t="str">
        <x:v>https://doi.org/10.1016/j.rcim.2021.102208</x:v>
      </x:c>
      <x:c r="H161" s="25" t="str">
        <x:v>OpenAlex</x:v>
      </x:c>
      <x:c r="I161" s="25" t="str">
        <x:v>C11_hierarchical_goal_recognition; C6_frontend_GUI_intent</x:v>
      </x:c>
      <x:c r="J161" s="25" t="str">
        <x:v>Exclude</x:v>
      </x:c>
      <x:c r="K161" s="25" t="str">
        <x:v>Exclude: adjacent/redundant or insufficiently theory-generative for DC1</x:v>
      </x:c>
    </x:row>
    <x:row r="162">
      <x:c r="A162" s="20" t="str">
        <x:v>R0158</x:v>
      </x:c>
      <x:c r="B162" s="25" t="str">
        <x:v>On the need for Embodied and Dis-Embodied Cognition</x:v>
      </x:c>
      <x:c r="C162" s="25" t="n">
        <x:v>2011</x:v>
      </x:c>
      <x:c r="D162" s="25" t="str">
        <x:v>Guy Dove</x:v>
      </x:c>
      <x:c r="E162" s="25" t="str">
        <x:v>Frontiers in Psychology</x:v>
      </x:c>
      <x:c r="F162" s="25" t="str">
        <x:v>10.3389/fpsyg.2010.00242</x:v>
      </x:c>
      <x:c r="G162" s="25" t="str">
        <x:v>https://doi.org/10.3389/fpsyg.2010.00242</x:v>
      </x:c>
      <x:c r="H162" s="25" t="str">
        <x:v>OpenAlex</x:v>
      </x:c>
      <x:c r="I162" s="25" t="str">
        <x:v>C10_affordance_embodied</x:v>
      </x:c>
      <x:c r="J162" s="25" t="str">
        <x:v>Exclude</x:v>
      </x:c>
      <x:c r="K162" s="25" t="str">
        <x:v>Exclude: topic mismatch</x:v>
      </x:c>
    </x:row>
    <x:row r="163">
      <x:c r="A163" s="20" t="str">
        <x:v>R0159</x:v>
      </x:c>
      <x:c r="B163" s="25" t="str">
        <x:v>AI-chatbots on the services frontline addressing the challenges and opportunities of agency</x:v>
      </x:c>
      <x:c r="C163" s="25" t="n">
        <x:v>2021</x:v>
      </x:c>
      <x:c r="D163" s="25" t="str">
        <x:v>Terrence Chong; Ting Yu; Debbie Keeling; Ko de Ruyter</x:v>
      </x:c>
      <x:c r="E163" s="25" t="str">
        <x:v>Journal of Retailing and Consumer Services</x:v>
      </x:c>
      <x:c r="F163" s="25" t="str">
        <x:v>10.1016/j.jretconser.2021.102735</x:v>
      </x:c>
      <x:c r="G163" s="25" t="str">
        <x:v>https://doi.org/10.1016/j.jretconser.2021.102735</x:v>
      </x:c>
      <x:c r="H163" s="25" t="str">
        <x:v>OpenAlex</x:v>
      </x:c>
      <x:c r="I163" s="25" t="str">
        <x:v>C7_creative_agency</x:v>
      </x:c>
      <x:c r="J163" s="25" t="str">
        <x:v>Exclude</x:v>
      </x:c>
      <x:c r="K163" s="25" t="str">
        <x:v>Exclude: topic mismatch</x:v>
      </x:c>
    </x:row>
    <x:row r="164">
      <x:c r="A164" s="20" t="str">
        <x:v>R0160</x:v>
      </x:c>
      <x:c r="B164" s="25" t="str">
        <x:v>AI agency vs. human agency: understanding human–AI interactions on TikTok and their implications for user engagement</x:v>
      </x:c>
      <x:c r="C164" s="25" t="n">
        <x:v>2022</x:v>
      </x:c>
      <x:c r="D164" s="25" t="str">
        <x:v>Hyunjin Kang; Chen Lou</x:v>
      </x:c>
      <x:c r="E164" s="25" t="str">
        <x:v>Journal of Computer-Mediated Communication</x:v>
      </x:c>
      <x:c r="F164" s="25" t="str">
        <x:v>10.1093/jcmc/zmac014</x:v>
      </x:c>
      <x:c r="G164" s="25" t="str">
        <x:v>https://doi.org/10.1093/jcmc/zmac014</x:v>
      </x:c>
      <x:c r="H164" s="25" t="str">
        <x:v>OpenAlex</x:v>
      </x:c>
      <x:c r="I164" s="25" t="str">
        <x:v>C7_creative_agency</x:v>
      </x:c>
      <x:c r="J164" s="25" t="str">
        <x:v>Exclude</x:v>
      </x:c>
      <x:c r="K164" s="25" t="str">
        <x:v>Exclude: topic mismatch</x:v>
      </x:c>
    </x:row>
    <x:row r="165">
      <x:c r="A165" s="20" t="str">
        <x:v>R0161</x:v>
      </x:c>
      <x:c r="B165" s="25" t="str">
        <x:v>Large AI Models in Health Informatics: Applications, Challenges, and the Future</x:v>
      </x:c>
      <x:c r="C165" s="25" t="n">
        <x:v>2023</x:v>
      </x:c>
      <x:c r="D165" s="25" t="str">
        <x:v>Jianing Qiu; Lin Li; Jiankai Sun; Jiachuan Peng; Peilun Shi; Ruiyang Zhang; Yinzhao Dong; Kyle Lam; Frank P.-W. Lo; Bo Xiao; Wu Yuan; Ningli Wang; Dong Xu; Benny Lo</x:v>
      </x:c>
      <x:c r="E165" s="25" t="str">
        <x:v>IEEE Journal of Biomedical and Health Informatics</x:v>
      </x:c>
      <x:c r="F165" s="25" t="str">
        <x:v>10.1109/jbhi.2023.3316750</x:v>
      </x:c>
      <x:c r="G165" s="25" t="str">
        <x:v>https://doi.org/10.1109/jbhi.2023.3316750</x:v>
      </x:c>
      <x:c r="H165" s="25" t="str">
        <x:v>OpenAlex</x:v>
      </x:c>
      <x:c r="I165" s="25" t="str">
        <x:v>C8_AI_3D_authoring</x:v>
      </x:c>
      <x:c r="J165" s="25" t="str">
        <x:v>Exclude</x:v>
      </x:c>
      <x:c r="K165" s="25" t="str">
        <x:v>Exclude: domain-specific signal model without transferable HCI theory</x:v>
      </x:c>
    </x:row>
    <x:row r="166">
      <x:c r="A166" s="20" t="str">
        <x:v>R0162</x:v>
      </x:c>
      <x:c r="B166" s="25" t="str">
        <x:v>A review and agenda for integrated disease models including social and behavioural factors</x:v>
      </x:c>
      <x:c r="C166" s="25" t="n">
        <x:v>2021</x:v>
      </x:c>
      <x:c r="D166" s="25" t="str">
        <x:v>Jamie Bedson; Laura Skrip; Danielle Pedi; Sharon Abramowitz; Simone Carter; Mohamed F. Jalloh; Sebastian Funk; Nina Gobat; Tamara Giles‐Vernick; Gerardo Chowell; João Rangel de Almeida; Rania Elessawi; Samuel V. Scarpino; Ross A. Hammond; Sylvie Briand; Joshua M. Epstein; Laurent Hébert‐Dufresne; Benjamin M. Althouse</x:v>
      </x:c>
      <x:c r="E166" s="25" t="str">
        <x:v>Nature Human Behaviour</x:v>
      </x:c>
      <x:c r="F166" s="25" t="str">
        <x:v>10.1038/s41562-021-01136-2</x:v>
      </x:c>
      <x:c r="G166" s="25" t="str">
        <x:v>https://doi.org/10.1038/s41562-021-01136-2</x:v>
      </x:c>
      <x:c r="H166" s="25" t="str">
        <x:v>OpenAlex</x:v>
      </x:c>
      <x:c r="I166" s="25" t="str">
        <x:v>C15_proactive_interruption</x:v>
      </x:c>
      <x:c r="J166" s="25" t="str">
        <x:v>Exclude</x:v>
      </x:c>
      <x:c r="K166" s="25" t="str">
        <x:v>Exclude: topic mismatch</x:v>
      </x:c>
    </x:row>
    <x:row r="167">
      <x:c r="A167" s="20" t="str">
        <x:v>R0163</x:v>
      </x:c>
      <x:c r="B167" s="25" t="str">
        <x:v>Spatial navigation by congenitally blind individuals</x:v>
      </x:c>
      <x:c r="C167" s="25" t="n">
        <x:v>2015</x:v>
      </x:c>
      <x:c r="D167" s="25" t="str">
        <x:v>Victor R. Schinazi; Tyler Thrash; Daniel‐Robert Chebat</x:v>
      </x:c>
      <x:c r="E167" s="25" t="str">
        <x:v>Wiley Interdisciplinary Reviews Cognitive Science</x:v>
      </x:c>
      <x:c r="F167" s="25" t="str">
        <x:v>10.1002/wcs.1375</x:v>
      </x:c>
      <x:c r="G167" s="25" t="str">
        <x:v>https://doi.org/10.1002/wcs.1375</x:v>
      </x:c>
      <x:c r="H167" s="25" t="str">
        <x:v>OpenAlex</x:v>
      </x:c>
      <x:c r="I167" s="25" t="str">
        <x:v>C1_3D_mental_models</x:v>
      </x:c>
      <x:c r="J167" s="25" t="str">
        <x:v>Exclude</x:v>
      </x:c>
      <x:c r="K167" s="25" t="str">
        <x:v>Exclude: topic mismatch</x:v>
      </x:c>
    </x:row>
    <x:row r="168">
      <x:c r="A168" s="20" t="str">
        <x:v>R0164</x:v>
      </x:c>
      <x:c r="B168" s="25" t="str">
        <x:v>Co-Writing Screenplays and Theatre Scripts with Language Models: Evaluation by Industry Professionals</x:v>
      </x:c>
      <x:c r="C168" s="25" t="n">
        <x:v>2023</x:v>
      </x:c>
      <x:c r="D168" s="25" t="str">
        <x:v>Piotr Mirowski; Kory W. Mathewson; Jaylen Pittman; Richard Evans</x:v>
      </x:c>
      <x:c r="E168" s="25" t="str"/>
      <x:c r="F168" s="25" t="str">
        <x:v>10.1145/3544548.3581225</x:v>
      </x:c>
      <x:c r="G168" s="25" t="str">
        <x:v>https://doi.org/10.1145/3544548.3581225</x:v>
      </x:c>
      <x:c r="H168" s="25" t="str">
        <x:v>OpenAlex</x:v>
      </x:c>
      <x:c r="I168" s="25" t="str">
        <x:v>C14_agency_ownership</x:v>
      </x:c>
      <x:c r="J168" s="25" t="str">
        <x:v>Exclude</x:v>
      </x:c>
      <x:c r="K168" s="25" t="str">
        <x:v>Exclude: adjacent/redundant or insufficiently theory-generative for DC1</x:v>
      </x:c>
    </x:row>
    <x:row r="169">
      <x:c r="A169" s="20" t="str">
        <x:v>R0165</x:v>
      </x:c>
      <x:c r="B169" s="25" t="str">
        <x:v>The Chatbot Usability Scale: the Design and Pilot of a Usability Scale for Interaction with AI-Based Conversational Agents</x:v>
      </x:c>
      <x:c r="C169" s="25" t="n">
        <x:v>2021</x:v>
      </x:c>
      <x:c r="D169" s="25" t="str">
        <x:v>Simone Borsci; Alessio Malizia; Martin Schmettow; Frank van der Velde; Gunay Tariverdiyeva; Divyaa Balaji; Alan Chamberlain</x:v>
      </x:c>
      <x:c r="E169" s="25" t="str">
        <x:v>Personal and Ubiquitous Computing</x:v>
      </x:c>
      <x:c r="F169" s="25" t="str">
        <x:v>10.1007/s00779-021-01582-9</x:v>
      </x:c>
      <x:c r="G169" s="25" t="str">
        <x:v>https://doi.org/10.1007/s00779-021-01582-9</x:v>
      </x:c>
      <x:c r="H169" s="25" t="str">
        <x:v>OpenAlex</x:v>
      </x:c>
      <x:c r="I169" s="25" t="str">
        <x:v>C3_mixed_initiative_cocreation</x:v>
      </x:c>
      <x:c r="J169" s="25" t="str">
        <x:v>Exclude</x:v>
      </x:c>
      <x:c r="K169" s="25" t="str">
        <x:v>Exclude: topic mismatch</x:v>
      </x:c>
    </x:row>
    <x:row r="170">
      <x:c r="A170" s="20" t="str">
        <x:v>R0166</x:v>
      </x:c>
      <x:c r="B170" s="25" t="str">
        <x:v>Designing human-robot collaboration (HRC) workspaces in industrial settings: A systematic literature review</x:v>
      </x:c>
      <x:c r="C170" s="25" t="n">
        <x:v>2021</x:v>
      </x:c>
      <x:c r="D170" s="25" t="str">
        <x:v>Ana Correia Simões; Ana Pinto; Joana Santos; Sofia Pinheiro; David Romero</x:v>
      </x:c>
      <x:c r="E170" s="25" t="str">
        <x:v>Journal of Manufacturing Systems</x:v>
      </x:c>
      <x:c r="F170" s="25" t="str">
        <x:v>10.1016/j.jmsy.2021.11.007</x:v>
      </x:c>
      <x:c r="G170" s="25" t="str">
        <x:v>https://doi.org/10.1016/j.jmsy.2021.11.007</x:v>
      </x:c>
      <x:c r="H170" s="25" t="str">
        <x:v>OpenAlex</x:v>
      </x:c>
      <x:c r="I170" s="25" t="str">
        <x:v>C4_uncertainty_shared_autonomy</x:v>
      </x:c>
      <x:c r="J170" s="25" t="str">
        <x:v>Exclude</x:v>
      </x:c>
      <x:c r="K170" s="25" t="str">
        <x:v>Exclude: topic mismatch</x:v>
      </x:c>
    </x:row>
    <x:row r="171">
      <x:c r="A171" s="20" t="str">
        <x:v>R0167</x:v>
      </x:c>
      <x:c r="B171" s="25" t="str">
        <x:v>ACT-R/E: An Embodied Cognitive Architecture for Human-Robot Interaction</x:v>
      </x:c>
      <x:c r="C171" s="25" t="n">
        <x:v>2013</x:v>
      </x:c>
      <x:c r="D171" s="25" t="str">
        <x:v>J. Gregory Trafton; Laura M. Hiatt; Anthony M. Harrison; Frank Tanborello; Sangeet Khemlani; Alan C. Schultz</x:v>
      </x:c>
      <x:c r="E171" s="25" t="str">
        <x:v>Journal of Human-Robot Interaction</x:v>
      </x:c>
      <x:c r="F171" s="25" t="str">
        <x:v>10.5898/jhri.2.1.trafton</x:v>
      </x:c>
      <x:c r="G171" s="25" t="str">
        <x:v>https://doi.org/10.5898/jhri.2.1.trafton</x:v>
      </x:c>
      <x:c r="H171" s="25" t="str">
        <x:v>OpenAlex</x:v>
      </x:c>
      <x:c r="I171" s="25" t="str">
        <x:v>C10_affordance_embodied</x:v>
      </x:c>
      <x:c r="J171" s="25" t="str">
        <x:v>Exclude</x:v>
      </x:c>
      <x:c r="K171" s="25" t="str">
        <x:v>Exclude: topic mismatch</x:v>
      </x:c>
    </x:row>
    <x:row r="172">
      <x:c r="A172" s="20" t="str">
        <x:v>R0168</x:v>
      </x:c>
      <x:c r="B172" s="25" t="str">
        <x:v>ESO–ESMO fifth international consensus guidelines for breast cancer in young women (BCY5)</x:v>
      </x:c>
      <x:c r="C172" s="25" t="n">
        <x:v>2022</x:v>
      </x:c>
      <x:c r="D172" s="25" t="str">
        <x:v>Shani Paluch–Shimon; Fátima Cardoso; Ann H. Partridge; Omalkhair Abulkhair; Hatem A. Azim; G. Bianchi-Micheli; Maria João Cardoso; Giuseppe Curigliano; Karen A. Gelmon; Oreste ­Gentilini; Nadia Harbeck; Bella Kaufman; S.B. Kim; Q. Liu; J. Merschdorf; Philip Poortmans; Giancarlo Pruneri; Elżbieta Senkus; Bhawna Sirohi; Tanja Španič; Virpi Sulosaari; Fedro A. Peccatori; Olivia Pagani</x:v>
      </x:c>
      <x:c r="E172" s="25" t="str">
        <x:v>Annals of Oncology</x:v>
      </x:c>
      <x:c r="F172" s="25" t="str">
        <x:v>10.1016/j.annonc.2022.07.007</x:v>
      </x:c>
      <x:c r="G172" s="25" t="str">
        <x:v>https://doi.org/10.1016/j.annonc.2022.07.007</x:v>
      </x:c>
      <x:c r="H172" s="25" t="str">
        <x:v>OpenAlex</x:v>
      </x:c>
      <x:c r="I172" s="25" t="str">
        <x:v>C15_proactive_interruption</x:v>
      </x:c>
      <x:c r="J172" s="25" t="str">
        <x:v>Exclude</x:v>
      </x:c>
      <x:c r="K172" s="25" t="str">
        <x:v>Exclude: topic mismatch</x:v>
      </x:c>
    </x:row>
    <x:row r="173">
      <x:c r="A173" s="20" t="str">
        <x:v>R0169</x:v>
      </x:c>
      <x:c r="B173" s="25" t="str">
        <x:v>Getting Down to Details: Using Theories of Cognition and Learning to Inform Tangible User Interface Design</x:v>
      </x:c>
      <x:c r="C173" s="25" t="n">
        <x:v>2013</x:v>
      </x:c>
      <x:c r="D173" s="25" t="str">
        <x:v>Alissa N. Antle; Alyssa Friend Wise</x:v>
      </x:c>
      <x:c r="E173" s="25" t="str">
        <x:v>Interacting with Computers</x:v>
      </x:c>
      <x:c r="F173" s="25" t="str">
        <x:v>10.1093/iwc/iws007</x:v>
      </x:c>
      <x:c r="G173" s="25" t="str">
        <x:v>https://doi.org/10.1093/iwc/iws007</x:v>
      </x:c>
      <x:c r="H173" s="25" t="str">
        <x:v>OpenAlex</x:v>
      </x:c>
      <x:c r="I173" s="25" t="str">
        <x:v>C10_affordance_embodied; C1_3D_mental_models</x:v>
      </x:c>
      <x:c r="J173" s="25" t="str">
        <x:v>Exclude</x:v>
      </x:c>
      <x:c r="K173" s="25" t="str">
        <x:v>Exclude: topic mismatch</x:v>
      </x:c>
    </x:row>
    <x:row r="174">
      <x:c r="A174" s="20" t="str">
        <x:v>R0170</x:v>
      </x:c>
      <x:c r="B174" s="25" t="str">
        <x:v>Methods and tools: a method for evaluating the communicability of user interfaces</x:v>
      </x:c>
      <x:c r="C174" s="25" t="n">
        <x:v>2000</x:v>
      </x:c>
      <x:c r="D174" s="25" t="str">
        <x:v>Raquel Oliveira Prates; Clarisse Sieckenius de Souza; Simone Diniz Junqueira Barbosa</x:v>
      </x:c>
      <x:c r="E174" s="25" t="str">
        <x:v>interactions</x:v>
      </x:c>
      <x:c r="F174" s="25" t="str">
        <x:v>10.1145/328595.328608</x:v>
      </x:c>
      <x:c r="G174" s="25" t="str">
        <x:v>https://doi.org/10.1145/328595.328608</x:v>
      </x:c>
      <x:c r="H174" s="25" t="str">
        <x:v>OpenAlex</x:v>
      </x:c>
      <x:c r="I174" s="25" t="str">
        <x:v>C2_interaction_signals</x:v>
      </x:c>
      <x:c r="J174" s="25" t="str">
        <x:v>Exclude</x:v>
      </x:c>
      <x:c r="K174" s="25" t="str">
        <x:v>Exclude: topic mismatch</x:v>
      </x:c>
    </x:row>
    <x:row r="175">
      <x:c r="A175" s="20" t="str">
        <x:v>R0171</x:v>
      </x:c>
      <x:c r="B175" s="25" t="str">
        <x:v>The use of a BIM-based framework to support safe facility management processes</x:v>
      </x:c>
      <x:c r="C175" s="25" t="n">
        <x:v>2015</x:v>
      </x:c>
      <x:c r="D175" s="25" t="str">
        <x:v>Eric M. Wetzel; Walid Thabet</x:v>
      </x:c>
      <x:c r="E175" s="25" t="str">
        <x:v>Automation in Construction</x:v>
      </x:c>
      <x:c r="F175" s="25" t="str">
        <x:v>10.1016/j.autcon.2015.09.004</x:v>
      </x:c>
      <x:c r="G175" s="25" t="str">
        <x:v>https://doi.org/10.1016/j.autcon.2015.09.004</x:v>
      </x:c>
      <x:c r="H175" s="25" t="str">
        <x:v>OpenAlex</x:v>
      </x:c>
      <x:c r="I175" s="25" t="str">
        <x:v>C11_hierarchical_goal_recognition</x:v>
      </x:c>
      <x:c r="J175" s="25" t="str">
        <x:v>Exclude</x:v>
      </x:c>
      <x:c r="K175" s="25" t="str">
        <x:v>Exclude: topic mismatch</x:v>
      </x:c>
    </x:row>
    <x:row r="176">
      <x:c r="A176" s="20" t="str">
        <x:v>R0172</x:v>
      </x:c>
      <x:c r="B176" s="25" t="str">
        <x:v>The Participatory Turn in AI Design: Theoretical Foundations and the Current State of Practice</x:v>
      </x:c>
      <x:c r="C176" s="25" t="n">
        <x:v>2023</x:v>
      </x:c>
      <x:c r="D176" s="25" t="str">
        <x:v>Fernando Delgado; Stephen Yang; Michael Madaio; Qian Yang</x:v>
      </x:c>
      <x:c r="E176" s="25" t="str"/>
      <x:c r="F176" s="25" t="str">
        <x:v>10.1145/3617694.3623261</x:v>
      </x:c>
      <x:c r="G176" s="25" t="str">
        <x:v>https://doi.org/10.1145/3617694.3623261</x:v>
      </x:c>
      <x:c r="H176" s="25" t="str">
        <x:v>OpenAlex</x:v>
      </x:c>
      <x:c r="I176" s="25" t="str">
        <x:v>C14_agency_ownership</x:v>
      </x:c>
      <x:c r="J176" s="25" t="str">
        <x:v>Exclude</x:v>
      </x:c>
      <x:c r="K176" s="25" t="str">
        <x:v>Exclude: topic mismatch</x:v>
      </x:c>
    </x:row>
    <x:row r="177">
      <x:c r="A177" s="20" t="str">
        <x:v>R0173</x:v>
      </x:c>
      <x:c r="B177" s="25" t="str">
        <x:v>A sociotechnical perspective for the future of AI: narratives, inequalities, and human control</x:v>
      </x:c>
      <x:c r="C177" s="25" t="n">
        <x:v>2022</x:v>
      </x:c>
      <x:c r="D177" s="25" t="str">
        <x:v>Laura Sartori; Andreas Theodorou</x:v>
      </x:c>
      <x:c r="E177" s="25" t="str">
        <x:v>Ethics and Information Technology</x:v>
      </x:c>
      <x:c r="F177" s="25" t="str">
        <x:v>10.1007/s10676-022-09624-3</x:v>
      </x:c>
      <x:c r="G177" s="25" t="str">
        <x:v>https://doi.org/10.1007/s10676-022-09624-3</x:v>
      </x:c>
      <x:c r="H177" s="25" t="str">
        <x:v>OpenAlex</x:v>
      </x:c>
      <x:c r="I177" s="25" t="str">
        <x:v>C7_creative_agency</x:v>
      </x:c>
      <x:c r="J177" s="25" t="str">
        <x:v>Exclude</x:v>
      </x:c>
      <x:c r="K177" s="25" t="str">
        <x:v>Exclude: topic mismatch</x:v>
      </x:c>
    </x:row>
    <x:row r="178">
      <x:c r="A178" s="20" t="str">
        <x:v>R0174</x:v>
      </x:c>
      <x:c r="B178" s="25" t="str">
        <x:v>From ethical AI frameworks to tools: a review of approaches</x:v>
      </x:c>
      <x:c r="C178" s="25" t="n">
        <x:v>2023</x:v>
      </x:c>
      <x:c r="D178" s="25" t="str">
        <x:v>Erich Prem</x:v>
      </x:c>
      <x:c r="E178" s="25" t="str">
        <x:v>AI and Ethics</x:v>
      </x:c>
      <x:c r="F178" s="25" t="str">
        <x:v>10.1007/s43681-023-00258-9</x:v>
      </x:c>
      <x:c r="G178" s="25" t="str">
        <x:v>https://doi.org/10.1007/s43681-023-00258-9</x:v>
      </x:c>
      <x:c r="H178" s="25" t="str">
        <x:v>OpenAlex</x:v>
      </x:c>
      <x:c r="I178" s="25" t="str">
        <x:v>C7_creative_agency</x:v>
      </x:c>
      <x:c r="J178" s="25" t="str">
        <x:v>Exclude</x:v>
      </x:c>
      <x:c r="K178" s="25" t="str">
        <x:v>Exclude: topic mismatch</x:v>
      </x:c>
    </x:row>
    <x:row r="179">
      <x:c r="A179" s="20" t="str">
        <x:v>R0175</x:v>
      </x:c>
      <x:c r="B179" s="25" t="str">
        <x:v>Beyond Mouse and Keyboard: Expanding Design Considerations for Information Visualization Interactions</x:v>
      </x:c>
      <x:c r="C179" s="25" t="n">
        <x:v>2012</x:v>
      </x:c>
      <x:c r="D179" s="25" t="str">
        <x:v>Bongshin Lee; Petra Isenberg; Nathalie Henry Riche; Sheelagh Carpendale</x:v>
      </x:c>
      <x:c r="E179" s="25" t="str">
        <x:v>IEEE Transactions on Visualization and Computer Graphics</x:v>
      </x:c>
      <x:c r="F179" s="25" t="str">
        <x:v>10.1109/tvcg.2012.204</x:v>
      </x:c>
      <x:c r="G179" s="25" t="str">
        <x:v>https://doi.org/10.1109/tvcg.2012.204</x:v>
      </x:c>
      <x:c r="H179" s="25" t="str">
        <x:v>OpenAlex</x:v>
      </x:c>
      <x:c r="I179" s="25" t="str">
        <x:v>C10_affordance_embodied</x:v>
      </x:c>
      <x:c r="J179" s="25" t="str">
        <x:v>Exclude</x:v>
      </x:c>
      <x:c r="K179" s="25" t="str">
        <x:v>Exclude: topic mismatch</x:v>
      </x:c>
    </x:row>
    <x:row r="180">
      <x:c r="A180" s="20" t="str">
        <x:v>R0176</x:v>
      </x:c>
      <x:c r="B180" s="25" t="str">
        <x:v>Survey on Explainable AI: From Approaches, Limitations and Applications Aspects</x:v>
      </x:c>
      <x:c r="C180" s="25" t="n">
        <x:v>2023</x:v>
      </x:c>
      <x:c r="D180" s="25" t="str">
        <x:v>Wenli Yang; Yu-Chen Wei; Hanyu Wei; Yanyu Chen; Guan Huang; Xiang Li; Renjie Li; Naimeng Yao; Xinyi Wang; Xiaotong Gu; Muhammad Bilal Amin; Byeong Ho Kang</x:v>
      </x:c>
      <x:c r="E180" s="25" t="str">
        <x:v>Human-Centric Intelligent Systems</x:v>
      </x:c>
      <x:c r="F180" s="25" t="str">
        <x:v>10.1007/s44230-023-00038-y</x:v>
      </x:c>
      <x:c r="G180" s="25" t="str">
        <x:v>https://doi.org/10.1007/s44230-023-00038-y</x:v>
      </x:c>
      <x:c r="H180" s="25" t="str">
        <x:v>OpenAlex</x:v>
      </x:c>
      <x:c r="I180" s="25" t="str">
        <x:v>C7_creative_agency</x:v>
      </x:c>
      <x:c r="J180" s="25" t="str">
        <x:v>Exclude</x:v>
      </x:c>
      <x:c r="K180" s="25" t="str">
        <x:v>Exclude: adjacent/redundant or insufficiently theory-generative for DC1</x:v>
      </x:c>
    </x:row>
    <x:row r="181">
      <x:c r="A181" s="20" t="str">
        <x:v>R0177</x:v>
      </x:c>
      <x:c r="B181" s="25" t="str">
        <x:v>A review of large language models and autonomous agents in chemistry</x:v>
      </x:c>
      <x:c r="C181" s="25" t="n">
        <x:v>2024</x:v>
      </x:c>
      <x:c r="D181" s="25" t="str">
        <x:v>Mayk Caldas Ramos; Christopher J. Collison; Andrew Dickson White</x:v>
      </x:c>
      <x:c r="E181" s="25" t="str">
        <x:v>Chemical Science</x:v>
      </x:c>
      <x:c r="F181" s="25" t="str">
        <x:v>10.1039/d4sc03921a</x:v>
      </x:c>
      <x:c r="G181" s="25" t="str">
        <x:v>https://doi.org/10.1039/d4sc03921a</x:v>
      </x:c>
      <x:c r="H181" s="25" t="str">
        <x:v>OpenAlex</x:v>
      </x:c>
      <x:c r="I181" s="25" t="str">
        <x:v>C5_agent_memory</x:v>
      </x:c>
      <x:c r="J181" s="25" t="str">
        <x:v>Exclude</x:v>
      </x:c>
      <x:c r="K181" s="25" t="str">
        <x:v>Exclude: adjacent/redundant or insufficiently theory-generative for DC1</x:v>
      </x:c>
    </x:row>
    <x:row r="182">
      <x:c r="A182" s="20" t="str">
        <x:v>R0178</x:v>
      </x:c>
      <x:c r="B182" s="25" t="str">
        <x:v>Language Diversity and Social Action</x:v>
      </x:c>
      <x:c r="C182" s="25" t="n">
        <x:v>2012</x:v>
      </x:c>
      <x:c r="D182" s="25" t="str">
        <x:v>Jack Sidnell; N. J. Enfield</x:v>
      </x:c>
      <x:c r="E182" s="25" t="str">
        <x:v>Current Anthropology</x:v>
      </x:c>
      <x:c r="F182" s="25" t="str">
        <x:v>10.1086/665697</x:v>
      </x:c>
      <x:c r="G182" s="25" t="str">
        <x:v>https://doi.org/10.1086/665697</x:v>
      </x:c>
      <x:c r="H182" s="25" t="str">
        <x:v>OpenAlex</x:v>
      </x:c>
      <x:c r="I182" s="25" t="str">
        <x:v>C12_common_ground_repair</x:v>
      </x:c>
      <x:c r="J182" s="25" t="str">
        <x:v>Exclude</x:v>
      </x:c>
      <x:c r="K182" s="25" t="str">
        <x:v>Exclude: topic mismatch</x:v>
      </x:c>
    </x:row>
    <x:row r="183">
      <x:c r="A183" s="20" t="str">
        <x:v>R0179</x:v>
      </x:c>
      <x:c r="B183" s="25" t="str">
        <x:v>The Berlin Brain-Computer Interface: Progress Beyond Communication and Control</x:v>
      </x:c>
      <x:c r="C183" s="25" t="n">
        <x:v>2016</x:v>
      </x:c>
      <x:c r="D183" s="25" t="str">
        <x:v>Benjamin Blankertz; Laura Acqualagna; Sven Dähne; Stefan Haufe; Matthias Schultze-Kraft; Irene Sturm; Marija Ušćumlić; Markus Wenzel; Gabriel Curio; Klaus‐Robert Müller</x:v>
      </x:c>
      <x:c r="E183" s="25" t="str">
        <x:v>Frontiers in Neuroscience</x:v>
      </x:c>
      <x:c r="F183" s="25" t="str">
        <x:v>10.3389/fnins.2016.00530</x:v>
      </x:c>
      <x:c r="G183" s="25" t="str">
        <x:v>https://doi.org/10.3389/fnins.2016.00530</x:v>
      </x:c>
      <x:c r="H183" s="25" t="str">
        <x:v>OpenAlex</x:v>
      </x:c>
      <x:c r="I183" s="25" t="str">
        <x:v>C2_interaction_signals</x:v>
      </x:c>
      <x:c r="J183" s="25" t="str">
        <x:v>Exclude</x:v>
      </x:c>
      <x:c r="K183" s="25" t="str">
        <x:v>Exclude: topic mismatch</x:v>
      </x:c>
    </x:row>
    <x:row r="184">
      <x:c r="A184" s="20" t="str">
        <x:v>R0180</x:v>
      </x:c>
      <x:c r="B184" s="25" t="str">
        <x:v>Investigating Explainability of Generative AI for Code through Scenario-based Design</x:v>
      </x:c>
      <x:c r="C184" s="25" t="n">
        <x:v>2022</x:v>
      </x:c>
      <x:c r="D184" s="25" t="str">
        <x:v>Jiao Sun; Q. Vera Liao; Michael Müller; Mayank Agarwal; Stephanie Houde; Kartik Talamadupula; Justin D. Weisz</x:v>
      </x:c>
      <x:c r="E184" s="25" t="str"/>
      <x:c r="F184" s="25" t="str">
        <x:v>10.1145/3490099.3511119</x:v>
      </x:c>
      <x:c r="G184" s="25" t="str">
        <x:v>https://doi.org/10.1145/3490099.3511119</x:v>
      </x:c>
      <x:c r="H184" s="25" t="str">
        <x:v>OpenAlex</x:v>
      </x:c>
      <x:c r="I184" s="25" t="str">
        <x:v>C3_mixed_initiative_cocreation</x:v>
      </x:c>
      <x:c r="J184" s="25" t="str">
        <x:v>Exclude</x:v>
      </x:c>
      <x:c r="K184" s="25" t="str">
        <x:v>Exclude: topic mismatch</x:v>
      </x:c>
    </x:row>
    <x:row r="185">
      <x:c r="A185" s="20" t="str">
        <x:v>R0181</x:v>
      </x:c>
      <x:c r="B185" s="25" t="str">
        <x:v>Large language models empowered agent-based modeling and simulation: a survey and perspectives</x:v>
      </x:c>
      <x:c r="C185" s="25" t="n">
        <x:v>2024</x:v>
      </x:c>
      <x:c r="D185" s="25" t="str">
        <x:v>Chen Gao; Xiaochong Lan; Nian Li; Yuan Yuan; Jingtao Ding; Zhilun Zhou; Fengli Xu; Yong Li</x:v>
      </x:c>
      <x:c r="E185" s="25" t="str">
        <x:v>Humanities and Social Sciences Communications</x:v>
      </x:c>
      <x:c r="F185" s="25" t="str">
        <x:v>10.1057/s41599-024-03611-3</x:v>
      </x:c>
      <x:c r="G185" s="25" t="str">
        <x:v>https://doi.org/10.1057/s41599-024-03611-3</x:v>
      </x:c>
      <x:c r="H185" s="25" t="str">
        <x:v>OpenAlex</x:v>
      </x:c>
      <x:c r="I185" s="25" t="str">
        <x:v>C6_frontend_GUI_intent</x:v>
      </x:c>
      <x:c r="J185" s="25" t="str">
        <x:v>Exclude</x:v>
      </x:c>
      <x:c r="K185" s="25" t="str">
        <x:v>Exclude: adjacent/redundant or insufficiently theory-generative for DC1</x:v>
      </x:c>
    </x:row>
    <x:row r="186">
      <x:c r="A186" s="20" t="str">
        <x:v>R0182</x:v>
      </x:c>
      <x:c r="B186" s="25" t="str">
        <x:v>MM-LLMs: Recent Advances in MultiModal Large Language Models</x:v>
      </x:c>
      <x:c r="C186" s="25" t="n">
        <x:v>2024</x:v>
      </x:c>
      <x:c r="D186" s="25" t="str">
        <x:v>Duzhen Zhang; Yahan Yu; Jiahua Dong; Chenxing Li; Dan Su; Chenhui Chu; Dong Yu</x:v>
      </x:c>
      <x:c r="E186" s="25" t="str"/>
      <x:c r="F186" s="25" t="str">
        <x:v>10.18653/v1/2024.findings-acl.738</x:v>
      </x:c>
      <x:c r="G186" s="25" t="str">
        <x:v>https://doi.org/10.18653/v1/2024.findings-acl.738</x:v>
      </x:c>
      <x:c r="H186" s="25" t="str">
        <x:v>OpenAlex</x:v>
      </x:c>
      <x:c r="I186" s="25" t="str">
        <x:v>C8_AI_3D_authoring</x:v>
      </x:c>
      <x:c r="J186" s="25" t="str">
        <x:v>Exclude</x:v>
      </x:c>
      <x:c r="K186" s="25" t="str">
        <x:v>Exclude: topic mismatch</x:v>
      </x:c>
    </x:row>
    <x:row r="187">
      <x:c r="A187" s="20" t="str">
        <x:v>R0183</x:v>
      </x:c>
      <x:c r="B187" s="25" t="str">
        <x:v>Usability Studies on Mobile User Interface Design Patterns: A Systematic Literature Review</x:v>
      </x:c>
      <x:c r="C187" s="25" t="n">
        <x:v>2017</x:v>
      </x:c>
      <x:c r="D187" s="25" t="str">
        <x:v>Lumpapun Punchoojit; Nuttanont Hongwarittorrn</x:v>
      </x:c>
      <x:c r="E187" s="25" t="str">
        <x:v>Advances in Human-Computer Interaction</x:v>
      </x:c>
      <x:c r="F187" s="25" t="str">
        <x:v>10.1155/2017/6787504</x:v>
      </x:c>
      <x:c r="G187" s="25" t="str">
        <x:v>https://doi.org/10.1155/2017/6787504</x:v>
      </x:c>
      <x:c r="H187" s="25" t="str">
        <x:v>OpenAlex</x:v>
      </x:c>
      <x:c r="I187" s="25" t="str">
        <x:v>C1_3D_mental_models</x:v>
      </x:c>
      <x:c r="J187" s="25" t="str">
        <x:v>Exclude</x:v>
      </x:c>
      <x:c r="K187" s="25" t="str">
        <x:v>Exclude: adjacent/redundant or insufficiently theory-generative for DC1</x:v>
      </x:c>
    </x:row>
    <x:row r="188">
      <x:c r="A188" s="20" t="str">
        <x:v>R0184</x:v>
      </x:c>
      <x:c r="B188" s="25" t="str">
        <x:v>Computational Grounded Cognition: a new alliance between grounded cognition and computational modeling</x:v>
      </x:c>
      <x:c r="C188" s="25" t="n">
        <x:v>2013</x:v>
      </x:c>
      <x:c r="D188" s="25" t="str">
        <x:v>Giovanni Pezzulo; Lawrence W. Barsalou; Angelo Cangelosi; Martin H. Fischer; Ken McRae; Michael J. Spivey</x:v>
      </x:c>
      <x:c r="E188" s="25" t="str">
        <x:v>Frontiers in Psychology</x:v>
      </x:c>
      <x:c r="F188" s="25" t="str">
        <x:v>10.3389/fpsyg.2012.00612</x:v>
      </x:c>
      <x:c r="G188" s="25" t="str">
        <x:v>https://doi.org/10.3389/fpsyg.2012.00612</x:v>
      </x:c>
      <x:c r="H188" s="25" t="str">
        <x:v>OpenAlex</x:v>
      </x:c>
      <x:c r="I188" s="25" t="str">
        <x:v>C10_affordance_embodied</x:v>
      </x:c>
      <x:c r="J188" s="25" t="str">
        <x:v>Exclude</x:v>
      </x:c>
      <x:c r="K188" s="25" t="str">
        <x:v>Exclude: topic mismatch</x:v>
      </x:c>
    </x:row>
    <x:row r="189">
      <x:c r="A189" s="20" t="str">
        <x:v>R0185</x:v>
      </x:c>
      <x:c r="B189" s="25" t="str">
        <x:v>A review on vision techniques applied to Human Behaviour Analysis for Ambient-Assisted Living</x:v>
      </x:c>
      <x:c r="C189" s="25" t="n">
        <x:v>2012</x:v>
      </x:c>
      <x:c r="D189" s="25" t="str">
        <x:v>Alexandros André Chaaraoui; Pau Climent-Pérez; Francisco Flórez‐Revuelta</x:v>
      </x:c>
      <x:c r="E189" s="25" t="str">
        <x:v>Expert Systems with Applications</x:v>
      </x:c>
      <x:c r="F189" s="25" t="str">
        <x:v>10.1016/j.eswa.2012.03.005</x:v>
      </x:c>
      <x:c r="G189" s="25" t="str">
        <x:v>https://doi.org/10.1016/j.eswa.2012.03.005</x:v>
      </x:c>
      <x:c r="H189" s="25" t="str">
        <x:v>OpenAlex</x:v>
      </x:c>
      <x:c r="I189" s="25" t="str">
        <x:v>C8_AI_3D_authoring</x:v>
      </x:c>
      <x:c r="J189" s="25" t="str">
        <x:v>Exclude</x:v>
      </x:c>
      <x:c r="K189" s="25" t="str">
        <x:v>Exclude: topic mismatch</x:v>
      </x:c>
    </x:row>
    <x:row r="190">
      <x:c r="A190" s="20" t="str">
        <x:v>R0186</x:v>
      </x:c>
      <x:c r="B190" s="25" t="str">
        <x:v>Artificial intelligence and human behavioral development: A perspective on new skills and competences acquisition for the educational context</x:v>
      </x:c>
      <x:c r="C190" s="25" t="n">
        <x:v>2023</x:v>
      </x:c>
      <x:c r="D190" s="25" t="str">
        <x:v>Martina Benvenuti; Angelo Cangelosi; Armin Weinberger; Elvis Mazzoni; Mariagrazia Benassi; Mattia Barbaresi; Matteo Orsoni</x:v>
      </x:c>
      <x:c r="E190" s="25" t="str">
        <x:v>Computers in Human Behavior</x:v>
      </x:c>
      <x:c r="F190" s="25" t="str">
        <x:v>10.1016/j.chb.2023.107903</x:v>
      </x:c>
      <x:c r="G190" s="25" t="str">
        <x:v>https://doi.org/10.1016/j.chb.2023.107903</x:v>
      </x:c>
      <x:c r="H190" s="25" t="str">
        <x:v>OpenAlex</x:v>
      </x:c>
      <x:c r="I190" s="25" t="str">
        <x:v>C3_mixed_initiative_cocreation</x:v>
      </x:c>
      <x:c r="J190" s="25" t="str">
        <x:v>Exclude</x:v>
      </x:c>
      <x:c r="K190" s="25" t="str">
        <x:v>Exclude: adjacent/redundant or insufficiently theory-generative for DC1</x:v>
      </x:c>
    </x:row>
    <x:row r="191">
      <x:c r="A191" s="20" t="str">
        <x:v>R0187</x:v>
      </x:c>
      <x:c r="B191" s="25" t="str">
        <x:v>Virtual Replicas for Remote Assistance in Virtual and Augmented Reality</x:v>
      </x:c>
      <x:c r="C191" s="25" t="n">
        <x:v>2015</x:v>
      </x:c>
      <x:c r="D191" s="25" t="str">
        <x:v>Ohan Oda; Carmine Elvezio; Mengu Sukan; Steven Feiner; Barbara Tversky</x:v>
      </x:c>
      <x:c r="E191" s="25" t="str"/>
      <x:c r="F191" s="25" t="str">
        <x:v>10.1145/2807442.2807497</x:v>
      </x:c>
      <x:c r="G191" s="25" t="str">
        <x:v>https://doi.org/10.1145/2807442.2807497</x:v>
      </x:c>
      <x:c r="H191" s="25" t="str">
        <x:v>OpenAlex</x:v>
      </x:c>
      <x:c r="I191" s="25" t="str">
        <x:v>C1_3D_mental_models</x:v>
      </x:c>
      <x:c r="J191" s="25" t="str">
        <x:v>Exclude</x:v>
      </x:c>
      <x:c r="K191" s="25" t="str">
        <x:v>Exclude: adjacent/redundant or insufficiently theory-generative for DC1</x:v>
      </x:c>
    </x:row>
    <x:row r="192">
      <x:c r="A192" s="20" t="str">
        <x:v>R0188</x:v>
      </x:c>
      <x:c r="B192" s="25" t="str">
        <x:v>A State-of-the-Art Review on Image Synthesis With Generative Adversarial Networks</x:v>
      </x:c>
      <x:c r="C192" s="25" t="n">
        <x:v>2020</x:v>
      </x:c>
      <x:c r="D192" s="25" t="str">
        <x:v>Lei Wang; Wei Chen; Wen‐Jia Yang; Fangming Bi; F. Richard Yu</x:v>
      </x:c>
      <x:c r="E192" s="25" t="str">
        <x:v>IEEE Access</x:v>
      </x:c>
      <x:c r="F192" s="25" t="str">
        <x:v>10.1109/access.2020.2982224</x:v>
      </x:c>
      <x:c r="G192" s="25" t="str">
        <x:v>https://doi.org/10.1109/access.2020.2982224</x:v>
      </x:c>
      <x:c r="H192" s="25" t="str">
        <x:v>OpenAlex</x:v>
      </x:c>
      <x:c r="I192" s="25" t="str">
        <x:v>C8_AI_3D_authoring</x:v>
      </x:c>
      <x:c r="J192" s="25" t="str">
        <x:v>Exclude</x:v>
      </x:c>
      <x:c r="K192" s="25" t="str">
        <x:v>Exclude: adjacent/redundant or insufficiently theory-generative for DC1</x:v>
      </x:c>
    </x:row>
    <x:row r="193">
      <x:c r="A193" s="20" t="str">
        <x:v>R0189</x:v>
      </x:c>
      <x:c r="B193" s="25" t="str">
        <x:v>Eroding the Boundaries of Cognition: Implications of Embodiment&lt;sup&gt;1&lt;/sup&gt;</x:v>
      </x:c>
      <x:c r="C193" s="25" t="n">
        <x:v>2012</x:v>
      </x:c>
      <x:c r="D193" s="25" t="str">
        <x:v>Michael L. Anderson; Michael J. Richardson; Anthony Chemero</x:v>
      </x:c>
      <x:c r="E193" s="25" t="str">
        <x:v>Topics in Cognitive Science</x:v>
      </x:c>
      <x:c r="F193" s="25" t="str">
        <x:v>10.1111/j.1756-8765.2012.01211.x</x:v>
      </x:c>
      <x:c r="G193" s="25" t="str">
        <x:v>https://doi.org/10.1111/j.1756-8765.2012.01211.x</x:v>
      </x:c>
      <x:c r="H193" s="25" t="str">
        <x:v>OpenAlex</x:v>
      </x:c>
      <x:c r="I193" s="25" t="str">
        <x:v>C10_affordance_embodied</x:v>
      </x:c>
      <x:c r="J193" s="25" t="str">
        <x:v>Exclude</x:v>
      </x:c>
      <x:c r="K193" s="25" t="str">
        <x:v>Exclude: topic mismatch</x:v>
      </x:c>
    </x:row>
    <x:row r="194">
      <x:c r="A194" s="20" t="str">
        <x:v>R0190</x:v>
      </x:c>
      <x:c r="B194" s="25" t="str">
        <x:v>Speeding up to keep up: exploring the use of AI in the research process</x:v>
      </x:c>
      <x:c r="C194" s="25" t="n">
        <x:v>2021</x:v>
      </x:c>
      <x:c r="D194" s="25" t="str">
        <x:v>Jennifer Chubb; Peter Cowling; Darren Reed</x:v>
      </x:c>
      <x:c r="E194" s="25" t="str">
        <x:v>AI &amp; Society</x:v>
      </x:c>
      <x:c r="F194" s="25" t="str">
        <x:v>10.1007/s00146-021-01259-0</x:v>
      </x:c>
      <x:c r="G194" s="25" t="str">
        <x:v>https://doi.org/10.1007/s00146-021-01259-0</x:v>
      </x:c>
      <x:c r="H194" s="25" t="str">
        <x:v>OpenAlex</x:v>
      </x:c>
      <x:c r="I194" s="25" t="str">
        <x:v>C3_mixed_initiative_cocreation</x:v>
      </x:c>
      <x:c r="J194" s="25" t="str">
        <x:v>Exclude</x:v>
      </x:c>
      <x:c r="K194" s="25" t="str">
        <x:v>Exclude: adjacent/redundant or insufficiently theory-generative for DC1</x:v>
      </x:c>
    </x:row>
    <x:row r="195">
      <x:c r="A195" s="20" t="str">
        <x:v>R0191</x:v>
      </x:c>
      <x:c r="B195" s="25" t="str">
        <x:v>Two-handed virtual manipulation</x:v>
      </x:c>
      <x:c r="C195" s="25" t="n">
        <x:v>1998</x:v>
      </x:c>
      <x:c r="D195" s="25" t="str">
        <x:v>Ken Hinckley; Randy Pausch; Dennis R. Proffítt; Neal F. Kassell</x:v>
      </x:c>
      <x:c r="E195" s="25" t="str">
        <x:v>ACM Transactions on Computer-Human Interaction</x:v>
      </x:c>
      <x:c r="F195" s="25" t="str">
        <x:v>10.1145/292834.292849</x:v>
      </x:c>
      <x:c r="G195" s="25" t="str">
        <x:v>https://doi.org/10.1145/292834.292849</x:v>
      </x:c>
      <x:c r="H195" s="25" t="str">
        <x:v>OpenAlex</x:v>
      </x:c>
      <x:c r="I195" s="25" t="str">
        <x:v>C10_affordance_embodied</x:v>
      </x:c>
      <x:c r="J195" s="25" t="str">
        <x:v>Exclude</x:v>
      </x:c>
      <x:c r="K195" s="25" t="str">
        <x:v>Exclude: adjacent/redundant or insufficiently theory-generative for DC1</x:v>
      </x:c>
    </x:row>
    <x:row r="196">
      <x:c r="A196" s="20" t="str">
        <x:v>R0192</x:v>
      </x:c>
      <x:c r="B196" s="25" t="str">
        <x:v>Artificial intelligence (AI) learning tools in K-12 education: A scoping review</x:v>
      </x:c>
      <x:c r="C196" s="25" t="n">
        <x:v>2024</x:v>
      </x:c>
      <x:c r="D196" s="25" t="str">
        <x:v>Iris Heung Yue Yim; Jiahong Su</x:v>
      </x:c>
      <x:c r="E196" s="25" t="str">
        <x:v>Journal of Computers in Education</x:v>
      </x:c>
      <x:c r="F196" s="25" t="str">
        <x:v>10.1007/s40692-023-00304-9</x:v>
      </x:c>
      <x:c r="G196" s="25" t="str">
        <x:v>https://doi.org/10.1007/s40692-023-00304-9</x:v>
      </x:c>
      <x:c r="H196" s="25" t="str">
        <x:v>OpenAlex</x:v>
      </x:c>
      <x:c r="I196" s="25" t="str">
        <x:v>C3_mixed_initiative_cocreation</x:v>
      </x:c>
      <x:c r="J196" s="25" t="str">
        <x:v>Exclude</x:v>
      </x:c>
      <x:c r="K196" s="25" t="str">
        <x:v>Exclude: adjacent/redundant or insufficiently theory-generative for DC1</x:v>
      </x:c>
    </x:row>
    <x:row r="197">
      <x:c r="A197" s="20" t="str">
        <x:v>R0193</x:v>
      </x:c>
      <x:c r="B197" s="25" t="str">
        <x:v>Extended TAM based acceptance of AI-Powered ChatGPT for supporting metacognitive self-regulated learning in education: A mixed-methods study</x:v>
      </x:c>
      <x:c r="C197" s="25" t="n">
        <x:v>2024</x:v>
      </x:c>
      <x:c r="D197" s="25" t="str">
        <x:v>Nisar Ahmed Dahri; Noraffandy Yahaya; Waleed Mugahed Al-Rahmi; Ahmed Aldraiweesh; Uthman Alturki; Sultan Almutairy; Anna Shutaleva; Rahim Bux Soomro</x:v>
      </x:c>
      <x:c r="E197" s="25" t="str">
        <x:v>Heliyon</x:v>
      </x:c>
      <x:c r="F197" s="25" t="str">
        <x:v>10.1016/j.heliyon.2024.e29317</x:v>
      </x:c>
      <x:c r="G197" s="25" t="str">
        <x:v>https://doi.org/10.1016/j.heliyon.2024.e29317</x:v>
      </x:c>
      <x:c r="H197" s="25" t="str">
        <x:v>OpenAlex</x:v>
      </x:c>
      <x:c r="I197" s="25" t="str">
        <x:v>C3_mixed_initiative_cocreation</x:v>
      </x:c>
      <x:c r="J197" s="25" t="str">
        <x:v>Exclude</x:v>
      </x:c>
      <x:c r="K197" s="25" t="str">
        <x:v>Exclude: adjacent/redundant or insufficiently theory-generative for DC1</x:v>
      </x:c>
    </x:row>
    <x:row r="198">
      <x:c r="A198" s="20" t="str">
        <x:v>R0194</x:v>
      </x:c>
      <x:c r="B198" s="25" t="str">
        <x:v>Data Cards: Purposeful and Transparent Dataset Documentation for Responsible AI</x:v>
      </x:c>
      <x:c r="C198" s="25" t="n">
        <x:v>2022</x:v>
      </x:c>
      <x:c r="D198" s="25" t="str">
        <x:v>Mahima Pushkarna; Andrew Zaldivar; Oddur Kjartansson</x:v>
      </x:c>
      <x:c r="E198" s="25" t="str">
        <x:v>2022 ACM Conference on Fairness, Accountability, and Transparency</x:v>
      </x:c>
      <x:c r="F198" s="25" t="str">
        <x:v>10.1145/3531146.3533231</x:v>
      </x:c>
      <x:c r="G198" s="25" t="str">
        <x:v>https://doi.org/10.1145/3531146.3533231</x:v>
      </x:c>
      <x:c r="H198" s="25" t="str">
        <x:v>OpenAlex</x:v>
      </x:c>
      <x:c r="I198" s="25" t="str">
        <x:v>C14_agency_ownership</x:v>
      </x:c>
      <x:c r="J198" s="25" t="str">
        <x:v>Exclude</x:v>
      </x:c>
      <x:c r="K198" s="25" t="str">
        <x:v>Exclude: adjacent/redundant or insufficiently theory-generative for DC1</x:v>
      </x:c>
    </x:row>
    <x:row r="199">
      <x:c r="A199" s="20" t="str">
        <x:v>R0195</x:v>
      </x:c>
      <x:c r="B199" s="25" t="str">
        <x:v>Embodied artificial agents for understanding human social cognition</x:v>
      </x:c>
      <x:c r="C199" s="25" t="n">
        <x:v>2016</x:v>
      </x:c>
      <x:c r="D199" s="25" t="str">
        <x:v>Agnieszka Wykowska; Thierry Chaminade; Gordon Cheng</x:v>
      </x:c>
      <x:c r="E199" s="25" t="str">
        <x:v>Philosophical Transactions of the Royal Society B Biological Sciences</x:v>
      </x:c>
      <x:c r="F199" s="25" t="str">
        <x:v>10.1098/rstb.2015.0375</x:v>
      </x:c>
      <x:c r="G199" s="25" t="str">
        <x:v>https://doi.org/10.1098/rstb.2015.0375</x:v>
      </x:c>
      <x:c r="H199" s="25" t="str">
        <x:v>OpenAlex</x:v>
      </x:c>
      <x:c r="I199" s="25" t="str">
        <x:v>C10_affordance_embodied</x:v>
      </x:c>
      <x:c r="J199" s="25" t="str">
        <x:v>Exclude</x:v>
      </x:c>
      <x:c r="K199" s="25" t="str">
        <x:v>Exclude: adjacent/redundant or insufficiently theory-generative for DC1</x:v>
      </x:c>
    </x:row>
    <x:row r="200">
      <x:c r="A200" s="20" t="str">
        <x:v>R0196</x:v>
      </x:c>
      <x:c r="B200" s="25" t="str">
        <x:v>Embodied Cognition and New Product Design: Changing Product Form to Influence Brand Categorization&lt;sup&gt;*&lt;/sup&gt;</x:v>
      </x:c>
      <x:c r="C200" s="25" t="n">
        <x:v>2005</x:v>
      </x:c>
      <x:c r="D200" s="25" t="str">
        <x:v>Robert Kreuzbauer; Alan J. Malter</x:v>
      </x:c>
      <x:c r="E200" s="25" t="str">
        <x:v>Journal of Product Innovation Management</x:v>
      </x:c>
      <x:c r="F200" s="25" t="str">
        <x:v>10.1111/j.0737-6782.2005.00112.x</x:v>
      </x:c>
      <x:c r="G200" s="25" t="str">
        <x:v>https://doi.org/10.1111/j.0737-6782.2005.00112.x</x:v>
      </x:c>
      <x:c r="H200" s="25" t="str">
        <x:v>OpenAlex</x:v>
      </x:c>
      <x:c r="I200" s="25" t="str">
        <x:v>C10_affordance_embodied</x:v>
      </x:c>
      <x:c r="J200" s="25" t="str">
        <x:v>Exclude</x:v>
      </x:c>
      <x:c r="K200" s="25" t="str">
        <x:v>Exclude: adjacent/redundant or insufficiently theory-generative for DC1</x:v>
      </x:c>
    </x:row>
    <x:row r="201">
      <x:c r="A201" s="20" t="str">
        <x:v>R0197</x:v>
      </x:c>
      <x:c r="B201" s="25" t="str">
        <x:v>Artificial intelligence implementation in manufacturing SMEs: A resource orchestration approach</x:v>
      </x:c>
      <x:c r="C201" s="25" t="n">
        <x:v>2024</x:v>
      </x:c>
      <x:c r="D201" s="25" t="str">
        <x:v>Einav Peretz-Andersson; Sabrina Tabares; Patrick Mikalef; Vinit Parida</x:v>
      </x:c>
      <x:c r="E201" s="25" t="str">
        <x:v>International Journal of Information Management</x:v>
      </x:c>
      <x:c r="F201" s="25" t="str">
        <x:v>10.1016/j.ijinfomgt.2024.102781</x:v>
      </x:c>
      <x:c r="G201" s="25" t="str">
        <x:v>https://doi.org/10.1016/j.ijinfomgt.2024.102781</x:v>
      </x:c>
      <x:c r="H201" s="25" t="str">
        <x:v>OpenAlex</x:v>
      </x:c>
      <x:c r="I201" s="25" t="str">
        <x:v>C15_proactive_interruption</x:v>
      </x:c>
      <x:c r="J201" s="25" t="str">
        <x:v>Exclude</x:v>
      </x:c>
      <x:c r="K201" s="25" t="str">
        <x:v>Exclude: topic mismatch</x:v>
      </x:c>
    </x:row>
    <x:row r="202">
      <x:c r="A202" s="20" t="str">
        <x:v>R0198</x:v>
      </x:c>
      <x:c r="B202" s="25" t="str">
        <x:v>Theories and computational models of affordance and mirror systems: An integrative review</x:v>
      </x:c>
      <x:c r="C202" s="25" t="n">
        <x:v>2013</x:v>
      </x:c>
      <x:c r="D202" s="25" t="str">
        <x:v>Serge Thill; Daniele Caligiore; Anna M. Borghi; Tom Ziemke; Gianluca Baldassarre</x:v>
      </x:c>
      <x:c r="E202" s="25" t="str">
        <x:v>Neuroscience &amp; Biobehavioral Reviews</x:v>
      </x:c>
      <x:c r="F202" s="25" t="str">
        <x:v>10.1016/j.neubiorev.2013.01.012</x:v>
      </x:c>
      <x:c r="G202" s="25" t="str">
        <x:v>https://doi.org/10.1016/j.neubiorev.2013.01.012</x:v>
      </x:c>
      <x:c r="H202" s="25" t="str">
        <x:v>OpenAlex</x:v>
      </x:c>
      <x:c r="I202" s="25" t="str">
        <x:v>C10_affordance_embodied</x:v>
      </x:c>
      <x:c r="J202" s="25" t="str">
        <x:v>Exclude</x:v>
      </x:c>
      <x:c r="K202" s="25" t="str">
        <x:v>Exclude: topic mismatch</x:v>
      </x:c>
    </x:row>
    <x:row r="203">
      <x:c r="A203" s="20" t="str">
        <x:v>R0199</x:v>
      </x:c>
      <x:c r="B203" s="25" t="str">
        <x:v>Interoceptive inference: From computational neuroscience to clinic</x:v>
      </x:c>
      <x:c r="C203" s="25" t="n">
        <x:v>2018</x:v>
      </x:c>
      <x:c r="D203" s="25" t="str">
        <x:v>Andrew P. Owens; Micah Allen; Sasha Ondobaka; Karl Friston</x:v>
      </x:c>
      <x:c r="E203" s="25" t="str">
        <x:v>Neuroscience &amp; Biobehavioral Reviews</x:v>
      </x:c>
      <x:c r="F203" s="25" t="str">
        <x:v>10.1016/j.neubiorev.2018.04.017</x:v>
      </x:c>
      <x:c r="G203" s="25" t="str">
        <x:v>https://doi.org/10.1016/j.neubiorev.2018.04.017</x:v>
      </x:c>
      <x:c r="H203" s="25" t="str">
        <x:v>OpenAlex</x:v>
      </x:c>
      <x:c r="I203" s="25" t="str">
        <x:v>C4_uncertainty_shared_autonomy</x:v>
      </x:c>
      <x:c r="J203" s="25" t="str">
        <x:v>Exclude</x:v>
      </x:c>
      <x:c r="K203" s="25" t="str">
        <x:v>Exclude: topic mismatch</x:v>
      </x:c>
    </x:row>
    <x:row r="204">
      <x:c r="A204" s="20" t="str">
        <x:v>R0200</x:v>
      </x:c>
      <x:c r="B204" s="25" t="str">
        <x:v>The Future of Embodied Design for Mathematics Teaching and Learning</x:v>
      </x:c>
      <x:c r="C204" s="25" t="n">
        <x:v>2020</x:v>
      </x:c>
      <x:c r="D204" s="25" t="str">
        <x:v>Dor Abrahamson; Mitchell J. Nathan; Caroline Williams; Candace Walkington; Erin Ottmar; Hortensia Soto; Martha W. Alibali</x:v>
      </x:c>
      <x:c r="E204" s="25" t="str">
        <x:v>Frontiers in Education</x:v>
      </x:c>
      <x:c r="F204" s="25" t="str">
        <x:v>10.3389/feduc.2020.00147</x:v>
      </x:c>
      <x:c r="G204" s="25" t="str">
        <x:v>https://doi.org/10.3389/feduc.2020.00147</x:v>
      </x:c>
      <x:c r="H204" s="25" t="str">
        <x:v>OpenAlex</x:v>
      </x:c>
      <x:c r="I204" s="25" t="str">
        <x:v>C10_affordance_embodied</x:v>
      </x:c>
      <x:c r="J204" s="25" t="str">
        <x:v>Exclude</x:v>
      </x:c>
      <x:c r="K204" s="25" t="str">
        <x:v>Exclude: topic mismatch</x:v>
      </x:c>
    </x:row>
    <x:row r="205">
      <x:c r="A205" s="20" t="str">
        <x:v>R0201</x:v>
      </x:c>
      <x:c r="B205" s="25" t="str">
        <x:v>Are Older Adults Less Embodied? A Review of Age Effects through the Lens of Embodied Cognition</x:v>
      </x:c>
      <x:c r="C205" s="25" t="n">
        <x:v>2017</x:v>
      </x:c>
      <x:c r="D205" s="25" t="str">
        <x:v>Matthew C. Costello; Emily K. Bloesch</x:v>
      </x:c>
      <x:c r="E205" s="25" t="str">
        <x:v>Frontiers in Psychology</x:v>
      </x:c>
      <x:c r="F205" s="25" t="str">
        <x:v>10.3389/fpsyg.2017.00267</x:v>
      </x:c>
      <x:c r="G205" s="25" t="str">
        <x:v>https://doi.org/10.3389/fpsyg.2017.00267</x:v>
      </x:c>
      <x:c r="H205" s="25" t="str">
        <x:v>OpenAlex</x:v>
      </x:c>
      <x:c r="I205" s="25" t="str">
        <x:v>C10_affordance_embodied</x:v>
      </x:c>
      <x:c r="J205" s="25" t="str">
        <x:v>Exclude</x:v>
      </x:c>
      <x:c r="K205" s="25" t="str">
        <x:v>Exclude: topic mismatch</x:v>
      </x:c>
    </x:row>
    <x:row r="206">
      <x:c r="A206" s="20" t="str">
        <x:v>R0202</x:v>
      </x:c>
      <x:c r="B206" s="25" t="str">
        <x:v>Human–Autonomy Teaming: Definitions, Debates, and Directions</x:v>
      </x:c>
      <x:c r="C206" s="25" t="n">
        <x:v>2021</x:v>
      </x:c>
      <x:c r="D206" s="25" t="str">
        <x:v>Joseph B. Lyons; Katia Sycara; Michael Lewis; August Capiola</x:v>
      </x:c>
      <x:c r="E206" s="25" t="str">
        <x:v>Frontiers in Psychology</x:v>
      </x:c>
      <x:c r="F206" s="25" t="str">
        <x:v>10.3389/fpsyg.2021.589585</x:v>
      </x:c>
      <x:c r="G206" s="25" t="str">
        <x:v>https://doi.org/10.3389/fpsyg.2021.589585</x:v>
      </x:c>
      <x:c r="H206" s="25" t="str">
        <x:v>OpenAlex</x:v>
      </x:c>
      <x:c r="I206" s="25" t="str">
        <x:v>C4_uncertainty_shared_autonomy</x:v>
      </x:c>
      <x:c r="J206" s="25" t="str">
        <x:v>Exclude</x:v>
      </x:c>
      <x:c r="K206" s="25" t="str">
        <x:v>Exclude: adjacent/redundant or insufficiently theory-generative for DC1</x:v>
      </x:c>
    </x:row>
    <x:row r="207">
      <x:c r="A207" s="20" t="str">
        <x:v>R0203</x:v>
      </x:c>
      <x:c r="B207" s="25" t="str">
        <x:v>Redefining Creativity in the Era of AI? Perspectives of Computer Scientists and New Media Artists</x:v>
      </x:c>
      <x:c r="C207" s="25" t="n">
        <x:v>2022</x:v>
      </x:c>
      <x:c r="D207" s="25" t="str">
        <x:v>Roosa Wingström; Johanna Hautala; Riina Lundman</x:v>
      </x:c>
      <x:c r="E207" s="25" t="str">
        <x:v>Creativity Research Journal</x:v>
      </x:c>
      <x:c r="F207" s="25" t="str">
        <x:v>10.1080/10400419.2022.2107850</x:v>
      </x:c>
      <x:c r="G207" s="25" t="str">
        <x:v>https://doi.org/10.1080/10400419.2022.2107850</x:v>
      </x:c>
      <x:c r="H207" s="25" t="str">
        <x:v>OpenAlex</x:v>
      </x:c>
      <x:c r="I207" s="25" t="str">
        <x:v>C7_creative_agency</x:v>
      </x:c>
      <x:c r="J207" s="25" t="str">
        <x:v>Exclude</x:v>
      </x:c>
      <x:c r="K207" s="25" t="str">
        <x:v>Exclude: adjacent/redundant or insufficiently theory-generative for DC1</x:v>
      </x:c>
    </x:row>
    <x:row r="208">
      <x:c r="A208" s="20" t="str">
        <x:v>R0204</x:v>
      </x:c>
      <x:c r="B208" s="25" t="str">
        <x:v>Supporting Novice to Expert Transitions in User Interfaces</x:v>
      </x:c>
      <x:c r="C208" s="25" t="n">
        <x:v>2014</x:v>
      </x:c>
      <x:c r="D208" s="25" t="str">
        <x:v>Andy Cockburn; Carl Gutwin; Joey Scarr; Sylvain Malacria</x:v>
      </x:c>
      <x:c r="E208" s="25" t="str">
        <x:v>ACM Computing Surveys</x:v>
      </x:c>
      <x:c r="F208" s="25" t="str">
        <x:v>10.1145/2659796</x:v>
      </x:c>
      <x:c r="G208" s="25" t="str">
        <x:v>https://doi.org/10.1145/2659796</x:v>
      </x:c>
      <x:c r="H208" s="25" t="str">
        <x:v>OpenAlex</x:v>
      </x:c>
      <x:c r="I208" s="25" t="str">
        <x:v>C1_3D_mental_models</x:v>
      </x:c>
      <x:c r="J208" s="25" t="str">
        <x:v>Exclude</x:v>
      </x:c>
      <x:c r="K208" s="25" t="str">
        <x:v>Exclude: topic mismatch</x:v>
      </x:c>
    </x:row>
    <x:row r="209">
      <x:c r="A209" s="20" t="str">
        <x:v>R0205</x:v>
      </x:c>
      <x:c r="B209" s="25" t="str">
        <x:v>Challenges and Applications of Large Language Models</x:v>
      </x:c>
      <x:c r="C209" s="25" t="n">
        <x:v>2023</x:v>
      </x:c>
      <x:c r="D209" s="25" t="str">
        <x:v>Jean Kaddour; Joshua Harris; Maximilian Mozes; Herbie Bradley; Roberta Răileanu; Robert McHardy</x:v>
      </x:c>
      <x:c r="E209" s="25" t="str">
        <x:v>arXiv (Cornell University)</x:v>
      </x:c>
      <x:c r="F209" s="25" t="str">
        <x:v>10.48550/arxiv.2307.10169</x:v>
      </x:c>
      <x:c r="G209" s="25" t="str">
        <x:v>http://arxiv.org/abs/2307.10169</x:v>
      </x:c>
      <x:c r="H209" s="25" t="str">
        <x:v>OpenAlex</x:v>
      </x:c>
      <x:c r="I209" s="25" t="str">
        <x:v>C8_AI_3D_authoring</x:v>
      </x:c>
      <x:c r="J209" s="25" t="str">
        <x:v>Exclude</x:v>
      </x:c>
      <x:c r="K209" s="25" t="str">
        <x:v>Exclude: topic mismatch</x:v>
      </x:c>
    </x:row>
    <x:row r="210">
      <x:c r="A210" s="20" t="str">
        <x:v>R0206</x:v>
      </x:c>
      <x:c r="B210" s="25" t="str">
        <x:v>How Do Agents Make Decisions? A Survey</x:v>
      </x:c>
      <x:c r="C210" s="25" t="n">
        <x:v>2014</x:v>
      </x:c>
      <x:c r="D210" s="25" t="str">
        <x:v>Tina Balke; Nigel Gilbert</x:v>
      </x:c>
      <x:c r="E210" s="25" t="str">
        <x:v>Journal of Artificial Societies and Social Simulation</x:v>
      </x:c>
      <x:c r="F210" s="25" t="str">
        <x:v>10.18564/jasss.2687</x:v>
      </x:c>
      <x:c r="G210" s="25" t="str">
        <x:v>https://doi.org/10.18564/jasss.2687</x:v>
      </x:c>
      <x:c r="H210" s="25" t="str">
        <x:v>OpenAlex</x:v>
      </x:c>
      <x:c r="I210" s="25" t="str">
        <x:v>C6_frontend_GUI_intent</x:v>
      </x:c>
      <x:c r="J210" s="25" t="str">
        <x:v>Exclude</x:v>
      </x:c>
      <x:c r="K210" s="25" t="str">
        <x:v>Exclude: topic mismatch</x:v>
      </x:c>
    </x:row>
    <x:row r="211">
      <x:c r="A211" s="20" t="str">
        <x:v>R0207</x:v>
      </x:c>
      <x:c r="B211" s="25" t="str">
        <x:v>INTERNATIONAL HUMAN RIGHTS LAW AS A FRAMEWORK FOR ALGORITHMIC ACCOUNTABILITY</x:v>
      </x:c>
      <x:c r="C211" s="25" t="n">
        <x:v>2019</x:v>
      </x:c>
      <x:c r="D211" s="25" t="str">
        <x:v>Lorna McGregor; Daragh Murray; Vivian Ng</x:v>
      </x:c>
      <x:c r="E211" s="25" t="str">
        <x:v>International and Comparative Law Quarterly</x:v>
      </x:c>
      <x:c r="F211" s="25" t="str">
        <x:v>10.1017/s0020589319000046</x:v>
      </x:c>
      <x:c r="G211" s="25" t="str">
        <x:v>https://doi.org/10.1017/s0020589319000046</x:v>
      </x:c>
      <x:c r="H211" s="25" t="str">
        <x:v>OpenAlex</x:v>
      </x:c>
      <x:c r="I211" s="25" t="str">
        <x:v>C4_uncertainty_shared_autonomy</x:v>
      </x:c>
      <x:c r="J211" s="25" t="str">
        <x:v>Exclude</x:v>
      </x:c>
      <x:c r="K211" s="25" t="str">
        <x:v>Exclude: topic mismatch</x:v>
      </x:c>
    </x:row>
    <x:row r="212">
      <x:c r="A212" s="20" t="str">
        <x:v>R0208</x:v>
      </x:c>
      <x:c r="B212" s="25" t="str">
        <x:v>Intelligent In‐Vehicle Interaction Technologies</x:v>
      </x:c>
      <x:c r="C212" s="25" t="n">
        <x:v>2021</x:v>
      </x:c>
      <x:c r="D212" s="25" t="str">
        <x:v>Prajval Kumar Murali; Mohsen Kaboli; Ravinder Dahiya</x:v>
      </x:c>
      <x:c r="E212" s="25" t="str">
        <x:v>Advanced Intelligent Systems</x:v>
      </x:c>
      <x:c r="F212" s="25" t="str">
        <x:v>10.1002/aisy.202100122</x:v>
      </x:c>
      <x:c r="G212" s="25" t="str">
        <x:v>https://doi.org/10.1002/aisy.202100122</x:v>
      </x:c>
      <x:c r="H212" s="25" t="str">
        <x:v>OpenAlex</x:v>
      </x:c>
      <x:c r="I212" s="25" t="str">
        <x:v>C2_interaction_signals</x:v>
      </x:c>
      <x:c r="J212" s="25" t="str">
        <x:v>Exclude</x:v>
      </x:c>
      <x:c r="K212" s="25" t="str">
        <x:v>Exclude: adjacent/redundant or insufficiently theory-generative for DC1</x:v>
      </x:c>
    </x:row>
    <x:row r="213">
      <x:c r="A213" s="20" t="str">
        <x:v>R0209</x:v>
      </x:c>
      <x:c r="B213" s="25" t="str">
        <x:v>Combinatorial Optimization of Graphical User Interface Designs</x:v>
      </x:c>
      <x:c r="C213" s="25" t="n">
        <x:v>2020</x:v>
      </x:c>
      <x:c r="D213" s="25" t="str">
        <x:v>Antti Oulasvirta; Niraj Ramesh Dayama; Morteza Shiripour; Maximilian John; Andreas Karrenbauer</x:v>
      </x:c>
      <x:c r="E213" s="25" t="str">
        <x:v>Proceedings of the IEEE</x:v>
      </x:c>
      <x:c r="F213" s="25" t="str">
        <x:v>10.1109/jproc.2020.2969687</x:v>
      </x:c>
      <x:c r="G213" s="25" t="str">
        <x:v>https://doi.org/10.1109/jproc.2020.2969687</x:v>
      </x:c>
      <x:c r="H213" s="25" t="str">
        <x:v>OpenAlex</x:v>
      </x:c>
      <x:c r="I213" s="25" t="str">
        <x:v>C6_frontend_GUI_intent</x:v>
      </x:c>
      <x:c r="J213" s="25" t="str">
        <x:v>Exclude</x:v>
      </x:c>
      <x:c r="K213" s="25" t="str">
        <x:v>Exclude: topic mismatch</x:v>
      </x:c>
    </x:row>
    <x:row r="214">
      <x:c r="A214" s="20" t="str">
        <x:v>R0210</x:v>
      </x:c>
      <x:c r="B214" s="25" t="str">
        <x:v>ChatGLM: A Family of Large Language Models from GLM-130B to GLM-4 All Tools</x:v>
      </x:c>
      <x:c r="C214" s="25" t="n">
        <x:v>2024</x:v>
      </x:c>
      <x:c r="D214" s="25" t="str">
        <x:v>Team GLM; :; Aohan Zeng; Bin Xu; Bowen Wang; Chenhui Zhang; Da Gang Yin; Zhang, Dan; Diego Rojas; Guanyu Feng; Hanlin Zhao; Hanyu Lai; Hao Yu; Hongning Wang; Jiadai Sun; Jiajie Zhang; Jiale Cheng; Jiayi Gui; Jie Tang; Jing Zhang; Sun, Jingyu; Juanzi Li; Lei Zhao; Lindong Wu; Lucen Zhong; M. Liu; Minlie Huang; Peng Zhang; Qinkai Zheng; Rui Lu; Shuaiqi Duan; Shudan Zhang; Shulin Cao; Shuxun Yang; Weng Lam Tam; Wenyi Zhao; Xiao Liu; Xia Xiao; Xiaohan Zhang; Xiaotao Gu; LV Xin; Xinghan Liu; Xinyi Liu; Xinyue Yang; Xixuan Song; Zhang, Xunkai; Yifan An; Yifan Xu; Yilin Niu; Yuantao Yang; Yueyan Li; Yushi Bai; Yuxiao Dong; Zehan Qi; Zhaoyu Wang; Zhen Yang; Zhengxiao Du; Zhenyu Hou; Zihan Wang</x:v>
      </x:c>
      <x:c r="E214" s="25" t="str">
        <x:v>arXiv (Cornell University)</x:v>
      </x:c>
      <x:c r="F214" s="25" t="str">
        <x:v>10.48550/arxiv.2406.12793</x:v>
      </x:c>
      <x:c r="G214" s="25" t="str">
        <x:v>http://arxiv.org/abs/2406.12793</x:v>
      </x:c>
      <x:c r="H214" s="25" t="str">
        <x:v>OpenAlex</x:v>
      </x:c>
      <x:c r="I214" s="25" t="str">
        <x:v>C6_frontend_GUI_intent</x:v>
      </x:c>
      <x:c r="J214" s="25" t="str">
        <x:v>Exclude</x:v>
      </x:c>
      <x:c r="K214" s="25" t="str">
        <x:v>Exclude: adjacent/redundant or insufficiently theory-generative for DC1</x:v>
      </x:c>
    </x:row>
    <x:row r="215">
      <x:c r="A215" s="20" t="str">
        <x:v>R0211</x:v>
      </x:c>
      <x:c r="B215" s="25" t="str">
        <x:v>Designing Transparency for Effective Human-AI Collaboration</x:v>
      </x:c>
      <x:c r="C215" s="25" t="n">
        <x:v>2022</x:v>
      </x:c>
      <x:c r="D215" s="25" t="str">
        <x:v>Michael Vössing; Niklas Kühl; Matteo Lind; Gerhard Satzger</x:v>
      </x:c>
      <x:c r="E215" s="25" t="str">
        <x:v>Information Systems Frontiers</x:v>
      </x:c>
      <x:c r="F215" s="25" t="str">
        <x:v>10.1007/s10796-022-10284-3</x:v>
      </x:c>
      <x:c r="G215" s="25" t="str">
        <x:v>https://doi.org/10.1007/s10796-022-10284-3</x:v>
      </x:c>
      <x:c r="H215" s="25" t="str">
        <x:v>OpenAlex</x:v>
      </x:c>
      <x:c r="I215" s="25" t="str">
        <x:v>C4_uncertainty_shared_autonomy</x:v>
      </x:c>
      <x:c r="J215" s="25" t="str">
        <x:v>Exclude</x:v>
      </x:c>
      <x:c r="K215" s="25" t="str">
        <x:v>Exclude: topic mismatch</x:v>
      </x:c>
    </x:row>
    <x:row r="216">
      <x:c r="A216" s="20" t="str">
        <x:v>R0212</x:v>
      </x:c>
      <x:c r="B216" s="25" t="str">
        <x:v>Humans as Creativity Gatekeepers: Are We Biased Against AI Creativity?</x:v>
      </x:c>
      <x:c r="C216" s="25" t="n">
        <x:v>2023</x:v>
      </x:c>
      <x:c r="D216" s="25" t="str">
        <x:v>Federico Magni; Jiyoung Park; Melody Manchi Chao</x:v>
      </x:c>
      <x:c r="E216" s="25" t="str">
        <x:v>Journal of Business and Psychology</x:v>
      </x:c>
      <x:c r="F216" s="25" t="str">
        <x:v>10.1007/s10869-023-09910-x</x:v>
      </x:c>
      <x:c r="G216" s="25" t="str">
        <x:v>https://doi.org/10.1007/s10869-023-09910-x</x:v>
      </x:c>
      <x:c r="H216" s="25" t="str">
        <x:v>OpenAlex</x:v>
      </x:c>
      <x:c r="I216" s="25" t="str">
        <x:v>C7_creative_agency</x:v>
      </x:c>
      <x:c r="J216" s="25" t="str">
        <x:v>Exclude</x:v>
      </x:c>
      <x:c r="K216" s="25" t="str">
        <x:v>Exclude: adjacent/redundant or insufficiently theory-generative for DC1</x:v>
      </x:c>
    </x:row>
    <x:row r="217">
      <x:c r="A217" s="20" t="str">
        <x:v>R0213</x:v>
      </x:c>
      <x:c r="B217" s="25" t="str">
        <x:v>Human-centred learning analytics and AI in education: A systematic literature review</x:v>
      </x:c>
      <x:c r="C217" s="25" t="n">
        <x:v>2024</x:v>
      </x:c>
      <x:c r="D217" s="25" t="str">
        <x:v>Riordan Alfredo; Vanessa Echeverría; Yueqiao Jin; Lixiang Yan; Zachari Swiecki; Dragan Gašević; Roberto Martínez‐Maldonado</x:v>
      </x:c>
      <x:c r="E217" s="25" t="str">
        <x:v>Computers and Education Artificial Intelligence</x:v>
      </x:c>
      <x:c r="F217" s="25" t="str">
        <x:v>10.1016/j.caeai.2024.100215</x:v>
      </x:c>
      <x:c r="G217" s="25" t="str">
        <x:v>https://doi.org/10.1016/j.caeai.2024.100215</x:v>
      </x:c>
      <x:c r="H217" s="25" t="str">
        <x:v>OpenAlex</x:v>
      </x:c>
      <x:c r="I217" s="25" t="str">
        <x:v>C14_agency_ownership; C7_creative_agency</x:v>
      </x:c>
      <x:c r="J217" s="25" t="str">
        <x:v>Exclude</x:v>
      </x:c>
      <x:c r="K217" s="25" t="str">
        <x:v>Exclude: topic mismatch</x:v>
      </x:c>
    </x:row>
    <x:row r="218">
      <x:c r="A218" s="20" t="str">
        <x:v>R0214</x:v>
      </x:c>
      <x:c r="B218" s="25" t="str">
        <x:v>Neural correlates of semantic and episodic memory retrieval</x:v>
      </x:c>
      <x:c r="C218" s="25" t="n">
        <x:v>1998</x:v>
      </x:c>
      <x:c r="D218" s="25" t="str">
        <x:v>Cheri L Wiggs; Jill Weisberg; Alex Martin</x:v>
      </x:c>
      <x:c r="E218" s="25" t="str">
        <x:v>Neuropsychologia</x:v>
      </x:c>
      <x:c r="F218" s="25" t="str">
        <x:v>10.1016/s0028-3932(98)00044-x</x:v>
      </x:c>
      <x:c r="G218" s="25" t="str">
        <x:v>https://doi.org/10.1016/s0028-3932(98)00044-x</x:v>
      </x:c>
      <x:c r="H218" s="25" t="str">
        <x:v>Crossref</x:v>
      </x:c>
      <x:c r="I218" s="25" t="str">
        <x:v>C5_agent_memory</x:v>
      </x:c>
      <x:c r="J218" s="25" t="str">
        <x:v>Exclude</x:v>
      </x:c>
      <x:c r="K218" s="25" t="str">
        <x:v>Exclude: adjacent/redundant or insufficiently theory-generative for DC1</x:v>
      </x:c>
    </x:row>
    <x:row r="219">
      <x:c r="A219" s="20" t="str">
        <x:v>R0215</x:v>
      </x:c>
      <x:c r="B219" s="25" t="str">
        <x:v>Embodied and Enactive Approaches to Cognition</x:v>
      </x:c>
      <x:c r="C219" s="25" t="n">
        <x:v>2023</x:v>
      </x:c>
      <x:c r="D219" s="25" t="str">
        <x:v>Shaun Gallagher</x:v>
      </x:c>
      <x:c r="E219" s="25" t="str">
        <x:v>Cambridge University Press eBooks</x:v>
      </x:c>
      <x:c r="F219" s="25" t="str">
        <x:v>10.1017/9781009209793</x:v>
      </x:c>
      <x:c r="G219" s="25" t="str">
        <x:v>https://doi.org/10.1017/9781009209793</x:v>
      </x:c>
      <x:c r="H219" s="25" t="str">
        <x:v>OpenAlex</x:v>
      </x:c>
      <x:c r="I219" s="25" t="str">
        <x:v>C10_affordance_embodied</x:v>
      </x:c>
      <x:c r="J219" s="25" t="str">
        <x:v>Exclude</x:v>
      </x:c>
      <x:c r="K219" s="25" t="str">
        <x:v>Exclude: topic mismatch</x:v>
      </x:c>
    </x:row>
    <x:row r="220">
      <x:c r="A220" s="20" t="str">
        <x:v>R0216</x:v>
      </x:c>
      <x:c r="B220" s="25" t="str">
        <x:v>Spatial Reasoning With External Visualizations: What Matters Is What You See, Not Whether You Interact</x:v>
      </x:c>
      <x:c r="C220" s="25" t="n">
        <x:v>2008</x:v>
      </x:c>
      <x:c r="D220" s="25" t="str">
        <x:v>Madeleine Keehner; Mary Hegarty; Cheryl A. Cohen; Peter Khooshabeh; Daniel R. Montello</x:v>
      </x:c>
      <x:c r="E220" s="25" t="str">
        <x:v>Cognitive Science</x:v>
      </x:c>
      <x:c r="F220" s="25" t="str">
        <x:v>10.1080/03640210801898177</x:v>
      </x:c>
      <x:c r="G220" s="25" t="str">
        <x:v>https://doi.org/10.1080/03640210801898177</x:v>
      </x:c>
      <x:c r="H220" s="25" t="str">
        <x:v>OpenAlex</x:v>
      </x:c>
      <x:c r="I220" s="25" t="str">
        <x:v>C1_3D_mental_models</x:v>
      </x:c>
      <x:c r="J220" s="25" t="str">
        <x:v>Exclude</x:v>
      </x:c>
      <x:c r="K220" s="25" t="str">
        <x:v>Exclude: adjacent/redundant or insufficiently theory-generative for DC1</x:v>
      </x:c>
    </x:row>
    <x:row r="221">
      <x:c r="A221" s="20" t="str">
        <x:v>R0217</x:v>
      </x:c>
      <x:c r="B221" s="25" t="str">
        <x:v>Foundation models in robotics: Applications, challenges, and the future</x:v>
      </x:c>
      <x:c r="C221" s="25" t="n">
        <x:v>2024</x:v>
      </x:c>
      <x:c r="D221" s="25" t="str">
        <x:v>Roya Firoozi; Johnathan Tucker; Stephen Tian; Anirudha Majumdar; Jiankai Sun; Weiyu Liu; Yuke Zhu; Shuran Song; Ashish Kapoor; Karol Hausman; Brian Ichter; Danny Driess; Jia-Jun Wu; Cewu Lu; Mac Schwager</x:v>
      </x:c>
      <x:c r="E221" s="25" t="str">
        <x:v>The International Journal of Robotics Research</x:v>
      </x:c>
      <x:c r="F221" s="25" t="str">
        <x:v>10.1177/02783649241281508</x:v>
      </x:c>
      <x:c r="G221" s="25" t="str">
        <x:v>https://doi.org/10.1177/02783649241281508</x:v>
      </x:c>
      <x:c r="H221" s="25" t="str">
        <x:v>OpenAlex</x:v>
      </x:c>
      <x:c r="I221" s="25" t="str">
        <x:v>C5_agent_memory; C8_AI_3D_authoring</x:v>
      </x:c>
      <x:c r="J221" s="25" t="str">
        <x:v>Exclude</x:v>
      </x:c>
      <x:c r="K221" s="25" t="str">
        <x:v>Exclude: adjacent/redundant or insufficiently theory-generative for DC1</x:v>
      </x:c>
    </x:row>
    <x:row r="222">
      <x:c r="A222" s="20" t="str">
        <x:v>R0218</x:v>
      </x:c>
      <x:c r="B222" s="25" t="str">
        <x:v>Dark patterns in proxemic interactions</x:v>
      </x:c>
      <x:c r="C222" s="25" t="n">
        <x:v>2014</x:v>
      </x:c>
      <x:c r="D222" s="25" t="str">
        <x:v>Saul Greenberg; Sebastian Boring; Jo Vermeulen; Jakub Dostál</x:v>
      </x:c>
      <x:c r="E222" s="25" t="str"/>
      <x:c r="F222" s="25" t="str">
        <x:v>10.1145/2598510.2598541</x:v>
      </x:c>
      <x:c r="G222" s="25" t="str">
        <x:v>https://doi.org/10.1145/2598510.2598541</x:v>
      </x:c>
      <x:c r="H222" s="25" t="str">
        <x:v>OpenAlex</x:v>
      </x:c>
      <x:c r="I222" s="25" t="str">
        <x:v>C2_interaction_signals</x:v>
      </x:c>
      <x:c r="J222" s="25" t="str">
        <x:v>Exclude</x:v>
      </x:c>
      <x:c r="K222" s="25" t="str">
        <x:v>Exclude: topic mismatch</x:v>
      </x:c>
    </x:row>
    <x:row r="223">
      <x:c r="A223" s="20" t="str">
        <x:v>R0219</x:v>
      </x:c>
      <x:c r="B223" s="25" t="str">
        <x:v>Tolerancing: Managing uncertainty from conceptual design to final product</x:v>
      </x:c>
      <x:c r="C223" s="25" t="n">
        <x:v>2018</x:v>
      </x:c>
      <x:c r="D223" s="25" t="str">
        <x:v>Edward Morse; Jean‐Yves Dantan; Nabil Anwer; Rikard Söderberg; Giovanni Moroni; Ahmed Jawad Qureshi; Xiangqian Jiang; Luc Mathieu</x:v>
      </x:c>
      <x:c r="E223" s="25" t="str">
        <x:v>CIRP Annals</x:v>
      </x:c>
      <x:c r="F223" s="25" t="str">
        <x:v>10.1016/j.cirp.2018.05.009</x:v>
      </x:c>
      <x:c r="G223" s="25" t="str">
        <x:v>https://doi.org/10.1016/j.cirp.2018.05.009</x:v>
      </x:c>
      <x:c r="H223" s="25" t="str">
        <x:v>OpenAlex</x:v>
      </x:c>
      <x:c r="I223" s="25" t="str">
        <x:v>C13_CAD_design_intent</x:v>
      </x:c>
      <x:c r="J223" s="25" t="str">
        <x:v>Exclude</x:v>
      </x:c>
      <x:c r="K223" s="25" t="str">
        <x:v>Exclude: topic mismatch</x:v>
      </x:c>
    </x:row>
    <x:row r="224">
      <x:c r="A224" s="20" t="str">
        <x:v>R0220</x:v>
      </x:c>
      <x:c r="B224" s="25" t="str">
        <x:v>Affordances in Psychology, Neuroscience, and Robotics: A Survey</x:v>
      </x:c>
      <x:c r="C224" s="25" t="n">
        <x:v>2016</x:v>
      </x:c>
      <x:c r="D224" s="25" t="str">
        <x:v>Lorenzo Jamone; Emre Uğur; Angelo Cangelosi; Luciano Fadiga; Alexandre Bernardino; Justus Piater; José Santos-Victor</x:v>
      </x:c>
      <x:c r="E224" s="25" t="str">
        <x:v>IEEE Transactions on Cognitive and Developmental Systems</x:v>
      </x:c>
      <x:c r="F224" s="25" t="str">
        <x:v>10.1109/tcds.2016.2594134</x:v>
      </x:c>
      <x:c r="G224" s="25" t="str">
        <x:v>https://doi.org/10.1109/tcds.2016.2594134</x:v>
      </x:c>
      <x:c r="H224" s="25" t="str">
        <x:v>OpenAlex</x:v>
      </x:c>
      <x:c r="I224" s="25" t="str">
        <x:v>C10_affordance_embodied</x:v>
      </x:c>
      <x:c r="J224" s="25" t="str">
        <x:v>Exclude</x:v>
      </x:c>
      <x:c r="K224" s="25" t="str">
        <x:v>Exclude: topic mismatch</x:v>
      </x:c>
    </x:row>
    <x:row r="225">
      <x:c r="A225" s="20" t="str">
        <x:v>R0221</x:v>
      </x:c>
      <x:c r="B225" s="25" t="str">
        <x:v>How generative AI Is shaping the future of marketing</x:v>
      </x:c>
      <x:c r="C225" s="25" t="n">
        <x:v>2024</x:v>
      </x:c>
      <x:c r="D225" s="25" t="str">
        <x:v>Dhruv Grewal; Cinthia B. Satornino; Thomas H. Davenport; Abhijit Guha</x:v>
      </x:c>
      <x:c r="E225" s="25" t="str">
        <x:v>Journal of the Academy of Marketing Science</x:v>
      </x:c>
      <x:c r="F225" s="25" t="str">
        <x:v>10.1007/s11747-024-01064-3</x:v>
      </x:c>
      <x:c r="G225" s="25" t="str">
        <x:v>https://doi.org/10.1007/s11747-024-01064-3</x:v>
      </x:c>
      <x:c r="H225" s="25" t="str">
        <x:v>OpenAlex</x:v>
      </x:c>
      <x:c r="I225" s="25" t="str">
        <x:v>C14_agency_ownership</x:v>
      </x:c>
      <x:c r="J225" s="25" t="str">
        <x:v>Exclude</x:v>
      </x:c>
      <x:c r="K225" s="25" t="str">
        <x:v>Exclude: domain-specific signal model without transferable HCI theory</x:v>
      </x:c>
    </x:row>
    <x:row r="226">
      <x:c r="A226" s="20" t="str">
        <x:v>R0222</x:v>
      </x:c>
      <x:c r="B226" s="25" t="str">
        <x:v>Recent advancements in multimodal human–robot interaction</x:v>
      </x:c>
      <x:c r="C226" s="25" t="n">
        <x:v>2023</x:v>
      </x:c>
      <x:c r="D226" s="25" t="str">
        <x:v>Hang Su; Wen Qi; Jiahao Chen; Chenguang Yang; Juan Sandoval; Med Amine Laribi</x:v>
      </x:c>
      <x:c r="E226" s="25" t="str">
        <x:v>Frontiers in Neurorobotics</x:v>
      </x:c>
      <x:c r="F226" s="25" t="str">
        <x:v>10.3389/fnbot.2023.1084000</x:v>
      </x:c>
      <x:c r="G226" s="25" t="str">
        <x:v>https://doi.org/10.3389/fnbot.2023.1084000</x:v>
      </x:c>
      <x:c r="H226" s="25" t="str">
        <x:v>OpenAlex</x:v>
      </x:c>
      <x:c r="I226" s="25" t="str">
        <x:v>C2_interaction_signals; C6_frontend_GUI_intent</x:v>
      </x:c>
      <x:c r="J226" s="25" t="str">
        <x:v>Exclude</x:v>
      </x:c>
      <x:c r="K226" s="25" t="str">
        <x:v>Exclude: topic mismatch</x:v>
      </x:c>
    </x:row>
    <x:row r="227">
      <x:c r="A227" s="20" t="str">
        <x:v>R0223</x:v>
      </x:c>
      <x:c r="B227" s="25" t="str">
        <x:v>When Does Semantic Similarity Help Episodic Retrieval?</x:v>
      </x:c>
      <x:c r="C227" s="25" t="n">
        <x:v>2002</x:v>
      </x:c>
      <x:c r="D227" s="25" t="str">
        <x:v>Marc W Howard; Michael J Kahana</x:v>
      </x:c>
      <x:c r="E227" s="25" t="str">
        <x:v>Journal of Memory and Language</x:v>
      </x:c>
      <x:c r="F227" s="25" t="str">
        <x:v>10.1006/jmla.2001.2798</x:v>
      </x:c>
      <x:c r="G227" s="25" t="str">
        <x:v>https://doi.org/10.1006/jmla.2001.2798</x:v>
      </x:c>
      <x:c r="H227" s="25" t="str">
        <x:v>Crossref</x:v>
      </x:c>
      <x:c r="I227" s="25" t="str">
        <x:v>C5_agent_memory</x:v>
      </x:c>
      <x:c r="J227" s="25" t="str">
        <x:v>Exclude</x:v>
      </x:c>
      <x:c r="K227" s="25" t="str">
        <x:v>Exclude: topic mismatch</x:v>
      </x:c>
    </x:row>
    <x:row r="228">
      <x:c r="A228" s="20" t="str">
        <x:v>R0224</x:v>
      </x:c>
      <x:c r="B228" s="25" t="str">
        <x:v>UAV-Supported Forest Regeneration: Current Trends, Challenges and Implications</x:v>
      </x:c>
      <x:c r="C228" s="25" t="n">
        <x:v>2021</x:v>
      </x:c>
      <x:c r="D228" s="25" t="str">
        <x:v>Midhun Mohan; Gabriella Richardson; Gopika Gopan; Matthew M. Aghai; Shaurya Bajaj; G. A. Pabodha Galgamuwa; Mikko Vastaranta; Pavithra S. Pitumpe Arachchige; Lot Amorós; Ana Paula Dalla Côrte; Sergio de‐Miguel; Rodrigo Vieira Leite; Mahlatse Kganyago; Eben N. Broadbent; Willie Doaemo; Mohammed Abdullah Bin Shorab; Adrián Cardíl</x:v>
      </x:c>
      <x:c r="E228" s="25" t="str">
        <x:v>Remote Sensing</x:v>
      </x:c>
      <x:c r="F228" s="25" t="str">
        <x:v>10.3390/rs13132596</x:v>
      </x:c>
      <x:c r="G228" s="25" t="str">
        <x:v>https://doi.org/10.3390/rs13132596</x:v>
      </x:c>
      <x:c r="H228" s="25" t="str">
        <x:v>OpenAlex</x:v>
      </x:c>
      <x:c r="I228" s="25" t="str">
        <x:v>C15_proactive_interruption</x:v>
      </x:c>
      <x:c r="J228" s="25" t="str">
        <x:v>Exclude</x:v>
      </x:c>
      <x:c r="K228" s="25" t="str">
        <x:v>Exclude: topic mismatch</x:v>
      </x:c>
    </x:row>
    <x:row r="229">
      <x:c r="A229" s="20" t="str">
        <x:v>R0225</x:v>
      </x:c>
      <x:c r="B229" s="25" t="str">
        <x:v>Paradigm Shifts and Instructional Technology</x:v>
      </x:c>
      <x:c r="C229" s="25" t="n">
        <x:v>1996</x:v>
      </x:c>
      <x:c r="D229" s="25" t="str">
        <x:v>Timothy Koschmann</x:v>
      </x:c>
      <x:c r="E229" s="25" t="str">
        <x:v>OpenSIUC (Southern Illinois University Carbondale)</x:v>
      </x:c>
      <x:c r="F229" s="25" t="str"/>
      <x:c r="G229" s="25" t="str">
        <x:v>https://opensiuc.lib.siu.edu/meded_books/4</x:v>
      </x:c>
      <x:c r="H229" s="25" t="str">
        <x:v>OpenAlex</x:v>
      </x:c>
      <x:c r="I229" s="25" t="str">
        <x:v>C12_common_ground_repair</x:v>
      </x:c>
      <x:c r="J229" s="25" t="str">
        <x:v>Exclude</x:v>
      </x:c>
      <x:c r="K229" s="25" t="str">
        <x:v>Exclude: topic mismatch</x:v>
      </x:c>
    </x:row>
    <x:row r="230">
      <x:c r="A230" s="20" t="str">
        <x:v>R0226</x:v>
      </x:c>
      <x:c r="B230" s="25" t="str">
        <x:v>The embodied brain: towards a radical embodied cognitive neuroscience</x:v>
      </x:c>
      <x:c r="C230" s="25" t="n">
        <x:v>2015</x:v>
      </x:c>
      <x:c r="D230" s="25" t="str">
        <x:v>Julian Kiverstein; Mark Miller</x:v>
      </x:c>
      <x:c r="E230" s="25" t="str">
        <x:v>Frontiers in Human Neuroscience</x:v>
      </x:c>
      <x:c r="F230" s="25" t="str">
        <x:v>10.3389/fnhum.2015.00237</x:v>
      </x:c>
      <x:c r="G230" s="25" t="str">
        <x:v>https://doi.org/10.3389/fnhum.2015.00237</x:v>
      </x:c>
      <x:c r="H230" s="25" t="str">
        <x:v>OpenAlex</x:v>
      </x:c>
      <x:c r="I230" s="25" t="str">
        <x:v>C10_affordance_embodied</x:v>
      </x:c>
      <x:c r="J230" s="25" t="str">
        <x:v>Exclude</x:v>
      </x:c>
      <x:c r="K230" s="25" t="str">
        <x:v>Exclude: topic mismatch</x:v>
      </x:c>
    </x:row>
    <x:row r="231">
      <x:c r="A231" s="20" t="str">
        <x:v>R0227</x:v>
      </x:c>
      <x:c r="B231" s="25" t="str">
        <x:v>AI Art: Machine Visions and Warped Dreams</x:v>
      </x:c>
      <x:c r="C231" s="25" t="n">
        <x:v>2020</x:v>
      </x:c>
      <x:c r="D231" s="25" t="str">
        <x:v>Joanna Żylińska</x:v>
      </x:c>
      <x:c r="E231" s="25" t="str">
        <x:v>Research Online (Goldsmiths University of London)</x:v>
      </x:c>
      <x:c r="F231" s="25" t="str"/>
      <x:c r="G231" s="25" t="str">
        <x:v>https://openalex.org/W3043949589</x:v>
      </x:c>
      <x:c r="H231" s="25" t="str">
        <x:v>OpenAlex</x:v>
      </x:c>
      <x:c r="I231" s="25" t="str">
        <x:v>C14_agency_ownership</x:v>
      </x:c>
      <x:c r="J231" s="25" t="str">
        <x:v>Exclude</x:v>
      </x:c>
      <x:c r="K231" s="25" t="str">
        <x:v>Exclude: adjacent/redundant or insufficiently theory-generative for DC1</x:v>
      </x:c>
    </x:row>
    <x:row r="232">
      <x:c r="A232" s="20" t="str">
        <x:v>R0228</x:v>
      </x:c>
      <x:c r="B232" s="25" t="str">
        <x:v>Automated manufacturability analysis: A survey</x:v>
      </x:c>
      <x:c r="C232" s="25" t="n">
        <x:v>1997</x:v>
      </x:c>
      <x:c r="D232" s="25" t="str">
        <x:v>Satyandra K. Gupta; William C. Regli; Diganta Das; Dana Nau</x:v>
      </x:c>
      <x:c r="E232" s="25" t="str">
        <x:v>Research in Engineering Design</x:v>
      </x:c>
      <x:c r="F232" s="25" t="str">
        <x:v>10.1007/bf01596601</x:v>
      </x:c>
      <x:c r="G232" s="25" t="str">
        <x:v>https://doi.org/10.1007/bf01596601</x:v>
      </x:c>
      <x:c r="H232" s="25" t="str">
        <x:v>OpenAlex</x:v>
      </x:c>
      <x:c r="I232" s="25" t="str">
        <x:v>C11_hierarchical_goal_recognition</x:v>
      </x:c>
      <x:c r="J232" s="25" t="str">
        <x:v>Exclude</x:v>
      </x:c>
      <x:c r="K232" s="25" t="str">
        <x:v>Exclude: topic mismatch</x:v>
      </x:c>
    </x:row>
    <x:row r="233">
      <x:c r="A233" s="20" t="str">
        <x:v>R0229</x:v>
      </x:c>
      <x:c r="B233" s="25" t="str">
        <x:v>Computer supported collaborative design: Retrospective and perspective</x:v>
      </x:c>
      <x:c r="C233" s="25" t="n">
        <x:v>2008</x:v>
      </x:c>
      <x:c r="D233" s="25" t="str">
        <x:v>Weiming Shen; Qi Hao; Weidong Li</x:v>
      </x:c>
      <x:c r="E233" s="25" t="str">
        <x:v>Computers in Industry</x:v>
      </x:c>
      <x:c r="F233" s="25" t="str">
        <x:v>10.1016/j.compind.2008.07.001</x:v>
      </x:c>
      <x:c r="G233" s="25" t="str">
        <x:v>https://doi.org/10.1016/j.compind.2008.07.001</x:v>
      </x:c>
      <x:c r="H233" s="25" t="str">
        <x:v>OpenAlex</x:v>
      </x:c>
      <x:c r="I233" s="25" t="str">
        <x:v>C13_CAD_design_intent</x:v>
      </x:c>
      <x:c r="J233" s="25" t="str">
        <x:v>Exclude</x:v>
      </x:c>
      <x:c r="K233" s="25" t="str">
        <x:v>Exclude: topic mismatch</x:v>
      </x:c>
    </x:row>
    <x:row r="234">
      <x:c r="A234" s="20" t="str">
        <x:v>R0230</x:v>
      </x:c>
      <x:c r="B234" s="25" t="str">
        <x:v>Human Factors Considerations and Metrics in Shared Space Human-Robot Collaboration: A Systematic Review</x:v>
      </x:c>
      <x:c r="C234" s="25" t="n">
        <x:v>2022</x:v>
      </x:c>
      <x:c r="D234" s="25" t="str">
        <x:v>Sarah K. Hopko; Jingkun Wang; Ranjana K. Mehta</x:v>
      </x:c>
      <x:c r="E234" s="25" t="str">
        <x:v>Frontiers in Robotics and AI</x:v>
      </x:c>
      <x:c r="F234" s="25" t="str">
        <x:v>10.3389/frobt.2022.799522</x:v>
      </x:c>
      <x:c r="G234" s="25" t="str">
        <x:v>https://doi.org/10.3389/frobt.2022.799522</x:v>
      </x:c>
      <x:c r="H234" s="25" t="str">
        <x:v>OpenAlex</x:v>
      </x:c>
      <x:c r="I234" s="25" t="str">
        <x:v>C4_uncertainty_shared_autonomy</x:v>
      </x:c>
      <x:c r="J234" s="25" t="str">
        <x:v>Exclude</x:v>
      </x:c>
      <x:c r="K234" s="25" t="str">
        <x:v>Exclude: adjacent/redundant or insufficiently theory-generative for DC1</x:v>
      </x:c>
    </x:row>
    <x:row r="235">
      <x:c r="A235" s="20" t="str">
        <x:v>R0231</x:v>
      </x:c>
      <x:c r="B235" s="25" t="str">
        <x:v>Brain-Computer Interfacing and Games</x:v>
      </x:c>
      <x:c r="C235" s="25" t="n">
        <x:v>2010</x:v>
      </x:c>
      <x:c r="D235" s="25" t="str">
        <x:v>Danny Plass-Oude Bos; Boris Reuderink; Bram van de Laar; Hayrettin Gürkök; Christian Mühl; Mannes Poel; Anton Nijholt; Dirk Heylen</x:v>
      </x:c>
      <x:c r="E235" s="25" t="str">
        <x:v>Human-computer interaction series</x:v>
      </x:c>
      <x:c r="F235" s="25" t="str">
        <x:v>10.1007/978-1-84996-272-8_10</x:v>
      </x:c>
      <x:c r="G235" s="25" t="str">
        <x:v>https://doi.org/10.1007/978-1-84996-272-8_10</x:v>
      </x:c>
      <x:c r="H235" s="25" t="str">
        <x:v>OpenAlex</x:v>
      </x:c>
      <x:c r="I235" s="25" t="str">
        <x:v>C1_3D_mental_models</x:v>
      </x:c>
      <x:c r="J235" s="25" t="str">
        <x:v>Exclude</x:v>
      </x:c>
      <x:c r="K235" s="25" t="str">
        <x:v>Exclude: topic mismatch</x:v>
      </x:c>
    </x:row>
    <x:row r="236">
      <x:c r="A236" s="20" t="str">
        <x:v>R0232</x:v>
      </x:c>
      <x:c r="B236" s="25" t="str">
        <x:v>The meaning of action: a review on action recognition and mapping</x:v>
      </x:c>
      <x:c r="C236" s="25" t="n">
        <x:v>2007</x:v>
      </x:c>
      <x:c r="D236" s="25" t="str">
        <x:v>Volker Krüger; Danica Kragić; Aleš Ude; Christopher Geib</x:v>
      </x:c>
      <x:c r="E236" s="25" t="str">
        <x:v>Advanced Robotics</x:v>
      </x:c>
      <x:c r="F236" s="25" t="str">
        <x:v>10.1163/156855307782148578</x:v>
      </x:c>
      <x:c r="G236" s="25" t="str">
        <x:v>https://doi.org/10.1163/156855307782148578</x:v>
      </x:c>
      <x:c r="H236" s="25" t="str">
        <x:v>OpenAlex</x:v>
      </x:c>
      <x:c r="I236" s="25" t="str">
        <x:v>C17_3D_gesture_ambiguity</x:v>
      </x:c>
      <x:c r="J236" s="25" t="str">
        <x:v>Exclude</x:v>
      </x:c>
      <x:c r="K236" s="25" t="str">
        <x:v>Exclude: topic mismatch</x:v>
      </x:c>
    </x:row>
    <x:row r="237">
      <x:c r="A237" s="20" t="str">
        <x:v>R0233</x:v>
      </x:c>
      <x:c r="B237" s="25" t="str">
        <x:v>The Manifesto for Teaching and Learning in a Time of Generative AI: A Critical Collective Stance to Better Navigate the Future</x:v>
      </x:c>
      <x:c r="C237" s="25" t="n">
        <x:v>2024</x:v>
      </x:c>
      <x:c r="D237" s="25" t="str">
        <x:v>Aras Bozkurt; Junhong Xiao; Robert Farrow; John Y. H. Bai; Chrissi Nerantzi; Stephanie Moore; Jon Dron; Christian M. Stracke; Lenandlar Singh; Helen Crompton; Apostolos Koutropoulos; Evgeniy Terentev; Angelica Pazurek; Mark Nichols; Alexander M. Sidorkin; Eamon Costello; Steven Watson; Dorothy Mulligan; Sarah Honeychurch; Charles B. Hodges; Mike Sharples; Andrew Swindell; Isak Froumin; Ahmed Tlili; Patricia J. Slagter van Tryon; Melissa Bond; Maha Bali; Jing Leng; Kai Zhang; Mutlu Cukurova; Thomas K. F. Chiu; Kyungmee Lee; Stefan Hrastinski; Manuel B. Garcia; Ramesh C. Sharma; Bryan Alexander; Olaf Zawacki‐Richter; Henk Huijser; Petar Jandrić; Chanjin Zheng; Peter Shea; Josep M. Duart; Chryssa Themelis; Anton Vorochkov; Sunagül Sani-Bozkurt; Robert L. Moore; Tutaleni I. Asino</x:v>
      </x:c>
      <x:c r="E237" s="25" t="str">
        <x:v>Open Praxis</x:v>
      </x:c>
      <x:c r="F237" s="25" t="str">
        <x:v>10.55982/openpraxis.16.4.777</x:v>
      </x:c>
      <x:c r="G237" s="25" t="str">
        <x:v>https://doi.org/10.55982/openpraxis.16.4.777</x:v>
      </x:c>
      <x:c r="H237" s="25" t="str">
        <x:v>OpenAlex</x:v>
      </x:c>
      <x:c r="I237" s="25" t="str">
        <x:v>C14_agency_ownership</x:v>
      </x:c>
      <x:c r="J237" s="25" t="str">
        <x:v>Exclude</x:v>
      </x:c>
      <x:c r="K237" s="25" t="str">
        <x:v>Exclude: adjacent/redundant or insufficiently theory-generative for DC1</x:v>
      </x:c>
    </x:row>
    <x:row r="238">
      <x:c r="A238" s="20" t="str">
        <x:v>R0234</x:v>
      </x:c>
      <x:c r="B238" s="25" t="str">
        <x:v>A Comprehensive Survey on Pretrained Foundation Models: A History from BERT to ChatGPT</x:v>
      </x:c>
      <x:c r="C238" s="25" t="n">
        <x:v>2023</x:v>
      </x:c>
      <x:c r="D238" s="25" t="str">
        <x:v>Ce Zhou; Qian Li; Chen Li; Jun Yu; Yixin Liu; Guangjing Wang; Kai Zhang; Cheng Ji; Qiben Yan; Lifang He; Hao Peng; Jianxin Li; Jia Wu; Ziwei Liu; Pengtao Xie; Caiming Xiong; Jian Pei; Philip S. Yu; Lichao Sun</x:v>
      </x:c>
      <x:c r="E238" s="25" t="str">
        <x:v>arXiv (Cornell University)</x:v>
      </x:c>
      <x:c r="F238" s="25" t="str">
        <x:v>10.48550/arxiv.2302.09419</x:v>
      </x:c>
      <x:c r="G238" s="25" t="str">
        <x:v>http://arxiv.org/abs/2302.09419</x:v>
      </x:c>
      <x:c r="H238" s="25" t="str">
        <x:v>OpenAlex</x:v>
      </x:c>
      <x:c r="I238" s="25" t="str">
        <x:v>C8_AI_3D_authoring</x:v>
      </x:c>
      <x:c r="J238" s="25" t="str">
        <x:v>Exclude</x:v>
      </x:c>
      <x:c r="K238" s="25" t="str">
        <x:v>Exclude: adjacent/redundant or insufficiently theory-generative for DC1</x:v>
      </x:c>
    </x:row>
    <x:row r="239">
      <x:c r="A239" s="20" t="str">
        <x:v>R0235</x:v>
      </x:c>
      <x:c r="B239" s="25" t="str">
        <x:v>Artificial Intelligence–HRM Interactions and Outcomes: A Systematic Review and Causal Configurational Explanation</x:v>
      </x:c>
      <x:c r="C239" s="25" t="n">
        <x:v>2022</x:v>
      </x:c>
      <x:c r="D239" s="25" t="str">
        <x:v>Shubhabrata Basu; Bishakha Majumdar; Kajari Mukherjee; Surender Munjal; Chandan Palaksha</x:v>
      </x:c>
      <x:c r="E239" s="25" t="str">
        <x:v>Human Resource Management Review</x:v>
      </x:c>
      <x:c r="F239" s="25" t="str">
        <x:v>10.1016/j.hrmr.2022.100893</x:v>
      </x:c>
      <x:c r="G239" s="25" t="str">
        <x:v>https://doi.org/10.1016/j.hrmr.2022.100893</x:v>
      </x:c>
      <x:c r="H239" s="25" t="str">
        <x:v>OpenAlex</x:v>
      </x:c>
      <x:c r="I239" s="25" t="str">
        <x:v>C2_interaction_signals; C4_uncertainty_shared_autonomy</x:v>
      </x:c>
      <x:c r="J239" s="25" t="str">
        <x:v>Exclude</x:v>
      </x:c>
      <x:c r="K239" s="25" t="str">
        <x:v>Exclude: topic mismatch</x:v>
      </x:c>
    </x:row>
    <x:row r="240">
      <x:c r="A240" s="20" t="str">
        <x:v>R0236</x:v>
      </x:c>
      <x:c r="B240" s="25" t="str">
        <x:v>Polyjuice: Generating Counterfactuals for Explaining, Evaluating, and Improving Models</x:v>
      </x:c>
      <x:c r="C240" s="25" t="n">
        <x:v>2021</x:v>
      </x:c>
      <x:c r="D240" s="25" t="str">
        <x:v>Tongshuang Wu; Marco Túlio Ribeiro; Jeffrey Heer; Daniel S. Weld</x:v>
      </x:c>
      <x:c r="E240" s="25" t="str"/>
      <x:c r="F240" s="25" t="str">
        <x:v>10.18653/v1/2021.acl-long.523</x:v>
      </x:c>
      <x:c r="G240" s="25" t="str">
        <x:v>https://doi.org/10.18653/v1/2021.acl-long.523</x:v>
      </x:c>
      <x:c r="H240" s="25" t="str">
        <x:v>OpenAlex</x:v>
      </x:c>
      <x:c r="I240" s="25" t="str">
        <x:v>C13_CAD_design_intent</x:v>
      </x:c>
      <x:c r="J240" s="25" t="str">
        <x:v>Exclude</x:v>
      </x:c>
      <x:c r="K240" s="25" t="str">
        <x:v>Exclude: topic mismatch</x:v>
      </x:c>
    </x:row>
    <x:row r="241">
      <x:c r="A241" s="20" t="str">
        <x:v>R0237</x:v>
      </x:c>
      <x:c r="B241" s="25" t="str">
        <x:v>Mobile Augmented Reality: User Interfaces, Frameworks, and Intelligence</x:v>
      </x:c>
      <x:c r="C241" s="25" t="n">
        <x:v>2022</x:v>
      </x:c>
      <x:c r="D241" s="25" t="str">
        <x:v>Jacky Cao; Kit Yung Lam; Lik‐Hang Lee; Xiaoli Liu; Pan Hui; Xiang Su</x:v>
      </x:c>
      <x:c r="E241" s="25" t="str">
        <x:v>ACM Computing Surveys</x:v>
      </x:c>
      <x:c r="F241" s="25" t="str">
        <x:v>10.1145/3557999</x:v>
      </x:c>
      <x:c r="G241" s="25" t="str">
        <x:v>https://doi.org/10.1145/3557999</x:v>
      </x:c>
      <x:c r="H241" s="25" t="str">
        <x:v>OpenAlex</x:v>
      </x:c>
      <x:c r="I241" s="25" t="str">
        <x:v>C2_interaction_signals</x:v>
      </x:c>
      <x:c r="J241" s="25" t="str">
        <x:v>Exclude</x:v>
      </x:c>
      <x:c r="K241" s="25" t="str">
        <x:v>Exclude: adjacent/redundant or insufficiently theory-generative for DC1</x:v>
      </x:c>
    </x:row>
    <x:row r="242">
      <x:c r="A242" s="20" t="str">
        <x:v>R0238</x:v>
      </x:c>
      <x:c r="B242" s="25" t="str">
        <x:v>A Survey of Available Corpora For Building Data-Driven Dialogue Systems: The Journal Version</x:v>
      </x:c>
      <x:c r="C242" s="25" t="n">
        <x:v>2018</x:v>
      </x:c>
      <x:c r="D242" s="25" t="str">
        <x:v>Iulian Vlad Serban; Ryan Lowe; Peter Henderson; Laurent Charlin; Joëlle Pineau</x:v>
      </x:c>
      <x:c r="E242" s="25" t="str">
        <x:v>Dialogue &amp; Discourse</x:v>
      </x:c>
      <x:c r="F242" s="25" t="str">
        <x:v>10.5087/dad.2018.101</x:v>
      </x:c>
      <x:c r="G242" s="25" t="str">
        <x:v>https://doi.org/10.5087/dad.2018.101</x:v>
      </x:c>
      <x:c r="H242" s="25" t="str">
        <x:v>OpenAlex</x:v>
      </x:c>
      <x:c r="I242" s="25" t="str">
        <x:v>C12_common_ground_repair</x:v>
      </x:c>
      <x:c r="J242" s="25" t="str">
        <x:v>Exclude</x:v>
      </x:c>
      <x:c r="K242" s="25" t="str">
        <x:v>Exclude: topic mismatch</x:v>
      </x:c>
    </x:row>
    <x:row r="243">
      <x:c r="A243" s="20" t="str">
        <x:v>R0239</x:v>
      </x:c>
      <x:c r="B243" s="25" t="str">
        <x:v>Dancing with ambiguity: Causality behavior, design thinking, and triple-loop-learning</x:v>
      </x:c>
      <x:c r="C243" s="25" t="n">
        <x:v>2011</x:v>
      </x:c>
      <x:c r="D243" s="25" t="str">
        <x:v>Larry Leifer; Martin Steinert</x:v>
      </x:c>
      <x:c r="E243" s="25" t="str">
        <x:v>Information Knowledge Systems Management</x:v>
      </x:c>
      <x:c r="F243" s="25" t="str">
        <x:v>10.3233/iks-2012-0191</x:v>
      </x:c>
      <x:c r="G243" s="25" t="str">
        <x:v>https://doi.org/10.3233/iks-2012-0191</x:v>
      </x:c>
      <x:c r="H243" s="25" t="str">
        <x:v>OpenAlex</x:v>
      </x:c>
      <x:c r="I243" s="25" t="str">
        <x:v>C13_CAD_design_intent</x:v>
      </x:c>
      <x:c r="J243" s="25" t="str">
        <x:v>Exclude</x:v>
      </x:c>
      <x:c r="K243" s="25" t="str">
        <x:v>Exclude: topic mismatch</x:v>
      </x:c>
    </x:row>
    <x:row r="244">
      <x:c r="A244" s="20" t="str">
        <x:v>R0240</x:v>
      </x:c>
      <x:c r="B244" s="25" t="str">
        <x:v>“The Word Real Is No Longer Real”: Deepfakes, Gender, and the Challenges of AI-Altered Video</x:v>
      </x:c>
      <x:c r="C244" s="25" t="n">
        <x:v>2019</x:v>
      </x:c>
      <x:c r="D244" s="25" t="str">
        <x:v>Travis L. Wagner; Ashley Blewer</x:v>
      </x:c>
      <x:c r="E244" s="25" t="str">
        <x:v>Open Information Science</x:v>
      </x:c>
      <x:c r="F244" s="25" t="str">
        <x:v>10.1515/opis-2019-0003</x:v>
      </x:c>
      <x:c r="G244" s="25" t="str">
        <x:v>https://doi.org/10.1515/opis-2019-0003</x:v>
      </x:c>
      <x:c r="H244" s="25" t="str">
        <x:v>OpenAlex</x:v>
      </x:c>
      <x:c r="I244" s="25" t="str">
        <x:v>C8_AI_3D_authoring</x:v>
      </x:c>
      <x:c r="J244" s="25" t="str">
        <x:v>Exclude</x:v>
      </x:c>
      <x:c r="K244" s="25" t="str">
        <x:v>Exclude: topic mismatch</x:v>
      </x:c>
    </x:row>
    <x:row r="245">
      <x:c r="A245" s="20" t="str">
        <x:v>R0241</x:v>
      </x:c>
      <x:c r="B245" s="25" t="str">
        <x:v>Engagement in Human-Agent Interaction: An Overview</x:v>
      </x:c>
      <x:c r="C245" s="25" t="n">
        <x:v>2020</x:v>
      </x:c>
      <x:c r="D245" s="25" t="str">
        <x:v>Catharine Oertel; Ginevra Castellano; Mohamed Chétouani; Jauwairia Nasir; Mohammad Obaid; Catherine Pélachaud; Christopher L. Peters</x:v>
      </x:c>
      <x:c r="E245" s="25" t="str">
        <x:v>Frontiers in Robotics and AI</x:v>
      </x:c>
      <x:c r="F245" s="25" t="str">
        <x:v>10.3389/frobt.2020.00092</x:v>
      </x:c>
      <x:c r="G245" s="25" t="str">
        <x:v>https://doi.org/10.3389/frobt.2020.00092</x:v>
      </x:c>
      <x:c r="H245" s="25" t="str">
        <x:v>OpenAlex</x:v>
      </x:c>
      <x:c r="I245" s="25" t="str">
        <x:v>C2_interaction_signals</x:v>
      </x:c>
      <x:c r="J245" s="25" t="str">
        <x:v>Exclude</x:v>
      </x:c>
      <x:c r="K245" s="25" t="str">
        <x:v>Exclude: topic mismatch</x:v>
      </x:c>
    </x:row>
    <x:row r="246">
      <x:c r="A246" s="20" t="str">
        <x:v>R0242</x:v>
      </x:c>
      <x:c r="B246" s="25" t="str">
        <x:v>Is Question Answering fit for the Semantic Web?: A survey</x:v>
      </x:c>
      <x:c r="C246" s="25" t="n">
        <x:v>2011</x:v>
      </x:c>
      <x:c r="D246" s="25" t="str">
        <x:v>Vanessa López; Victoria Uren; Marta Sabou; Enrico Motta</x:v>
      </x:c>
      <x:c r="E246" s="25" t="str">
        <x:v>Semantic Web</x:v>
      </x:c>
      <x:c r="F246" s="25" t="str">
        <x:v>10.3233/sw-2011-0041</x:v>
      </x:c>
      <x:c r="G246" s="25" t="str">
        <x:v>https://doi.org/10.3233/sw-2011-0041</x:v>
      </x:c>
      <x:c r="H246" s="25" t="str">
        <x:v>OpenAlex</x:v>
      </x:c>
      <x:c r="I246" s="25" t="str">
        <x:v>C6_frontend_GUI_intent</x:v>
      </x:c>
      <x:c r="J246" s="25" t="str">
        <x:v>Exclude</x:v>
      </x:c>
      <x:c r="K246" s="25" t="str">
        <x:v>Exclude: topic mismatch</x:v>
      </x:c>
    </x:row>
    <x:row r="247">
      <x:c r="A247" s="20" t="str">
        <x:v>R0243</x:v>
      </x:c>
      <x:c r="B247" s="25" t="str">
        <x:v>Single-trial classification of NIRS signals during emotional induction tasks: towards a corporeal machine interface</x:v>
      </x:c>
      <x:c r="C247" s="25" t="n">
        <x:v>2009</x:v>
      </x:c>
      <x:c r="D247" s="25" t="str">
        <x:v>Kelly Tai; Tom Chau</x:v>
      </x:c>
      <x:c r="E247" s="25" t="str">
        <x:v>Journal of NeuroEngineering and Rehabilitation</x:v>
      </x:c>
      <x:c r="F247" s="25" t="str">
        <x:v>10.1186/1743-0003-6-39</x:v>
      </x:c>
      <x:c r="G247" s="25" t="str">
        <x:v>https://doi.org/10.1186/1743-0003-6-39</x:v>
      </x:c>
      <x:c r="H247" s="25" t="str">
        <x:v>OpenAlex</x:v>
      </x:c>
      <x:c r="I247" s="25" t="str">
        <x:v>C2_interaction_signals</x:v>
      </x:c>
      <x:c r="J247" s="25" t="str">
        <x:v>Exclude</x:v>
      </x:c>
      <x:c r="K247" s="25" t="str">
        <x:v>Exclude: topic mismatch</x:v>
      </x:c>
    </x:row>
    <x:row r="248">
      <x:c r="A248" s="20" t="str">
        <x:v>R0244</x:v>
      </x:c>
      <x:c r="B248" s="25" t="str">
        <x:v>AI Creativity and the Human-AI Co-creation Model</x:v>
      </x:c>
      <x:c r="C248" s="25" t="n">
        <x:v>2021</x:v>
      </x:c>
      <x:c r="D248" s="25" t="str">
        <x:v>Zhuohao Wu; Danwen Ji; Kaiwen Yu; Xianxu Zeng; Dingming Wu; Mohammad Shidujaman</x:v>
      </x:c>
      <x:c r="E248" s="25" t="str">
        <x:v>Lecture Notes in Computer Science</x:v>
      </x:c>
      <x:c r="F248" s="25" t="str">
        <x:v>10.1007/978-3-030-78462-1_13</x:v>
      </x:c>
      <x:c r="G248" s="25" t="str">
        <x:v>https://doi.org/10.1007/978-3-030-78462-1_13</x:v>
      </x:c>
      <x:c r="H248" s="25" t="str">
        <x:v>Crossref</x:v>
      </x:c>
      <x:c r="I248" s="25" t="str">
        <x:v>C3_mixed_initiative_cocreation</x:v>
      </x:c>
      <x:c r="J248" s="25" t="str">
        <x:v>Exclude</x:v>
      </x:c>
      <x:c r="K248" s="25" t="str">
        <x:v>Exclude: adjacent/redundant or insufficiently theory-generative for DC1</x:v>
      </x:c>
    </x:row>
    <x:row r="249">
      <x:c r="A249" s="20" t="str">
        <x:v>R0245</x:v>
      </x:c>
      <x:c r="B249" s="25" t="str">
        <x:v>The AI Ghostwriter Effect: When Users do not Perceive Ownership of AI-Generated Text but Self-Declare as Authors</x:v>
      </x:c>
      <x:c r="C249" s="25" t="n">
        <x:v>2023</x:v>
      </x:c>
      <x:c r="D249" s="25" t="str">
        <x:v>Fiona Draxler; Anna Werner; Florian Lehmann; Matthias Hoppe; Albrecht Schmidt; Daniel Buschek; Robin Welsch</x:v>
      </x:c>
      <x:c r="E249" s="25" t="str">
        <x:v>ACM Transactions on Computer-Human Interaction</x:v>
      </x:c>
      <x:c r="F249" s="25" t="str">
        <x:v>10.1145/3637875</x:v>
      </x:c>
      <x:c r="G249" s="25" t="str">
        <x:v>https://doi.org/10.1145/3637875</x:v>
      </x:c>
      <x:c r="H249" s="25" t="str">
        <x:v>OpenAlex</x:v>
      </x:c>
      <x:c r="I249" s="25" t="str">
        <x:v>C14_agency_ownership; C3_mixed_initiative_cocreation</x:v>
      </x:c>
      <x:c r="J249" s="25" t="str">
        <x:v>Include</x:v>
      </x:c>
      <x:c r="K249" s="25" t="str">
        <x:v>Included in focused synthesis</x:v>
      </x:c>
    </x:row>
    <x:row r="250">
      <x:c r="A250" s="20" t="str">
        <x:v>R0246</x:v>
      </x:c>
      <x:c r="B250" s="25" t="str">
        <x:v>A Current Review of Machine Learning and Deep Learning Models in Oral Cancer Diagnosis: Recent Technologies, Open Challenges, and Future Research Directions</x:v>
      </x:c>
      <x:c r="C250" s="25" t="n">
        <x:v>2023</x:v>
      </x:c>
      <x:c r="D250" s="25" t="str">
        <x:v>Shriniket Dixit; Anant Kumar; Kathiravan Srinivasan</x:v>
      </x:c>
      <x:c r="E250" s="25" t="str">
        <x:v>Diagnostics</x:v>
      </x:c>
      <x:c r="F250" s="25" t="str">
        <x:v>10.3390/diagnostics13071353</x:v>
      </x:c>
      <x:c r="G250" s="25" t="str">
        <x:v>https://doi.org/10.3390/diagnostics13071353</x:v>
      </x:c>
      <x:c r="H250" s="25" t="str">
        <x:v>OpenAlex</x:v>
      </x:c>
      <x:c r="I250" s="25" t="str">
        <x:v>C8_AI_3D_authoring</x:v>
      </x:c>
      <x:c r="J250" s="25" t="str">
        <x:v>Exclude</x:v>
      </x:c>
      <x:c r="K250" s="25" t="str">
        <x:v>Exclude: adjacent/redundant or insufficiently theory-generative for DC1</x:v>
      </x:c>
    </x:row>
    <x:row r="251">
      <x:c r="A251" s="20" t="str">
        <x:v>R0247</x:v>
      </x:c>
      <x:c r="B251" s="25" t="str">
        <x:v>AI Agents vs. Agentic AI: A Conceptual Taxonomy, Applications and Challenges</x:v>
      </x:c>
      <x:c r="C251" s="25" t="n">
        <x:v>2025</x:v>
      </x:c>
      <x:c r="D251" s="25" t="str">
        <x:v>Ranjan Sapkota; Konstantinos I. Roumeliotis; Manoj Karkee</x:v>
      </x:c>
      <x:c r="E251" s="25" t="str">
        <x:v>SuperIntelligence - Robotics - Safety &amp; Alignment</x:v>
      </x:c>
      <x:c r="F251" s="25" t="str">
        <x:v>10.70777/si.v2i3.15161</x:v>
      </x:c>
      <x:c r="G251" s="25" t="str">
        <x:v>https://doi.org/10.70777/si.v2i3.15161</x:v>
      </x:c>
      <x:c r="H251" s="25" t="str">
        <x:v>OpenAlex</x:v>
      </x:c>
      <x:c r="I251" s="25" t="str">
        <x:v>C5_agent_memory</x:v>
      </x:c>
      <x:c r="J251" s="25" t="str">
        <x:v>Exclude</x:v>
      </x:c>
      <x:c r="K251" s="25" t="str">
        <x:v>Exclude: adjacent/redundant or insufficiently theory-generative for DC1</x:v>
      </x:c>
    </x:row>
    <x:row r="252">
      <x:c r="A252" s="20" t="str">
        <x:v>R0248</x:v>
      </x:c>
      <x:c r="B252" s="25" t="str">
        <x:v>Augmented Language Models: a Survey</x:v>
      </x:c>
      <x:c r="C252" s="25" t="n">
        <x:v>2023</x:v>
      </x:c>
      <x:c r="D252" s="25" t="str">
        <x:v>Grégoire Mialon; Roberto Dessì; María Lomelí; Christoforos Nalmpantis; Ram Pasunuru; Roberta Răileanu; Baptiste Rozière; Timo Schick; Jane Dwivedi-Yu; Aslı Çelikyılmaz; Édouard Grave; Yann LeCun; Thomas Scialom</x:v>
      </x:c>
      <x:c r="E252" s="25" t="str">
        <x:v>arXiv (Cornell University)</x:v>
      </x:c>
      <x:c r="F252" s="25" t="str">
        <x:v>10.48550/arxiv.2302.07842</x:v>
      </x:c>
      <x:c r="G252" s="25" t="str">
        <x:v>http://arxiv.org/abs/2302.07842</x:v>
      </x:c>
      <x:c r="H252" s="25" t="str">
        <x:v>OpenAlex</x:v>
      </x:c>
      <x:c r="I252" s="25" t="str">
        <x:v>C8_AI_3D_authoring</x:v>
      </x:c>
      <x:c r="J252" s="25" t="str">
        <x:v>Exclude</x:v>
      </x:c>
      <x:c r="K252" s="25" t="str">
        <x:v>Exclude: adjacent/redundant or insufficiently theory-generative for DC1</x:v>
      </x:c>
    </x:row>
    <x:row r="253">
      <x:c r="A253" s="20" t="str">
        <x:v>R0249</x:v>
      </x:c>
      <x:c r="B253" s="25" t="str">
        <x:v>Automated Driving: A Literature Review of the Take over Request in Conditional Automation</x:v>
      </x:c>
      <x:c r="C253" s="25" t="n">
        <x:v>2020</x:v>
      </x:c>
      <x:c r="D253" s="25" t="str">
        <x:v>Walter Morales-Alvarez; Óscar Sipele; Régis Léberon; Hadj Hamma Tadjine; Cristina Olaverri-Monreal</x:v>
      </x:c>
      <x:c r="E253" s="25" t="str">
        <x:v>Electronics</x:v>
      </x:c>
      <x:c r="F253" s="25" t="str">
        <x:v>10.3390/electronics9122087</x:v>
      </x:c>
      <x:c r="G253" s="25" t="str">
        <x:v>https://doi.org/10.3390/electronics9122087</x:v>
      </x:c>
      <x:c r="H253" s="25" t="str">
        <x:v>OpenAlex</x:v>
      </x:c>
      <x:c r="I253" s="25" t="str">
        <x:v>C15_proactive_interruption</x:v>
      </x:c>
      <x:c r="J253" s="25" t="str">
        <x:v>Exclude</x:v>
      </x:c>
      <x:c r="K253" s="25" t="str">
        <x:v>Exclude: topic mismatch</x:v>
      </x:c>
    </x:row>
    <x:row r="254">
      <x:c r="A254" s="20" t="str">
        <x:v>R0250</x:v>
      </x:c>
      <x:c r="B254" s="25" t="str">
        <x:v>Homogenization Effects of Large Language Models on Human Creative Ideation</x:v>
      </x:c>
      <x:c r="C254" s="25" t="n">
        <x:v>2024</x:v>
      </x:c>
      <x:c r="D254" s="25" t="str">
        <x:v>Barrett R. Anderson; Jash Hemant Shah; Max Kreminski</x:v>
      </x:c>
      <x:c r="E254" s="25" t="str">
        <x:v>Creativity and Cognition</x:v>
      </x:c>
      <x:c r="F254" s="25" t="str">
        <x:v>10.1145/3635636.3656204</x:v>
      </x:c>
      <x:c r="G254" s="25" t="str">
        <x:v>https://doi.org/10.1145/3635636.3656204</x:v>
      </x:c>
      <x:c r="H254" s="25" t="str">
        <x:v>OpenAlex</x:v>
      </x:c>
      <x:c r="I254" s="25" t="str">
        <x:v>C3_mixed_initiative_cocreation</x:v>
      </x:c>
      <x:c r="J254" s="25" t="str">
        <x:v>Exclude</x:v>
      </x:c>
      <x:c r="K254" s="25" t="str">
        <x:v>Exclude: adjacent/redundant or insufficiently theory-generative for DC1</x:v>
      </x:c>
    </x:row>
    <x:row r="255">
      <x:c r="A255" s="20" t="str">
        <x:v>R0251</x:v>
      </x:c>
      <x:c r="B255" s="25" t="str">
        <x:v>Non-Invasive Brain-Computer Interfaces: State of the Art and Trends</x:v>
      </x:c>
      <x:c r="C255" s="25" t="n">
        <x:v>2024</x:v>
      </x:c>
      <x:c r="D255" s="25" t="str">
        <x:v>Bradley J. Edelman; Shuailei Zhang; Gerwin Schalk; Peter Brunner; Gernot Müller-Putz; Cuntai Guan; Bin He</x:v>
      </x:c>
      <x:c r="E255" s="25" t="str">
        <x:v>IEEE Reviews in Biomedical Engineering</x:v>
      </x:c>
      <x:c r="F255" s="25" t="str">
        <x:v>10.1109/rbme.2024.3449790</x:v>
      </x:c>
      <x:c r="G255" s="25" t="str">
        <x:v>https://doi.org/10.1109/rbme.2024.3449790</x:v>
      </x:c>
      <x:c r="H255" s="25" t="str">
        <x:v>OpenAlex</x:v>
      </x:c>
      <x:c r="I255" s="25" t="str">
        <x:v>C2_interaction_signals</x:v>
      </x:c>
      <x:c r="J255" s="25" t="str">
        <x:v>Exclude</x:v>
      </x:c>
      <x:c r="K255" s="25" t="str">
        <x:v>Exclude: topic mismatch</x:v>
      </x:c>
    </x:row>
    <x:row r="256">
      <x:c r="A256" s="20" t="str">
        <x:v>R0252</x:v>
      </x:c>
      <x:c r="B256" s="25" t="str">
        <x:v>A Survey of Query Auto Completion in Information Retrieval</x:v>
      </x:c>
      <x:c r="C256" s="25" t="n">
        <x:v>2016</x:v>
      </x:c>
      <x:c r="D256" s="25" t="str">
        <x:v>Fei Cai; Maarten de Rijke</x:v>
      </x:c>
      <x:c r="E256" s="25" t="str">
        <x:v>Foundations and Trends® in Information Retrieval</x:v>
      </x:c>
      <x:c r="F256" s="25" t="str">
        <x:v>10.1561/1500000055</x:v>
      </x:c>
      <x:c r="G256" s="25" t="str">
        <x:v>https://doi.org/10.1561/1500000055</x:v>
      </x:c>
      <x:c r="H256" s="25" t="str">
        <x:v>OpenAlex</x:v>
      </x:c>
      <x:c r="I256" s="25" t="str">
        <x:v>C2_interaction_signals</x:v>
      </x:c>
      <x:c r="J256" s="25" t="str">
        <x:v>Exclude</x:v>
      </x:c>
      <x:c r="K256" s="25" t="str">
        <x:v>Exclude: adjacent/redundant or insufficiently theory-generative for DC1</x:v>
      </x:c>
    </x:row>
    <x:row r="257">
      <x:c r="A257" s="20" t="str">
        <x:v>R0253</x:v>
      </x:c>
      <x:c r="B257" s="25" t="str">
        <x:v>Anthropomorphism in AI: hype and fallacy</x:v>
      </x:c>
      <x:c r="C257" s="25" t="n">
        <x:v>2024</x:v>
      </x:c>
      <x:c r="D257" s="25" t="str">
        <x:v>Adriana Placani</x:v>
      </x:c>
      <x:c r="E257" s="25" t="str">
        <x:v>AI and Ethics</x:v>
      </x:c>
      <x:c r="F257" s="25" t="str">
        <x:v>10.1007/s43681-024-00419-4</x:v>
      </x:c>
      <x:c r="G257" s="25" t="str">
        <x:v>https://doi.org/10.1007/s43681-024-00419-4</x:v>
      </x:c>
      <x:c r="H257" s="25" t="str">
        <x:v>OpenAlex</x:v>
      </x:c>
      <x:c r="I257" s="25" t="str">
        <x:v>C14_agency_ownership</x:v>
      </x:c>
      <x:c r="J257" s="25" t="str">
        <x:v>Exclude</x:v>
      </x:c>
      <x:c r="K257" s="25" t="str">
        <x:v>Exclude: topic mismatch</x:v>
      </x:c>
    </x:row>
    <x:row r="258">
      <x:c r="A258" s="20" t="str">
        <x:v>R0254</x:v>
      </x:c>
      <x:c r="B258" s="25" t="str">
        <x:v>Communication in Human–AI Co-Creation: Perceptual Analysis of Paintings Generated by Text-to-Image System</x:v>
      </x:c>
      <x:c r="C258" s="25" t="n">
        <x:v>2022</x:v>
      </x:c>
      <x:c r="D258" s="25" t="str">
        <x:v>Yanru Lyu; Xinxin Wang; Rungtai Lin; Jun Wu</x:v>
      </x:c>
      <x:c r="E258" s="25" t="str">
        <x:v>Applied Sciences</x:v>
      </x:c>
      <x:c r="F258" s="25" t="str">
        <x:v>10.3390/app122211312</x:v>
      </x:c>
      <x:c r="G258" s="25" t="str">
        <x:v>https://doi.org/10.3390/app122211312</x:v>
      </x:c>
      <x:c r="H258" s="25" t="str">
        <x:v>OpenAlex</x:v>
      </x:c>
      <x:c r="I258" s="25" t="str">
        <x:v>C14_agency_ownership; C7_creative_agency</x:v>
      </x:c>
      <x:c r="J258" s="25" t="str">
        <x:v>Exclude</x:v>
      </x:c>
      <x:c r="K258" s="25" t="str">
        <x:v>Exclude: topic mismatch</x:v>
      </x:c>
    </x:row>
    <x:row r="259">
      <x:c r="A259" s="20" t="str">
        <x:v>R0255</x:v>
      </x:c>
      <x:c r="B259" s="25" t="str">
        <x:v>State-of-the-Art on Brain-Computer Interface Technology</x:v>
      </x:c>
      <x:c r="C259" s="25" t="n">
        <x:v>2023</x:v>
      </x:c>
      <x:c r="D259" s="25" t="str">
        <x:v>Jānis Pekša; Dmytro Mamchur</x:v>
      </x:c>
      <x:c r="E259" s="25" t="str">
        <x:v>Sensors</x:v>
      </x:c>
      <x:c r="F259" s="25" t="str">
        <x:v>10.3390/s23136001</x:v>
      </x:c>
      <x:c r="G259" s="25" t="str">
        <x:v>https://doi.org/10.3390/s23136001</x:v>
      </x:c>
      <x:c r="H259" s="25" t="str">
        <x:v>OpenAlex</x:v>
      </x:c>
      <x:c r="I259" s="25" t="str">
        <x:v>C1_3D_mental_models</x:v>
      </x:c>
      <x:c r="J259" s="25" t="str">
        <x:v>Exclude</x:v>
      </x:c>
      <x:c r="K259" s="25" t="str">
        <x:v>Exclude: topic mismatch</x:v>
      </x:c>
    </x:row>
    <x:row r="260">
      <x:c r="A260" s="20" t="str">
        <x:v>R0256</x:v>
      </x:c>
      <x:c r="B260" s="25" t="str">
        <x:v>The Perception And Measurement Of Human-robot Trust</x:v>
      </x:c>
      <x:c r="C260" s="25" t="n">
        <x:v>2013</x:v>
      </x:c>
      <x:c r="D260" s="25" t="str">
        <x:v>Kristin E. Schaefer</x:v>
      </x:c>
      <x:c r="E260" s="25" t="str">
        <x:v>Journal of International Crisis and Risk Communication Research</x:v>
      </x:c>
      <x:c r="F260" s="25" t="str"/>
      <x:c r="G260" s="25" t="str">
        <x:v>https://stars.library.ucf.edu/etd/2688</x:v>
      </x:c>
      <x:c r="H260" s="25" t="str">
        <x:v>OpenAlex</x:v>
      </x:c>
      <x:c r="I260" s="25" t="str">
        <x:v>C4_uncertainty_shared_autonomy</x:v>
      </x:c>
      <x:c r="J260" s="25" t="str">
        <x:v>Exclude</x:v>
      </x:c>
      <x:c r="K260" s="25" t="str">
        <x:v>Exclude: topic mismatch</x:v>
      </x:c>
    </x:row>
    <x:row r="261">
      <x:c r="A261" s="20" t="str">
        <x:v>R0257</x:v>
      </x:c>
      <x:c r="B261" s="25" t="str">
        <x:v>APPLYING UNCERTAINTY MANAGEMENT THEORY TO EMPLOYEE VOICE BEHAVIOR: AN INTEGRATIVE INVESTIGATION</x:v>
      </x:c>
      <x:c r="C261" s="25" t="n">
        <x:v>2012</x:v>
      </x:c>
      <x:c r="D261" s="25" t="str">
        <x:v>Riki Takeuchi; Zhijun Chen; Siu Yin Cheung</x:v>
      </x:c>
      <x:c r="E261" s="25" t="str">
        <x:v>Personnel Psychology</x:v>
      </x:c>
      <x:c r="F261" s="25" t="str">
        <x:v>10.1111/j.1744-6570.2012.01247.x</x:v>
      </x:c>
      <x:c r="G261" s="25" t="str">
        <x:v>https://doi.org/10.1111/j.1744-6570.2012.01247.x</x:v>
      </x:c>
      <x:c r="H261" s="25" t="str">
        <x:v>OpenAlex</x:v>
      </x:c>
      <x:c r="I261" s="25" t="str">
        <x:v>C4_uncertainty_shared_autonomy</x:v>
      </x:c>
      <x:c r="J261" s="25" t="str">
        <x:v>Exclude</x:v>
      </x:c>
      <x:c r="K261" s="25" t="str">
        <x:v>Exclude: topic mismatch</x:v>
      </x:c>
    </x:row>
    <x:row r="262">
      <x:c r="A262" s="20" t="str">
        <x:v>R0258</x:v>
      </x:c>
      <x:c r="B262" s="25" t="str">
        <x:v>Affective Touch in Human–Robot Interaction: Conveying Emotion to the Nao Robot</x:v>
      </x:c>
      <x:c r="C262" s="25" t="n">
        <x:v>2017</x:v>
      </x:c>
      <x:c r="D262" s="25" t="str">
        <x:v>Rebecca Andreasson; Beatrice Alenljung; Erik Billing; Robert Lowe</x:v>
      </x:c>
      <x:c r="E262" s="25" t="str">
        <x:v>International Journal of Social Robotics</x:v>
      </x:c>
      <x:c r="F262" s="25" t="str">
        <x:v>10.1007/s12369-017-0446-3</x:v>
      </x:c>
      <x:c r="G262" s="25" t="str">
        <x:v>https://doi.org/10.1007/s12369-017-0446-3</x:v>
      </x:c>
      <x:c r="H262" s="25" t="str">
        <x:v>OpenAlex</x:v>
      </x:c>
      <x:c r="I262" s="25" t="str">
        <x:v>C4_uncertainty_shared_autonomy</x:v>
      </x:c>
      <x:c r="J262" s="25" t="str">
        <x:v>Exclude</x:v>
      </x:c>
      <x:c r="K262" s="25" t="str">
        <x:v>Exclude: topic mismatch</x:v>
      </x:c>
    </x:row>
    <x:row r="263">
      <x:c r="A263" s="20" t="str">
        <x:v>R0259</x:v>
      </x:c>
      <x:c r="B263" s="25" t="str">
        <x:v>Artificial intelligence moving serious gaming: Presenting reusable game AI components</x:v>
      </x:c>
      <x:c r="C263" s="25" t="n">
        <x:v>2019</x:v>
      </x:c>
      <x:c r="D263" s="25" t="str">
        <x:v>Wim Westera; Rui Prada; Samuel Mascarenhas; Pedro A. Santos; João Dias; Manuel Guimarães; Konstantinos Georgiadis; Enkhbold Nyamsuren; Kiavash Bahreini; Zerrin Yumak; Chris Christyowidiasmoro; Mihai Dascălu; Gabriel Guțu-Robu; Ştefan Ruşeţi</x:v>
      </x:c>
      <x:c r="E263" s="25" t="str">
        <x:v>Education and Information Technologies</x:v>
      </x:c>
      <x:c r="F263" s="25" t="str">
        <x:v>10.1007/s10639-019-09968-2</x:v>
      </x:c>
      <x:c r="G263" s="25" t="str">
        <x:v>https://doi.org/10.1007/s10639-019-09968-2</x:v>
      </x:c>
      <x:c r="H263" s="25" t="str">
        <x:v>OpenAlex</x:v>
      </x:c>
      <x:c r="I263" s="25" t="str">
        <x:v>C8_AI_3D_authoring</x:v>
      </x:c>
      <x:c r="J263" s="25" t="str">
        <x:v>Exclude</x:v>
      </x:c>
      <x:c r="K263" s="25" t="str">
        <x:v>Exclude: topic mismatch</x:v>
      </x:c>
    </x:row>
    <x:row r="264">
      <x:c r="A264" s="20" t="str">
        <x:v>R0260</x:v>
      </x:c>
      <x:c r="B264" s="25" t="str">
        <x:v>Embodied memories: Reviewing the role of the body in memory processes</x:v>
      </x:c>
      <x:c r="C264" s="25" t="n">
        <x:v>2019</x:v>
      </x:c>
      <x:c r="D264" s="25" t="str">
        <x:v>Francesco Ianì</x:v>
      </x:c>
      <x:c r="E264" s="25" t="str">
        <x:v>Psychonomic Bulletin &amp; Review</x:v>
      </x:c>
      <x:c r="F264" s="25" t="str">
        <x:v>10.3758/s13423-019-01674-x</x:v>
      </x:c>
      <x:c r="G264" s="25" t="str">
        <x:v>https://doi.org/10.3758/s13423-019-01674-x</x:v>
      </x:c>
      <x:c r="H264" s="25" t="str">
        <x:v>OpenAlex</x:v>
      </x:c>
      <x:c r="I264" s="25" t="str">
        <x:v>C10_affordance_embodied</x:v>
      </x:c>
      <x:c r="J264" s="25" t="str">
        <x:v>Exclude</x:v>
      </x:c>
      <x:c r="K264" s="25" t="str">
        <x:v>Exclude: adjacent/redundant or insufficiently theory-generative for DC1</x:v>
      </x:c>
    </x:row>
    <x:row r="265">
      <x:c r="A265" s="20" t="str">
        <x:v>R0261</x:v>
      </x:c>
      <x:c r="B265" s="25" t="str">
        <x:v>Implementing machine learning in medicine</x:v>
      </x:c>
      <x:c r="C265" s="25" t="n">
        <x:v>2021</x:v>
      </x:c>
      <x:c r="D265" s="25" t="str">
        <x:v>Amol A. Verma; Joshua Murray; Russell Greiner; Joseph Cohen; Kaveh G Shojania; Marzyeh Ghassemi; Sharon E. Straus; Chloé Pou-Prom; Muhammad Mamdani</x:v>
      </x:c>
      <x:c r="E265" s="25" t="str">
        <x:v>Canadian Medical Association Journal</x:v>
      </x:c>
      <x:c r="F265" s="25" t="str">
        <x:v>10.1503/cmaj.202434</x:v>
      </x:c>
      <x:c r="G265" s="25" t="str">
        <x:v>https://doi.org/10.1503/cmaj.202434</x:v>
      </x:c>
      <x:c r="H265" s="25" t="str">
        <x:v>OpenAlex</x:v>
      </x:c>
      <x:c r="I265" s="25" t="str">
        <x:v>C15_proactive_interruption</x:v>
      </x:c>
      <x:c r="J265" s="25" t="str">
        <x:v>Exclude</x:v>
      </x:c>
      <x:c r="K265" s="25" t="str">
        <x:v>Exclude: topic mismatch</x:v>
      </x:c>
    </x:row>
    <x:row r="266">
      <x:c r="A266" s="20" t="str">
        <x:v>R0262</x:v>
      </x:c>
      <x:c r="B266" s="25" t="str">
        <x:v>Weighing outcome vs. intent across societies: How cultural models of mind shape moral reasoning</x:v>
      </x:c>
      <x:c r="C266" s="25" t="n">
        <x:v>2018</x:v>
      </x:c>
      <x:c r="D266" s="25" t="str">
        <x:v>Rita Anne McNamara; Aiyana K. Willard; Ara Norenzayan; Joseph Henrich</x:v>
      </x:c>
      <x:c r="E266" s="25" t="str">
        <x:v>Cognition</x:v>
      </x:c>
      <x:c r="F266" s="25" t="str">
        <x:v>10.1016/j.cognition.2018.09.008</x:v>
      </x:c>
      <x:c r="G266" s="25" t="str">
        <x:v>https://doi.org/10.1016/j.cognition.2018.09.008</x:v>
      </x:c>
      <x:c r="H266" s="25" t="str">
        <x:v>OpenAlex</x:v>
      </x:c>
      <x:c r="I266" s="25" t="str">
        <x:v>C4_uncertainty_shared_autonomy</x:v>
      </x:c>
      <x:c r="J266" s="25" t="str">
        <x:v>Exclude</x:v>
      </x:c>
      <x:c r="K266" s="25" t="str">
        <x:v>Exclude: adjacent/redundant or insufficiently theory-generative for DC1</x:v>
      </x:c>
    </x:row>
    <x:row r="267">
      <x:c r="A267" s="20" t="str">
        <x:v>R0263</x:v>
      </x:c>
      <x:c r="B267" s="25" t="str">
        <x:v>Exploring collaborative decision-making: A quasi-experimental study of human and Generative AI interaction</x:v>
      </x:c>
      <x:c r="C267" s="25" t="n">
        <x:v>2024</x:v>
      </x:c>
      <x:c r="D267" s="25" t="str">
        <x:v>Xinyue Hao; Emrah Demir; Daniel Eyers</x:v>
      </x:c>
      <x:c r="E267" s="25" t="str">
        <x:v>Technology in Society</x:v>
      </x:c>
      <x:c r="F267" s="25" t="str">
        <x:v>10.1016/j.techsoc.2024.102662</x:v>
      </x:c>
      <x:c r="G267" s="25" t="str">
        <x:v>https://doi.org/10.1016/j.techsoc.2024.102662</x:v>
      </x:c>
      <x:c r="H267" s="25" t="str">
        <x:v>OpenAlex</x:v>
      </x:c>
      <x:c r="I267" s="25" t="str">
        <x:v>C3_mixed_initiative_cocreation</x:v>
      </x:c>
      <x:c r="J267" s="25" t="str">
        <x:v>Exclude</x:v>
      </x:c>
      <x:c r="K267" s="25" t="str">
        <x:v>Exclude: adjacent/redundant or insufficiently theory-generative for DC1</x:v>
      </x:c>
    </x:row>
    <x:row r="268">
      <x:c r="A268" s="20" t="str">
        <x:v>R0264</x:v>
      </x:c>
      <x:c r="B268" s="25" t="str">
        <x:v>Reinforcement Learning Approaches in Social Robotics</x:v>
      </x:c>
      <x:c r="C268" s="25" t="n">
        <x:v>2021</x:v>
      </x:c>
      <x:c r="D268" s="25" t="str">
        <x:v>Neziha Akalın</x:v>
      </x:c>
      <x:c r="E268" s="25" t="str">
        <x:v>MDPI (MDPI AG)</x:v>
      </x:c>
      <x:c r="F268" s="25" t="str">
        <x:v>10.3390/s21041292</x:v>
      </x:c>
      <x:c r="G268" s="25" t="str">
        <x:v>https://dx.doi.org/10.3390/s21041292</x:v>
      </x:c>
      <x:c r="H268" s="25" t="str">
        <x:v>OpenAlex</x:v>
      </x:c>
      <x:c r="I268" s="25" t="str">
        <x:v>C11_hierarchical_goal_recognition; C6_frontend_GUI_intent</x:v>
      </x:c>
      <x:c r="J268" s="25" t="str">
        <x:v>Exclude</x:v>
      </x:c>
      <x:c r="K268" s="25" t="str">
        <x:v>Exclude: topic mismatch</x:v>
      </x:c>
    </x:row>
    <x:row r="269">
      <x:c r="A269" s="20" t="str">
        <x:v>R0265</x:v>
      </x:c>
      <x:c r="B269" s="25" t="str">
        <x:v>shapeShift</x:v>
      </x:c>
      <x:c r="C269" s="25" t="n">
        <x:v>2018</x:v>
      </x:c>
      <x:c r="D269" s="25" t="str">
        <x:v>Alexa Siu; Eric J. Gonzalez; Shenli Yuan; Jason Ginsberg; Sean Follmer</x:v>
      </x:c>
      <x:c r="E269" s="25" t="str"/>
      <x:c r="F269" s="25" t="str">
        <x:v>10.1145/3173574.3173865</x:v>
      </x:c>
      <x:c r="G269" s="25" t="str">
        <x:v>https://doi.org/10.1145/3173574.3173865</x:v>
      </x:c>
      <x:c r="H269" s="25" t="str">
        <x:v>OpenAlex</x:v>
      </x:c>
      <x:c r="I269" s="25" t="str">
        <x:v>C1_3D_mental_models</x:v>
      </x:c>
      <x:c r="J269" s="25" t="str">
        <x:v>Exclude</x:v>
      </x:c>
      <x:c r="K269" s="25" t="str">
        <x:v>Exclude: adjacent/redundant or insufficiently theory-generative for DC1</x:v>
      </x:c>
    </x:row>
    <x:row r="270">
      <x:c r="A270" s="20" t="str">
        <x:v>R0266</x:v>
      </x:c>
      <x:c r="B270" s="25" t="str">
        <x:v>Proceedings of the 9th Python in Science Conference</x:v>
      </x:c>
      <x:c r="C270" s="25" t="n">
        <x:v>2010</x:v>
      </x:c>
      <x:c r="D270" s="25" t="str"/>
      <x:c r="E270" s="25" t="str">
        <x:v>Proceedings of the Python in Science Conferences</x:v>
      </x:c>
      <x:c r="F270" s="25" t="str">
        <x:v>10.25080/majora-92bf1922-012</x:v>
      </x:c>
      <x:c r="G270" s="25" t="str">
        <x:v>https://doi.org/10.25080/majora-92bf1922-012</x:v>
      </x:c>
      <x:c r="H270" s="25" t="str">
        <x:v>OpenAlex</x:v>
      </x:c>
      <x:c r="I270" s="25" t="str">
        <x:v>C11_hierarchical_goal_recognition</x:v>
      </x:c>
      <x:c r="J270" s="25" t="str">
        <x:v>Exclude</x:v>
      </x:c>
      <x:c r="K270" s="25" t="str">
        <x:v>Exclude: adjacent/redundant or insufficiently theory-generative for DC1</x:v>
      </x:c>
    </x:row>
    <x:row r="271">
      <x:c r="A271" s="20" t="str">
        <x:v>R0267</x:v>
      </x:c>
      <x:c r="B271" s="25" t="str">
        <x:v>Copyright and Artificial Creation: Does EU Copyright Law Protect AI-Assisted Output?</x:v>
      </x:c>
      <x:c r="C271" s="25" t="n">
        <x:v>2021</x:v>
      </x:c>
      <x:c r="D271" s="25" t="str">
        <x:v>P.B. Hugenholtz; João Pedro Quintais</x:v>
      </x:c>
      <x:c r="E271" s="25" t="str">
        <x:v>GRURRR. Gewerblicher Rechtsschutz und Urheberrecht, Rechtsprechungs-Report/GRUR-DVD/GRUR-CD/IIC/Gewerblicher Rechtsschutz und Urheberrecht/Gewerblicher Rechtsschutz und Urheberrecht. Internationaler Teil</x:v>
      </x:c>
      <x:c r="F271" s="25" t="str">
        <x:v>10.1007/s40319-021-01115-0</x:v>
      </x:c>
      <x:c r="G271" s="25" t="str">
        <x:v>https://doi.org/10.1007/s40319-021-01115-0</x:v>
      </x:c>
      <x:c r="H271" s="25" t="str">
        <x:v>OpenAlex</x:v>
      </x:c>
      <x:c r="I271" s="25" t="str">
        <x:v>C14_agency_ownership; C7_creative_agency</x:v>
      </x:c>
      <x:c r="J271" s="25" t="str">
        <x:v>Exclude</x:v>
      </x:c>
      <x:c r="K271" s="25" t="str">
        <x:v>Exclude: adjacent/redundant or insufficiently theory-generative for DC1</x:v>
      </x:c>
    </x:row>
    <x:row r="272">
      <x:c r="A272" s="20" t="str">
        <x:v>R0268</x:v>
      </x:c>
      <x:c r="B272" s="25" t="str">
        <x:v>Exploring a Cognitive Basis for Learning Spatial Relationships with Augmented Reality</x:v>
      </x:c>
      <x:c r="C272" s="25" t="n">
        <x:v>2003</x:v>
      </x:c>
      <x:c r="D272" s="25" t="str">
        <x:v>Brett E. Shelton; Nick Hedley</x:v>
      </x:c>
      <x:c r="E272" s="25" t="str">
        <x:v>Digital Commons - USU (Utah State University)</x:v>
      </x:c>
      <x:c r="F272" s="25" t="str"/>
      <x:c r="G272" s="25" t="str">
        <x:v>https://digitalcommons.usu.edu/itls_facpub/92</x:v>
      </x:c>
      <x:c r="H272" s="25" t="str">
        <x:v>OpenAlex</x:v>
      </x:c>
      <x:c r="I272" s="25" t="str">
        <x:v>C1_3D_mental_models</x:v>
      </x:c>
      <x:c r="J272" s="25" t="str">
        <x:v>Exclude</x:v>
      </x:c>
      <x:c r="K272" s="25" t="str">
        <x:v>Exclude: adjacent/redundant or insufficiently theory-generative for DC1</x:v>
      </x:c>
    </x:row>
    <x:row r="273">
      <x:c r="A273" s="20" t="str">
        <x:v>R0269</x:v>
      </x:c>
      <x:c r="B273" s="25" t="str">
        <x:v>Making sense of movement in embodied design for mathematics learning</x:v>
      </x:c>
      <x:c r="C273" s="25" t="n">
        <x:v>2016</x:v>
      </x:c>
      <x:c r="D273" s="25" t="str">
        <x:v>Dor Abrahamson; Arthur Bakker</x:v>
      </x:c>
      <x:c r="E273" s="25" t="str">
        <x:v>Cognitive Research Principles and Implications</x:v>
      </x:c>
      <x:c r="F273" s="25" t="str">
        <x:v>10.1186/s41235-016-0034-3</x:v>
      </x:c>
      <x:c r="G273" s="25" t="str">
        <x:v>https://doi.org/10.1186/s41235-016-0034-3</x:v>
      </x:c>
      <x:c r="H273" s="25" t="str">
        <x:v>OpenAlex</x:v>
      </x:c>
      <x:c r="I273" s="25" t="str">
        <x:v>C10_affordance_embodied</x:v>
      </x:c>
      <x:c r="J273" s="25" t="str">
        <x:v>Exclude</x:v>
      </x:c>
      <x:c r="K273" s="25" t="str">
        <x:v>Exclude: adjacent/redundant or insufficiently theory-generative for DC1</x:v>
      </x:c>
    </x:row>
    <x:row r="274">
      <x:c r="A274" s="20" t="str">
        <x:v>R0270</x:v>
      </x:c>
      <x:c r="B274" s="25" t="str">
        <x:v>Situated cognition</x:v>
      </x:c>
      <x:c r="C274" s="25" t="n">
        <x:v>2013</x:v>
      </x:c>
      <x:c r="D274" s="25" t="str">
        <x:v>Wolff‐Michael Roth; Alfredo Jornet</x:v>
      </x:c>
      <x:c r="E274" s="25" t="str">
        <x:v>Wiley Interdisciplinary Reviews Cognitive Science</x:v>
      </x:c>
      <x:c r="F274" s="25" t="str">
        <x:v>10.1002/wcs.1242</x:v>
      </x:c>
      <x:c r="G274" s="25" t="str">
        <x:v>https://doi.org/10.1002/wcs.1242</x:v>
      </x:c>
      <x:c r="H274" s="25" t="str">
        <x:v>OpenAlex</x:v>
      </x:c>
      <x:c r="I274" s="25" t="str">
        <x:v>C10_affordance_embodied</x:v>
      </x:c>
      <x:c r="J274" s="25" t="str">
        <x:v>Exclude</x:v>
      </x:c>
      <x:c r="K274" s="25" t="str">
        <x:v>Exclude: topic mismatch</x:v>
      </x:c>
    </x:row>
    <x:row r="275">
      <x:c r="A275" s="20" t="str">
        <x:v>R0271</x:v>
      </x:c>
      <x:c r="B275" s="25" t="str">
        <x:v>A screen-space formulation for 2D and 3D direct manipulation</x:v>
      </x:c>
      <x:c r="C275" s="25" t="n">
        <x:v>2009</x:v>
      </x:c>
      <x:c r="D275" s="25" t="str">
        <x:v>Jason L. Reisman; Philip L. Davidson; Jefferson Y. Han</x:v>
      </x:c>
      <x:c r="E275" s="25" t="str">
        <x:v>Proceedings of the 22nd annual ACM symposium on User interface software and technology</x:v>
      </x:c>
      <x:c r="F275" s="25" t="str">
        <x:v>10.1145/1622176.1622190</x:v>
      </x:c>
      <x:c r="G275" s="25" t="str">
        <x:v>https://doi.org/10.1145/1622176.1622190</x:v>
      </x:c>
      <x:c r="H275" s="25" t="str">
        <x:v>Crossref</x:v>
      </x:c>
      <x:c r="I275" s="25" t="str">
        <x:v>C1_3D_mental_models</x:v>
      </x:c>
      <x:c r="J275" s="25" t="str">
        <x:v>Include</x:v>
      </x:c>
      <x:c r="K275" s="25" t="str">
        <x:v>Included in focused synthesis</x:v>
      </x:c>
    </x:row>
    <x:row r="276">
      <x:c r="A276" s="20" t="str">
        <x:v>R0272</x:v>
      </x:c>
      <x:c r="B276" s="25" t="str">
        <x:v>AI Agents vs. Agentic AI: A Conceptual taxonomy, applications and challenges</x:v>
      </x:c>
      <x:c r="C276" s="25" t="n">
        <x:v>2025</x:v>
      </x:c>
      <x:c r="D276" s="25" t="str">
        <x:v>Ranjan Sapkota; Konstantinos I. Roumeliotis; Manoj Karkee</x:v>
      </x:c>
      <x:c r="E276" s="25" t="str">
        <x:v>Information Fusion</x:v>
      </x:c>
      <x:c r="F276" s="25" t="str">
        <x:v>10.1016/j.inffus.2025.103599</x:v>
      </x:c>
      <x:c r="G276" s="25" t="str">
        <x:v>https://doi.org/10.1016/j.inffus.2025.103599</x:v>
      </x:c>
      <x:c r="H276" s="25" t="str">
        <x:v>OpenAlex</x:v>
      </x:c>
      <x:c r="I276" s="25" t="str">
        <x:v>C5_agent_memory</x:v>
      </x:c>
      <x:c r="J276" s="25" t="str">
        <x:v>Exclude</x:v>
      </x:c>
      <x:c r="K276" s="25" t="str">
        <x:v>Exclude: adjacent/redundant or insufficiently theory-generative for DC1</x:v>
      </x:c>
    </x:row>
    <x:row r="277">
      <x:c r="A277" s="20" t="str">
        <x:v>R0273</x:v>
      </x:c>
      <x:c r="B277" s="25" t="str">
        <x:v>AI applications in functional genomics</x:v>
      </x:c>
      <x:c r="C277" s="25" t="n">
        <x:v>2021</x:v>
      </x:c>
      <x:c r="D277" s="25" t="str">
        <x:v>Claudia Caudai; Antonella Galizia; Filippo Geraci; Loredana Le Pera; Veronica Morea; Emanuele Salerno; Allegra Via; Teresa Colombo</x:v>
      </x:c>
      <x:c r="E277" s="25" t="str">
        <x:v>Computational and Structural Biotechnology Journal</x:v>
      </x:c>
      <x:c r="F277" s="25" t="str">
        <x:v>10.1016/j.csbj.2021.10.009</x:v>
      </x:c>
      <x:c r="G277" s="25" t="str">
        <x:v>https://doi.org/10.1016/j.csbj.2021.10.009</x:v>
      </x:c>
      <x:c r="H277" s="25" t="str">
        <x:v>OpenAlex</x:v>
      </x:c>
      <x:c r="I277" s="25" t="str">
        <x:v>C8_AI_3D_authoring</x:v>
      </x:c>
      <x:c r="J277" s="25" t="str">
        <x:v>Exclude</x:v>
      </x:c>
      <x:c r="K277" s="25" t="str">
        <x:v>Exclude: topic mismatch</x:v>
      </x:c>
    </x:row>
    <x:row r="278">
      <x:c r="A278" s="20" t="str">
        <x:v>R0274</x:v>
      </x:c>
      <x:c r="B278" s="25" t="str">
        <x:v>AI as Social Glue: Uncovering the Roles of Deep Generative AI during Social Music Composition</x:v>
      </x:c>
      <x:c r="C278" s="25" t="n">
        <x:v>2021</x:v>
      </x:c>
      <x:c r="D278" s="25" t="str">
        <x:v>Minhyang Suh; Emily Youngblom; Michael Terry; Carrie J. Cai</x:v>
      </x:c>
      <x:c r="E278" s="25" t="str"/>
      <x:c r="F278" s="25" t="str">
        <x:v>10.1145/3411764.3445219</x:v>
      </x:c>
      <x:c r="G278" s="25" t="str">
        <x:v>https://doi.org/10.1145/3411764.3445219</x:v>
      </x:c>
      <x:c r="H278" s="25" t="str">
        <x:v>OpenAlex</x:v>
      </x:c>
      <x:c r="I278" s="25" t="str">
        <x:v>C3_mixed_initiative_cocreation; C7_creative_agency</x:v>
      </x:c>
      <x:c r="J278" s="25" t="str">
        <x:v>Include</x:v>
      </x:c>
      <x:c r="K278" s="25" t="str">
        <x:v>Included in focused synthesis</x:v>
      </x:c>
    </x:row>
    <x:row r="279">
      <x:c r="A279" s="20" t="str">
        <x:v>R0275</x:v>
      </x:c>
      <x:c r="B279" s="25" t="str">
        <x:v>Graphologue: Exploring Large Language Model Responses with Interactive Diagrams</x:v>
      </x:c>
      <x:c r="C279" s="25" t="n">
        <x:v>2023</x:v>
      </x:c>
      <x:c r="D279" s="25" t="str">
        <x:v>Peiling Jiang; Jude Rayan; Steven P. Dow; Haijun Xia</x:v>
      </x:c>
      <x:c r="E279" s="25" t="str"/>
      <x:c r="F279" s="25" t="str">
        <x:v>10.1145/3586183.3606737</x:v>
      </x:c>
      <x:c r="G279" s="25" t="str">
        <x:v>https://doi.org/10.1145/3586183.3606737</x:v>
      </x:c>
      <x:c r="H279" s="25" t="str">
        <x:v>OpenAlex</x:v>
      </x:c>
      <x:c r="I279" s="25" t="str">
        <x:v>C17_3D_gesture_ambiguity; C8_AI_3D_authoring</x:v>
      </x:c>
      <x:c r="J279" s="25" t="str">
        <x:v>Exclude</x:v>
      </x:c>
      <x:c r="K279" s="25" t="str">
        <x:v>Exclude: topic mismatch</x:v>
      </x:c>
    </x:row>
    <x:row r="280">
      <x:c r="A280" s="20" t="str">
        <x:v>R0276</x:v>
      </x:c>
      <x:c r="B280" s="25" t="str">
        <x:v>Harnessing Generative AI (GenAI) for Automated Feedback in Higher Education: A Systematic Review</x:v>
      </x:c>
      <x:c r="C280" s="25" t="n">
        <x:v>2024</x:v>
      </x:c>
      <x:c r="D280" s="25" t="str">
        <x:v>Sophia Soomin Lee; Robert L. Moore</x:v>
      </x:c>
      <x:c r="E280" s="25" t="str">
        <x:v>Online Learning</x:v>
      </x:c>
      <x:c r="F280" s="25" t="str">
        <x:v>10.24059/olj.v28i3.4593</x:v>
      </x:c>
      <x:c r="G280" s="25" t="str">
        <x:v>https://doi.org/10.24059/olj.v28i3.4593</x:v>
      </x:c>
      <x:c r="H280" s="25" t="str">
        <x:v>OpenAlex</x:v>
      </x:c>
      <x:c r="I280" s="25" t="str">
        <x:v>C15_proactive_interruption</x:v>
      </x:c>
      <x:c r="J280" s="25" t="str">
        <x:v>Exclude</x:v>
      </x:c>
      <x:c r="K280" s="25" t="str">
        <x:v>Exclude: adjacent/redundant or insufficiently theory-generative for DC1</x:v>
      </x:c>
    </x:row>
    <x:row r="281">
      <x:c r="A281" s="20" t="str">
        <x:v>R0277</x:v>
      </x:c>
      <x:c r="B281" s="25" t="str">
        <x:v>Competency in Navigating Arbitrary Spaces as an Invariant for Analyzing Cognition in Diverse Embodiments</x:v>
      </x:c>
      <x:c r="C281" s="25" t="n">
        <x:v>2022</x:v>
      </x:c>
      <x:c r="D281" s="25" t="str">
        <x:v>Chris Fields; Michael Levin</x:v>
      </x:c>
      <x:c r="E281" s="25" t="str">
        <x:v>Entropy</x:v>
      </x:c>
      <x:c r="F281" s="25" t="str">
        <x:v>10.3390/e24060819</x:v>
      </x:c>
      <x:c r="G281" s="25" t="str">
        <x:v>https://doi.org/10.3390/e24060819</x:v>
      </x:c>
      <x:c r="H281" s="25" t="str">
        <x:v>OpenAlex</x:v>
      </x:c>
      <x:c r="I281" s="25" t="str">
        <x:v>C1_3D_mental_models</x:v>
      </x:c>
      <x:c r="J281" s="25" t="str">
        <x:v>Exclude</x:v>
      </x:c>
      <x:c r="K281" s="25" t="str">
        <x:v>Exclude: adjacent/redundant or insufficiently theory-generative for DC1</x:v>
      </x:c>
    </x:row>
    <x:row r="282">
      <x:c r="A282" s="20" t="str">
        <x:v>R0278</x:v>
      </x:c>
      <x:c r="B282" s="25" t="str">
        <x:v>Digital Language Learning (DLL): Insights from Behavior, Cognition, and the Brain</x:v>
      </x:c>
      <x:c r="C282" s="25" t="n">
        <x:v>2021</x:v>
      </x:c>
      <x:c r="D282" s="25" t="str">
        <x:v>Ping Li; Yu‐Ju Lan</x:v>
      </x:c>
      <x:c r="E282" s="25" t="str">
        <x:v>Bilingualism Language and Cognition</x:v>
      </x:c>
      <x:c r="F282" s="25" t="str">
        <x:v>10.1017/s1366728921000353</x:v>
      </x:c>
      <x:c r="G282" s="25" t="str">
        <x:v>https://doi.org/10.1017/s1366728921000353</x:v>
      </x:c>
      <x:c r="H282" s="25" t="str">
        <x:v>OpenAlex</x:v>
      </x:c>
      <x:c r="I282" s="25" t="str">
        <x:v>C1_3D_mental_models</x:v>
      </x:c>
      <x:c r="J282" s="25" t="str">
        <x:v>Exclude</x:v>
      </x:c>
      <x:c r="K282" s="25" t="str">
        <x:v>Exclude: topic mismatch</x:v>
      </x:c>
    </x:row>
    <x:row r="283">
      <x:c r="A283" s="20" t="str">
        <x:v>R0279</x:v>
      </x:c>
      <x:c r="B283" s="25" t="str">
        <x:v>Embodied social interaction constitutes social cognition in pairs of humans: A minimalist virtual reality experiment</x:v>
      </x:c>
      <x:c r="C283" s="25" t="n">
        <x:v>2014</x:v>
      </x:c>
      <x:c r="D283" s="25" t="str">
        <x:v>Tom Froese; Hiroyuki Iizuka; Takashi Ikegami</x:v>
      </x:c>
      <x:c r="E283" s="25" t="str">
        <x:v>Scientific Reports</x:v>
      </x:c>
      <x:c r="F283" s="25" t="str">
        <x:v>10.1038/srep03672</x:v>
      </x:c>
      <x:c r="G283" s="25" t="str">
        <x:v>https://doi.org/10.1038/srep03672</x:v>
      </x:c>
      <x:c r="H283" s="25" t="str">
        <x:v>OpenAlex</x:v>
      </x:c>
      <x:c r="I283" s="25" t="str">
        <x:v>C10_affordance_embodied</x:v>
      </x:c>
      <x:c r="J283" s="25" t="str">
        <x:v>Exclude</x:v>
      </x:c>
      <x:c r="K283" s="25" t="str">
        <x:v>Exclude: topic mismatch</x:v>
      </x:c>
    </x:row>
    <x:row r="284">
      <x:c r="A284" s="20" t="str">
        <x:v>R0280</x:v>
      </x:c>
      <x:c r="B284" s="25" t="str">
        <x:v>The challenges of 3D interaction</x:v>
      </x:c>
      <x:c r="C284" s="25" t="n">
        <x:v>1994</x:v>
      </x:c>
      <x:c r="D284" s="25" t="str">
        <x:v>Kenneth P. Herndon; Andries van Dam; Michael Gleicher</x:v>
      </x:c>
      <x:c r="E284" s="25" t="str">
        <x:v>ACM SIGCHI Bulletin</x:v>
      </x:c>
      <x:c r="F284" s="25" t="str">
        <x:v>10.1145/191642.191652</x:v>
      </x:c>
      <x:c r="G284" s="25" t="str">
        <x:v>https://doi.org/10.1145/191642.191652</x:v>
      </x:c>
      <x:c r="H284" s="25" t="str">
        <x:v>OpenAlex</x:v>
      </x:c>
      <x:c r="I284" s="25" t="str">
        <x:v>C1_3D_mental_models</x:v>
      </x:c>
      <x:c r="J284" s="25" t="str">
        <x:v>Exclude</x:v>
      </x:c>
      <x:c r="K284" s="25" t="str">
        <x:v>Exclude: adjacent/redundant or insufficiently theory-generative for DC1</x:v>
      </x:c>
    </x:row>
    <x:row r="285">
      <x:c r="A285" s="20" t="str">
        <x:v>R0281</x:v>
      </x:c>
      <x:c r="B285" s="25" t="str">
        <x:v>Emerging Consensus on ‘Ethical AI’: Human Rights Critique of Stakeholder Guidelines</x:v>
      </x:c>
      <x:c r="C285" s="25" t="n">
        <x:v>2021</x:v>
      </x:c>
      <x:c r="D285" s="25" t="str">
        <x:v>Sakiko Fukuda‐Parr; Elizabeth Gibbons</x:v>
      </x:c>
      <x:c r="E285" s="25" t="str">
        <x:v>Global Policy</x:v>
      </x:c>
      <x:c r="F285" s="25" t="str">
        <x:v>10.1111/1758-5899.12965</x:v>
      </x:c>
      <x:c r="G285" s="25" t="str">
        <x:v>https://doi.org/10.1111/1758-5899.12965</x:v>
      </x:c>
      <x:c r="H285" s="25" t="str">
        <x:v>OpenAlex</x:v>
      </x:c>
      <x:c r="I285" s="25" t="str">
        <x:v>C14_agency_ownership</x:v>
      </x:c>
      <x:c r="J285" s="25" t="str">
        <x:v>Exclude</x:v>
      </x:c>
      <x:c r="K285" s="25" t="str">
        <x:v>Exclude: topic mismatch</x:v>
      </x:c>
    </x:row>
    <x:row r="286">
      <x:c r="A286" s="20" t="str">
        <x:v>R0282</x:v>
      </x:c>
      <x:c r="B286" s="25" t="str">
        <x:v>Facilitating Understanding of Movements in Dynamic Visualizations: an Embodied Perspective</x:v>
      </x:c>
      <x:c r="C286" s="25" t="n">
        <x:v>2011</x:v>
      </x:c>
      <x:c r="D286" s="25" t="str">
        <x:v>Björn B. de Koning; Huib K. Tabbers</x:v>
      </x:c>
      <x:c r="E286" s="25" t="str">
        <x:v>Educational Psychology Review</x:v>
      </x:c>
      <x:c r="F286" s="25" t="str">
        <x:v>10.1007/s10648-011-9173-8</x:v>
      </x:c>
      <x:c r="G286" s="25" t="str">
        <x:v>https://doi.org/10.1007/s10648-011-9173-8</x:v>
      </x:c>
      <x:c r="H286" s="25" t="str">
        <x:v>OpenAlex</x:v>
      </x:c>
      <x:c r="I286" s="25" t="str">
        <x:v>C10_affordance_embodied</x:v>
      </x:c>
      <x:c r="J286" s="25" t="str">
        <x:v>Exclude</x:v>
      </x:c>
      <x:c r="K286" s="25" t="str">
        <x:v>Exclude: adjacent/redundant or insufficiently theory-generative for DC1</x:v>
      </x:c>
    </x:row>
    <x:row r="287">
      <x:c r="A287" s="20" t="str">
        <x:v>R0283</x:v>
      </x:c>
      <x:c r="B287" s="25" t="str">
        <x:v>Scaling up analogical innovation with crowds and AI</x:v>
      </x:c>
      <x:c r="C287" s="25" t="n">
        <x:v>2019</x:v>
      </x:c>
      <x:c r="D287" s="25" t="str">
        <x:v>Aniket Kittur; Lixiu Yu; Tom Hope; Joel Chan; Hila Lifshitz‐Assaf; Karni Gilon; Felicia Ng; Robert E. Kraut; Dafna Shahaf</x:v>
      </x:c>
      <x:c r="E287" s="25" t="str">
        <x:v>Proceedings of the National Academy of Sciences</x:v>
      </x:c>
      <x:c r="F287" s="25" t="str">
        <x:v>10.1073/pnas.1807185116</x:v>
      </x:c>
      <x:c r="G287" s="25" t="str">
        <x:v>https://doi.org/10.1073/pnas.1807185116</x:v>
      </x:c>
      <x:c r="H287" s="25" t="str">
        <x:v>OpenAlex</x:v>
      </x:c>
      <x:c r="I287" s="25" t="str">
        <x:v>C3_mixed_initiative_cocreation</x:v>
      </x:c>
      <x:c r="J287" s="25" t="str">
        <x:v>Exclude</x:v>
      </x:c>
      <x:c r="K287" s="25" t="str">
        <x:v>Exclude: adjacent/redundant or insufficiently theory-generative for DC1</x:v>
      </x:c>
    </x:row>
    <x:row r="288">
      <x:c r="A288" s="20" t="str">
        <x:v>R0284</x:v>
      </x:c>
      <x:c r="B288" s="25" t="str">
        <x:v>The Bodies of TEI – Investigating Norms and Assumptions in the Design of Embodied Interaction</x:v>
      </x:c>
      <x:c r="C288" s="25" t="n">
        <x:v>2021</x:v>
      </x:c>
      <x:c r="D288" s="25" t="str">
        <x:v>Katta Spiel</x:v>
      </x:c>
      <x:c r="E288" s="25" t="str"/>
      <x:c r="F288" s="25" t="str">
        <x:v>10.1145/3430524.3440651</x:v>
      </x:c>
      <x:c r="G288" s="25" t="str">
        <x:v>https://doi.org/10.1145/3430524.3440651</x:v>
      </x:c>
      <x:c r="H288" s="25" t="str">
        <x:v>OpenAlex</x:v>
      </x:c>
      <x:c r="I288" s="25" t="str">
        <x:v>C2_interaction_signals</x:v>
      </x:c>
      <x:c r="J288" s="25" t="str">
        <x:v>Exclude</x:v>
      </x:c>
      <x:c r="K288" s="25" t="str">
        <x:v>Exclude: topic mismatch</x:v>
      </x:c>
    </x:row>
    <x:row r="289">
      <x:c r="A289" s="20" t="str">
        <x:v>R0285</x:v>
      </x:c>
      <x:c r="B289" s="25" t="str">
        <x:v>The Dawn of the AI Robots: Towards a New Framework of AI Robot Accountability</x:v>
      </x:c>
      <x:c r="C289" s="25" t="n">
        <x:v>2022</x:v>
      </x:c>
      <x:c r="D289" s="25" t="str">
        <x:v>Zsófia Tóth; Robert Caruana; Thorsten Gruber; Claudia Loebbecke</x:v>
      </x:c>
      <x:c r="E289" s="25" t="str">
        <x:v>Journal of Business Ethics</x:v>
      </x:c>
      <x:c r="F289" s="25" t="str">
        <x:v>10.1007/s10551-022-05050-z</x:v>
      </x:c>
      <x:c r="G289" s="25" t="str">
        <x:v>https://doi.org/10.1007/s10551-022-05050-z</x:v>
      </x:c>
      <x:c r="H289" s="25" t="str">
        <x:v>OpenAlex</x:v>
      </x:c>
      <x:c r="I289" s="25" t="str">
        <x:v>C14_agency_ownership</x:v>
      </x:c>
      <x:c r="J289" s="25" t="str">
        <x:v>Exclude</x:v>
      </x:c>
      <x:c r="K289" s="25" t="str">
        <x:v>Exclude: adjacent/redundant or insufficiently theory-generative for DC1</x:v>
      </x:c>
    </x:row>
    <x:row r="290">
      <x:c r="A290" s="20" t="str">
        <x:v>R0286</x:v>
      </x:c>
      <x:c r="B290" s="25" t="str">
        <x:v>A Taxonomy of Social Errors in Human-Robot Interaction</x:v>
      </x:c>
      <x:c r="C290" s="25" t="n">
        <x:v>2021</x:v>
      </x:c>
      <x:c r="D290" s="25" t="str">
        <x:v>Leimin Tian; Sharon Oviatt</x:v>
      </x:c>
      <x:c r="E290" s="25" t="str">
        <x:v>ACM Transactions on Human-Robot Interaction</x:v>
      </x:c>
      <x:c r="F290" s="25" t="str">
        <x:v>10.1145/3439720</x:v>
      </x:c>
      <x:c r="G290" s="25" t="str">
        <x:v>https://doi.org/10.1145/3439720</x:v>
      </x:c>
      <x:c r="H290" s="25" t="str">
        <x:v>OpenAlex</x:v>
      </x:c>
      <x:c r="I290" s="25" t="str">
        <x:v>C12_common_ground_repair</x:v>
      </x:c>
      <x:c r="J290" s="25" t="str">
        <x:v>Exclude</x:v>
      </x:c>
      <x:c r="K290" s="25" t="str">
        <x:v>Exclude: topic mismatch</x:v>
      </x:c>
    </x:row>
    <x:row r="291">
      <x:c r="A291" s="20" t="str">
        <x:v>R0287</x:v>
      </x:c>
      <x:c r="B291" s="25" t="str">
        <x:v>A Comprehensive Review of Vision-Based 3D Reconstruction Methods</x:v>
      </x:c>
      <x:c r="C291" s="25" t="n">
        <x:v>2024</x:v>
      </x:c>
      <x:c r="D291" s="25" t="str">
        <x:v>Linglong Zhou; Guoxin Wu; Yunbo Zuo; Xuanyu Chen; Hongle Hu</x:v>
      </x:c>
      <x:c r="E291" s="25" t="str">
        <x:v>Sensors</x:v>
      </x:c>
      <x:c r="F291" s="25" t="str">
        <x:v>10.3390/s24072314</x:v>
      </x:c>
      <x:c r="G291" s="25" t="str">
        <x:v>https://doi.org/10.3390/s24072314</x:v>
      </x:c>
      <x:c r="H291" s="25" t="str">
        <x:v>OpenAlex</x:v>
      </x:c>
      <x:c r="I291" s="25" t="str">
        <x:v>C8_AI_3D_authoring</x:v>
      </x:c>
      <x:c r="J291" s="25" t="str">
        <x:v>Exclude</x:v>
      </x:c>
      <x:c r="K291" s="25" t="str">
        <x:v>Exclude: adjacent/redundant or insufficiently theory-generative for DC1</x:v>
      </x:c>
    </x:row>
    <x:row r="292">
      <x:c r="A292" s="20" t="str">
        <x:v>R0288</x:v>
      </x:c>
      <x:c r="B292" s="25" t="str">
        <x:v>Exploring Challenges and Opportunities to Support Designers in Learning to Co-create with AI-based Manufacturing Design Tools</x:v>
      </x:c>
      <x:c r="C292" s="25" t="n">
        <x:v>2023</x:v>
      </x:c>
      <x:c r="D292" s="25" t="str">
        <x:v>Frederic Gmeiner; Humphrey Yang; Lining Yao; Kenneth Holstein; Nikolas Martelaro</x:v>
      </x:c>
      <x:c r="E292" s="25" t="str"/>
      <x:c r="F292" s="25" t="str">
        <x:v>10.1145/3544548.3580999</x:v>
      </x:c>
      <x:c r="G292" s="25" t="str">
        <x:v>https://doi.org/10.1145/3544548.3580999</x:v>
      </x:c>
      <x:c r="H292" s="25" t="str">
        <x:v>OpenAlex</x:v>
      </x:c>
      <x:c r="I292" s="25" t="str">
        <x:v>C14_agency_ownership; C7_creative_agency</x:v>
      </x:c>
      <x:c r="J292" s="25" t="str">
        <x:v>Exclude</x:v>
      </x:c>
      <x:c r="K292" s="25" t="str">
        <x:v>Exclude: topic mismatch</x:v>
      </x:c>
    </x:row>
    <x:row r="293">
      <x:c r="A293" s="20" t="str">
        <x:v>R0289</x:v>
      </x:c>
      <x:c r="B293" s="25" t="str">
        <x:v>Robotic Vision for Human-Robot Interaction and Collaboration: A Survey and Systematic Review</x:v>
      </x:c>
      <x:c r="C293" s="25" t="n">
        <x:v>2022</x:v>
      </x:c>
      <x:c r="D293" s="25" t="str">
        <x:v>Nicole Robinson; Brendan Tidd; Dylan Campbell; Dana Kulić; Peter Corke</x:v>
      </x:c>
      <x:c r="E293" s="25" t="str">
        <x:v>ACM Transactions on Human-Robot Interaction</x:v>
      </x:c>
      <x:c r="F293" s="25" t="str">
        <x:v>10.1145/3570731</x:v>
      </x:c>
      <x:c r="G293" s="25" t="str">
        <x:v>https://doi.org/10.1145/3570731</x:v>
      </x:c>
      <x:c r="H293" s="25" t="str">
        <x:v>OpenAlex</x:v>
      </x:c>
      <x:c r="I293" s="25" t="str">
        <x:v>C11_hierarchical_goal_recognition; C2_interaction_signals; C6_frontend_GUI_intent</x:v>
      </x:c>
      <x:c r="J293" s="25" t="str">
        <x:v>Exclude</x:v>
      </x:c>
      <x:c r="K293" s="25" t="str">
        <x:v>Exclude: adjacent/redundant or insufficiently theory-generative for DC1</x:v>
      </x:c>
    </x:row>
    <x:row r="294">
      <x:c r="A294" s="20" t="str">
        <x:v>R0290</x:v>
      </x:c>
      <x:c r="B294" s="25" t="str">
        <x:v>Towards BCI-actuated smart wheelchair system</x:v>
      </x:c>
      <x:c r="C294" s="25" t="n">
        <x:v>2018</x:v>
      </x:c>
      <x:c r="D294" s="25" t="str">
        <x:v>Jingsheng Tang; Yadong Liu; Dewen Hu; Zongtan Zhou</x:v>
      </x:c>
      <x:c r="E294" s="25" t="str">
        <x:v>BioMedical Engineering OnLine</x:v>
      </x:c>
      <x:c r="F294" s="25" t="str">
        <x:v>10.1186/s12938-018-0545-x</x:v>
      </x:c>
      <x:c r="G294" s="25" t="str">
        <x:v>https://doi.org/10.1186/s12938-018-0545-x</x:v>
      </x:c>
      <x:c r="H294" s="25" t="str">
        <x:v>OpenAlex</x:v>
      </x:c>
      <x:c r="I294" s="25" t="str">
        <x:v>C11_hierarchical_goal_recognition</x:v>
      </x:c>
      <x:c r="J294" s="25" t="str">
        <x:v>Exclude</x:v>
      </x:c>
      <x:c r="K294" s="25" t="str">
        <x:v>Exclude: domain-specific signal model without transferable HCI theory</x:v>
      </x:c>
    </x:row>
    <x:row r="295">
      <x:c r="A295" s="20" t="str">
        <x:v>R0291</x:v>
      </x:c>
      <x:c r="B295" s="25" t="str">
        <x:v>On human-in-the-loop optimization of human–robot interaction</x:v>
      </x:c>
      <x:c r="C295" s="25" t="n">
        <x:v>2024</x:v>
      </x:c>
      <x:c r="D295" s="25" t="str">
        <x:v>Patrick Slade; Christopher G. Atkeson; J. Maxwell Donelan; Han Houdijk; Kimberly A. Ingraham; Myunghee Kim; Kyoungchul Kong; Katherine L. Poggensee; Robert Riener; Martin Steinert; Juanjuan Zhang; Steven H. Collins</x:v>
      </x:c>
      <x:c r="E295" s="25" t="str">
        <x:v>Nature</x:v>
      </x:c>
      <x:c r="F295" s="25" t="str">
        <x:v>10.1038/s41586-024-07697-2</x:v>
      </x:c>
      <x:c r="G295" s="25" t="str">
        <x:v>https://doi.org/10.1038/s41586-024-07697-2</x:v>
      </x:c>
      <x:c r="H295" s="25" t="str">
        <x:v>OpenAlex</x:v>
      </x:c>
      <x:c r="I295" s="25" t="str">
        <x:v>C2_interaction_signals</x:v>
      </x:c>
      <x:c r="J295" s="25" t="str">
        <x:v>Exclude</x:v>
      </x:c>
      <x:c r="K295" s="25" t="str">
        <x:v>Exclude: topic mismatch</x:v>
      </x:c>
    </x:row>
    <x:row r="296">
      <x:c r="A296" s="20" t="str">
        <x:v>R0292</x:v>
      </x:c>
      <x:c r="B296" s="25" t="str">
        <x:v>General ecological information supports engagement with affordances for ‘higher’ cognition</x:v>
      </x:c>
      <x:c r="C296" s="25" t="n">
        <x:v>2018</x:v>
      </x:c>
      <x:c r="D296" s="25" t="str">
        <x:v>Jelle Bruineberg; Anthony Chemero; Erik Rietveld</x:v>
      </x:c>
      <x:c r="E296" s="25" t="str">
        <x:v>Synthese</x:v>
      </x:c>
      <x:c r="F296" s="25" t="str">
        <x:v>10.1007/s11229-018-1716-9</x:v>
      </x:c>
      <x:c r="G296" s="25" t="str">
        <x:v>https://doi.org/10.1007/s11229-018-1716-9</x:v>
      </x:c>
      <x:c r="H296" s="25" t="str">
        <x:v>OpenAlex</x:v>
      </x:c>
      <x:c r="I296" s="25" t="str">
        <x:v>C10_affordance_embodied; C1_3D_mental_models</x:v>
      </x:c>
      <x:c r="J296" s="25" t="str">
        <x:v>Exclude</x:v>
      </x:c>
      <x:c r="K296" s="25" t="str">
        <x:v>Exclude: adjacent/redundant or insufficiently theory-generative for DC1</x:v>
      </x:c>
    </x:row>
    <x:row r="297">
      <x:c r="A297" s="20" t="str">
        <x:v>R0293</x:v>
      </x:c>
      <x:c r="B297" s="25" t="str">
        <x:v>Probabilistic Human Intent Recognition for Shared Autonomy in Assistive Robotics</x:v>
      </x:c>
      <x:c r="C297" s="25" t="n">
        <x:v>2019</x:v>
      </x:c>
      <x:c r="D297" s="25" t="str">
        <x:v>Siddarth Jain; Brenna Argall</x:v>
      </x:c>
      <x:c r="E297" s="25" t="str">
        <x:v>ACM Transactions on Human-Robot Interaction</x:v>
      </x:c>
      <x:c r="F297" s="25" t="str">
        <x:v>10.1145/3359614</x:v>
      </x:c>
      <x:c r="G297" s="25" t="str">
        <x:v>https://doi.org/10.1145/3359614</x:v>
      </x:c>
      <x:c r="H297" s="25" t="str">
        <x:v>Crossref; OpenAlex</x:v>
      </x:c>
      <x:c r="I297" s="25" t="str">
        <x:v>C2_interaction_signals; C4_uncertainty_shared_autonomy; C6_frontend_GUI_intent</x:v>
      </x:c>
      <x:c r="J297" s="25" t="str">
        <x:v>Include</x:v>
      </x:c>
      <x:c r="K297" s="25" t="str">
        <x:v>Included in focused synthesis</x:v>
      </x:c>
    </x:row>
    <x:row r="298">
      <x:c r="A298" s="20" t="str">
        <x:v>R0294</x:v>
      </x:c>
      <x:c r="B298" s="25" t="str">
        <x:v>Designing Participatory AI: Creative Professionals’ Worries and Expectations about Generative AI</x:v>
      </x:c>
      <x:c r="C298" s="25" t="n">
        <x:v>2023</x:v>
      </x:c>
      <x:c r="D298" s="25" t="str">
        <x:v>Nanna Inie; Jeanette Falk; Steve Tanimoto</x:v>
      </x:c>
      <x:c r="E298" s="25" t="str"/>
      <x:c r="F298" s="25" t="str">
        <x:v>10.1145/3544549.3585657</x:v>
      </x:c>
      <x:c r="G298" s="25" t="str">
        <x:v>https://doi.org/10.1145/3544549.3585657</x:v>
      </x:c>
      <x:c r="H298" s="25" t="str">
        <x:v>OpenAlex</x:v>
      </x:c>
      <x:c r="I298" s="25" t="str">
        <x:v>C14_agency_ownership; C3_mixed_initiative_cocreation; C7_creative_agency</x:v>
      </x:c>
      <x:c r="J298" s="25" t="str">
        <x:v>Exclude</x:v>
      </x:c>
      <x:c r="K298" s="25" t="str">
        <x:v>Exclude: adjacent/redundant or insufficiently theory-generative for DC1</x:v>
      </x:c>
    </x:row>
    <x:row r="299">
      <x:c r="A299" s="20" t="str">
        <x:v>R0295</x:v>
      </x:c>
      <x:c r="B299" s="25" t="str">
        <x:v>How Algorithms Interact: Goffman's ‘Interaction Order’ in Automated Trading</x:v>
      </x:c>
      <x:c r="C299" s="25" t="n">
        <x:v>2019</x:v>
      </x:c>
      <x:c r="D299" s="25" t="str">
        <x:v>Donald MacKenzie</x:v>
      </x:c>
      <x:c r="E299" s="25" t="str">
        <x:v>Theory Culture &amp; Society</x:v>
      </x:c>
      <x:c r="F299" s="25" t="str">
        <x:v>10.1177/0263276419829541</x:v>
      </x:c>
      <x:c r="G299" s="25" t="str">
        <x:v>https://doi.org/10.1177/0263276419829541</x:v>
      </x:c>
      <x:c r="H299" s="25" t="str">
        <x:v>OpenAlex</x:v>
      </x:c>
      <x:c r="I299" s="25" t="str">
        <x:v>C2_interaction_signals</x:v>
      </x:c>
      <x:c r="J299" s="25" t="str">
        <x:v>Exclude</x:v>
      </x:c>
      <x:c r="K299" s="25" t="str">
        <x:v>Exclude: topic mismatch</x:v>
      </x:c>
    </x:row>
    <x:row r="300">
      <x:c r="A300" s="20" t="str">
        <x:v>R0296</x:v>
      </x:c>
      <x:c r="B300" s="25" t="str">
        <x:v>Mixed-Initiative Creative Interfaces</x:v>
      </x:c>
      <x:c r="C300" s="25" t="n">
        <x:v>2017</x:v>
      </x:c>
      <x:c r="D300" s="25" t="str">
        <x:v>Sebastian Deterding; Jonathan Hook; Rebecca Fiebrink; Marco Gillies; Jeremy Gow; Memo Akten; Gillian Smith; Antonios Liapis; Kate Compton</x:v>
      </x:c>
      <x:c r="E300" s="25" t="str"/>
      <x:c r="F300" s="25" t="str">
        <x:v>10.1145/3027063.3027072</x:v>
      </x:c>
      <x:c r="G300" s="25" t="str">
        <x:v>https://doi.org/10.1145/3027063.3027072</x:v>
      </x:c>
      <x:c r="H300" s="25" t="str">
        <x:v>OpenAlex</x:v>
      </x:c>
      <x:c r="I300" s="25" t="str">
        <x:v>C3_mixed_initiative_cocreation</x:v>
      </x:c>
      <x:c r="J300" s="25" t="str">
        <x:v>Include</x:v>
      </x:c>
      <x:c r="K300" s="25" t="str">
        <x:v>Included in focused synthesis</x:v>
      </x:c>
    </x:row>
    <x:row r="301">
      <x:c r="A301" s="20" t="str">
        <x:v>R0297</x:v>
      </x:c>
      <x:c r="B301" s="25" t="str">
        <x:v>Noninvasive Electroencephalography Equipment for Assistive, Adaptive, and Rehabilitative Brain–Computer Interfaces: A Systematic Literature Review</x:v>
      </x:c>
      <x:c r="C301" s="25" t="n">
        <x:v>2021</x:v>
      </x:c>
      <x:c r="D301" s="25" t="str">
        <x:v>Nuraini Jamil; Abdelkader Nasreddine Belkacem; Sofía Ouhbi; Abderrahmane Lakas</x:v>
      </x:c>
      <x:c r="E301" s="25" t="str">
        <x:v>Sensors</x:v>
      </x:c>
      <x:c r="F301" s="25" t="str">
        <x:v>10.3390/s21144754</x:v>
      </x:c>
      <x:c r="G301" s="25" t="str">
        <x:v>https://doi.org/10.3390/s21144754</x:v>
      </x:c>
      <x:c r="H301" s="25" t="str">
        <x:v>OpenAlex</x:v>
      </x:c>
      <x:c r="I301" s="25" t="str">
        <x:v>C8_AI_3D_authoring</x:v>
      </x:c>
      <x:c r="J301" s="25" t="str">
        <x:v>Exclude</x:v>
      </x:c>
      <x:c r="K301" s="25" t="str">
        <x:v>Exclude: domain-specific signal model without transferable HCI theory</x:v>
      </x:c>
    </x:row>
    <x:row r="302">
      <x:c r="A302" s="20" t="str">
        <x:v>R0298</x:v>
      </x:c>
      <x:c r="B302" s="25" t="str">
        <x:v>Ontology-Based User Modeling in an Augmented Audio Reality System for Museums</x:v>
      </x:c>
      <x:c r="C302" s="25" t="n">
        <x:v>2005</x:v>
      </x:c>
      <x:c r="D302" s="25" t="str">
        <x:v>Marek Hatala; Ron Wakkary</x:v>
      </x:c>
      <x:c r="E302" s="25" t="str">
        <x:v>User Modeling and User-Adapted Interaction</x:v>
      </x:c>
      <x:c r="F302" s="25" t="str">
        <x:v>10.1007/s11257-005-2304-5</x:v>
      </x:c>
      <x:c r="G302" s="25" t="str">
        <x:v>https://doi.org/10.1007/s11257-005-2304-5</x:v>
      </x:c>
      <x:c r="H302" s="25" t="str">
        <x:v>OpenAlex</x:v>
      </x:c>
      <x:c r="I302" s="25" t="str">
        <x:v>C6_frontend_GUI_intent</x:v>
      </x:c>
      <x:c r="J302" s="25" t="str">
        <x:v>Exclude</x:v>
      </x:c>
      <x:c r="K302" s="25" t="str">
        <x:v>Exclude: topic mismatch</x:v>
      </x:c>
    </x:row>
    <x:row r="303">
      <x:c r="A303" s="20" t="str">
        <x:v>R0299</x:v>
      </x:c>
      <x:c r="B303" s="25" t="str">
        <x:v>A systematic review of the current state of collaborative mixed reality technologies: 2013–2018</x:v>
      </x:c>
      <x:c r="C303" s="25" t="n">
        <x:v>2019</x:v>
      </x:c>
      <x:c r="D303" s="25" t="str">
        <x:v>Ryan Anthony J. de Belen; Huyen N. Nguyen; Daniel Filonik; Dennis Del Favero; Tomasz Bednarz; 2 CSIRO Data61, Australian Technology Park, Eveleigh, NSW 2015, Astralia</x:v>
      </x:c>
      <x:c r="E303" s="25" t="str">
        <x:v>AIMS Electronics and Electrical Engineering</x:v>
      </x:c>
      <x:c r="F303" s="25" t="str">
        <x:v>10.3934/electreng.2019.2.181</x:v>
      </x:c>
      <x:c r="G303" s="25" t="str">
        <x:v>https://doi.org/10.3934/electreng.2019.2.181</x:v>
      </x:c>
      <x:c r="H303" s="25" t="str">
        <x:v>OpenAlex</x:v>
      </x:c>
      <x:c r="I303" s="25" t="str">
        <x:v>C12_common_ground_repair</x:v>
      </x:c>
      <x:c r="J303" s="25" t="str">
        <x:v>Exclude</x:v>
      </x:c>
      <x:c r="K303" s="25" t="str">
        <x:v>Exclude: adjacent/redundant or insufficiently theory-generative for DC1</x:v>
      </x:c>
    </x:row>
    <x:row r="304">
      <x:c r="A304" s="20" t="str">
        <x:v>R0300</x:v>
      </x:c>
      <x:c r="B304" s="25" t="str">
        <x:v>May AI?</x:v>
      </x:c>
      <x:c r="C304" s="25" t="n">
        <x:v>2019</x:v>
      </x:c>
      <x:c r="D304" s="25" t="str">
        <x:v>Janin Koch; Andrés Lucero; Lena Hegemann; Antti Oulasvirta</x:v>
      </x:c>
      <x:c r="E304" s="25" t="str"/>
      <x:c r="F304" s="25" t="str">
        <x:v>10.1145/3290605.3300863</x:v>
      </x:c>
      <x:c r="G304" s="25" t="str">
        <x:v>https://doi.org/10.1145/3290605.3300863</x:v>
      </x:c>
      <x:c r="H304" s="25" t="str">
        <x:v>OpenAlex</x:v>
      </x:c>
      <x:c r="I304" s="25" t="str">
        <x:v>C3_mixed_initiative_cocreation</x:v>
      </x:c>
      <x:c r="J304" s="25" t="str">
        <x:v>Exclude</x:v>
      </x:c>
      <x:c r="K304" s="25" t="str">
        <x:v>Exclude: adjacent/redundant or insufficiently theory-generative for DC1</x:v>
      </x:c>
    </x:row>
    <x:row r="305">
      <x:c r="A305" s="20" t="str">
        <x:v>R0301</x:v>
      </x:c>
      <x:c r="B305" s="25" t="str">
        <x:v>Spoken language interaction with robots: Recommendations for future research</x:v>
      </x:c>
      <x:c r="C305" s="25" t="n">
        <x:v>2021</x:v>
      </x:c>
      <x:c r="D305" s="25" t="str">
        <x:v>Matthew Marge; Carol Espy-Wilson; Nigel Ward; Abeer Alwan; Yoav Artzi; Mohit Bansal; Gil Blankenship; Joyce Chai; Hal Daumé; Debadeepta Dey; Mary P. Harper; Thomas M. Howard; Casey Kennington; Ivana Kruijff‐Korbayová; Dinesh Manocha; Cynthia Matuszek; Ross Mead; Raymond J. Mooney; Roger K. Moore; Mari Ostendorf; Heather Pon-Barry; Alexander I. Rudnicky; Matthias Scheutz; Robert St. Amant; Tong Sun; Stefanie Tellex; David Traum; Zhou Yu</x:v>
      </x:c>
      <x:c r="E305" s="25" t="str">
        <x:v>Computer Speech &amp; Language</x:v>
      </x:c>
      <x:c r="F305" s="25" t="str">
        <x:v>10.1016/j.csl.2021.101255</x:v>
      </x:c>
      <x:c r="G305" s="25" t="str">
        <x:v>https://doi.org/10.1016/j.csl.2021.101255</x:v>
      </x:c>
      <x:c r="H305" s="25" t="str">
        <x:v>OpenAlex</x:v>
      </x:c>
      <x:c r="I305" s="25" t="str">
        <x:v>C4_uncertainty_shared_autonomy</x:v>
      </x:c>
      <x:c r="J305" s="25" t="str">
        <x:v>Exclude</x:v>
      </x:c>
      <x:c r="K305" s="25" t="str">
        <x:v>Exclude: topic mismatch</x:v>
      </x:c>
    </x:row>
    <x:row r="306">
      <x:c r="A306" s="20" t="str">
        <x:v>R0302</x:v>
      </x:c>
      <x:c r="B306" s="25" t="str">
        <x:v>User Representations in Human-Computer Interaction</x:v>
      </x:c>
      <x:c r="C306" s="25" t="n">
        <x:v>2020</x:v>
      </x:c>
      <x:c r="D306" s="25" t="str">
        <x:v>Sofía Seinfeld; Tiare Feuchtner; Antonella Maselli; Jörg Müller</x:v>
      </x:c>
      <x:c r="E306" s="25" t="str">
        <x:v>Human-Computer Interaction</x:v>
      </x:c>
      <x:c r="F306" s="25" t="str">
        <x:v>10.1080/07370024.2020.1724790</x:v>
      </x:c>
      <x:c r="G306" s="25" t="str">
        <x:v>https://doi.org/10.1080/07370024.2020.1724790</x:v>
      </x:c>
      <x:c r="H306" s="25" t="str">
        <x:v>OpenAlex</x:v>
      </x:c>
      <x:c r="I306" s="25" t="str">
        <x:v>C1_3D_mental_models</x:v>
      </x:c>
      <x:c r="J306" s="25" t="str">
        <x:v>Exclude</x:v>
      </x:c>
      <x:c r="K306" s="25" t="str">
        <x:v>Exclude: adjacent/redundant or insufficiently theory-generative for DC1</x:v>
      </x:c>
    </x:row>
    <x:row r="307">
      <x:c r="A307" s="20" t="str">
        <x:v>R0303</x:v>
      </x:c>
      <x:c r="B307" s="25" t="str">
        <x:v>Hemodynamic Correlates of Cognition in Human Infants</x:v>
      </x:c>
      <x:c r="C307" s="25" t="n">
        <x:v>2014</x:v>
      </x:c>
      <x:c r="D307" s="25" t="str">
        <x:v>Richard Ν. Aslin; Mohinish Shukla; Lauren L. Emberson</x:v>
      </x:c>
      <x:c r="E307" s="25" t="str">
        <x:v>Annual Review of Psychology</x:v>
      </x:c>
      <x:c r="F307" s="25" t="str">
        <x:v>10.1146/annurev-psych-010213-115108</x:v>
      </x:c>
      <x:c r="G307" s="25" t="str">
        <x:v>https://doi.org/10.1146/annurev-psych-010213-115108</x:v>
      </x:c>
      <x:c r="H307" s="25" t="str">
        <x:v>OpenAlex</x:v>
      </x:c>
      <x:c r="I307" s="25" t="str">
        <x:v>C1_3D_mental_models</x:v>
      </x:c>
      <x:c r="J307" s="25" t="str">
        <x:v>Exclude</x:v>
      </x:c>
      <x:c r="K307" s="25" t="str">
        <x:v>Exclude: topic mismatch</x:v>
      </x:c>
    </x:row>
    <x:row r="308">
      <x:c r="A308" s="20" t="str">
        <x:v>R0304</x:v>
      </x:c>
      <x:c r="B308" s="25" t="str">
        <x:v>Large Language Models: A Comprehensive Survey of its Applications, Challenges, Limitations, and Future Prospects</x:v>
      </x:c>
      <x:c r="C308" s="25" t="n">
        <x:v>2023</x:v>
      </x:c>
      <x:c r="D308" s="25" t="str">
        <x:v>Muhammad Usman Hadi; qasem al tashi; Rizwan Qureshi; Abbas Shah; Amgad Muneer; Muhammad Irfan; Anas Zafar; Muhammad Bilal Shaikh; Naveed Akhtar; Syed Zohaib Hassan; Maged Shoman; Jia Wu; Seyedali Mirjalili; Mubarak Shah</x:v>
      </x:c>
      <x:c r="E308" s="25" t="str"/>
      <x:c r="F308" s="25" t="str">
        <x:v>10.36227/techrxiv.23589741.v4</x:v>
      </x:c>
      <x:c r="G308" s="25" t="str">
        <x:v>https://doi.org/10.36227/techrxiv.23589741.v4</x:v>
      </x:c>
      <x:c r="H308" s="25" t="str">
        <x:v>OpenAlex</x:v>
      </x:c>
      <x:c r="I308" s="25" t="str">
        <x:v>C8_AI_3D_authoring</x:v>
      </x:c>
      <x:c r="J308" s="25" t="str">
        <x:v>Exclude</x:v>
      </x:c>
      <x:c r="K308" s="25" t="str">
        <x:v>Exclude: topic mismatch</x:v>
      </x:c>
    </x:row>
    <x:row r="309">
      <x:c r="A309" s="20" t="str">
        <x:v>R0305</x:v>
      </x:c>
      <x:c r="B309" s="25" t="str">
        <x:v>At the Dawn of Generative AI Era: A Tutorial-cum-Survey on New Frontiers in 6G Wireless Intelligence</x:v>
      </x:c>
      <x:c r="C309" s="25" t="n">
        <x:v>2024</x:v>
      </x:c>
      <x:c r="D309" s="25" t="str">
        <x:v>Abdulkadir Çelik; Ahmed M. Eltawil</x:v>
      </x:c>
      <x:c r="E309" s="25" t="str">
        <x:v>IEEE Open Journal of the Communications Society</x:v>
      </x:c>
      <x:c r="F309" s="25" t="str">
        <x:v>10.1109/ojcoms.2024.3362271</x:v>
      </x:c>
      <x:c r="G309" s="25" t="str">
        <x:v>https://doi.org/10.1109/ojcoms.2024.3362271</x:v>
      </x:c>
      <x:c r="H309" s="25" t="str">
        <x:v>OpenAlex</x:v>
      </x:c>
      <x:c r="I309" s="25" t="str">
        <x:v>C8_AI_3D_authoring</x:v>
      </x:c>
      <x:c r="J309" s="25" t="str">
        <x:v>Exclude</x:v>
      </x:c>
      <x:c r="K309" s="25" t="str">
        <x:v>Exclude: topic mismatch</x:v>
      </x:c>
    </x:row>
    <x:row r="310">
      <x:c r="A310" s="20" t="str">
        <x:v>R0306</x:v>
      </x:c>
      <x:c r="B310" s="25" t="str">
        <x:v>Support of mathematical thinking through embodied cognition: Nondigital and digital approaches</x:v>
      </x:c>
      <x:c r="C310" s="25" t="n">
        <x:v>2017</x:v>
      </x:c>
      <x:c r="D310" s="25" t="str">
        <x:v>Cathy Tran; Brandon T. Smith; Martin Buschkuehl</x:v>
      </x:c>
      <x:c r="E310" s="25" t="str">
        <x:v>Cognitive Research Principles and Implications</x:v>
      </x:c>
      <x:c r="F310" s="25" t="str">
        <x:v>10.1186/s41235-017-0053-8</x:v>
      </x:c>
      <x:c r="G310" s="25" t="str">
        <x:v>https://doi.org/10.1186/s41235-017-0053-8</x:v>
      </x:c>
      <x:c r="H310" s="25" t="str">
        <x:v>OpenAlex</x:v>
      </x:c>
      <x:c r="I310" s="25" t="str">
        <x:v>C10_affordance_embodied</x:v>
      </x:c>
      <x:c r="J310" s="25" t="str">
        <x:v>Exclude</x:v>
      </x:c>
      <x:c r="K310" s="25" t="str">
        <x:v>Exclude: adjacent/redundant or insufficiently theory-generative for DC1</x:v>
      </x:c>
    </x:row>
    <x:row r="311">
      <x:c r="A311" s="20" t="str">
        <x:v>R0307</x:v>
      </x:c>
      <x:c r="B311" s="25" t="str">
        <x:v>Decentering Through Design: Bridging Posthuman Theory with More-than-Human Design Practices</x:v>
      </x:c>
      <x:c r="C311" s="25" t="n">
        <x:v>2023</x:v>
      </x:c>
      <x:c r="D311" s="25" t="str">
        <x:v>Iohanna Nicenboim; Doenja Oogjes; Heidi Biggs; Seowoo Nam</x:v>
      </x:c>
      <x:c r="E311" s="25" t="str">
        <x:v>Human-Computer Interaction</x:v>
      </x:c>
      <x:c r="F311" s="25" t="str">
        <x:v>10.1080/07370024.2023.2283535</x:v>
      </x:c>
      <x:c r="G311" s="25" t="str">
        <x:v>https://doi.org/10.1080/07370024.2023.2283535</x:v>
      </x:c>
      <x:c r="H311" s="25" t="str">
        <x:v>OpenAlex</x:v>
      </x:c>
      <x:c r="I311" s="25" t="str">
        <x:v>C12_common_ground_repair</x:v>
      </x:c>
      <x:c r="J311" s="25" t="str">
        <x:v>Exclude</x:v>
      </x:c>
      <x:c r="K311" s="25" t="str">
        <x:v>Exclude: topic mismatch</x:v>
      </x:c>
    </x:row>
    <x:row r="312">
      <x:c r="A312" s="20" t="str">
        <x:v>R0308</x:v>
      </x:c>
      <x:c r="B312" s="25" t="str">
        <x:v>Flourishing in the Everyday: Moving Beyond Damage-Centered Design in HCI for BIPOC Communities</x:v>
      </x:c>
      <x:c r="C312" s="25" t="n">
        <x:v>2023</x:v>
      </x:c>
      <x:c r="D312" s="25" t="str">
        <x:v>Alexandra To; Angela D. R. Smith; Dilruba Showkat; Adinawa Adjagbodjou; Christina Harrington</x:v>
      </x:c>
      <x:c r="E312" s="25" t="str"/>
      <x:c r="F312" s="25" t="str">
        <x:v>10.1145/3563657.3596057</x:v>
      </x:c>
      <x:c r="G312" s="25" t="str">
        <x:v>https://doi.org/10.1145/3563657.3596057</x:v>
      </x:c>
      <x:c r="H312" s="25" t="str">
        <x:v>OpenAlex</x:v>
      </x:c>
      <x:c r="I312" s="25" t="str">
        <x:v>C12_common_ground_repair</x:v>
      </x:c>
      <x:c r="J312" s="25" t="str">
        <x:v>Exclude</x:v>
      </x:c>
      <x:c r="K312" s="25" t="str">
        <x:v>Exclude: topic mismatch</x:v>
      </x:c>
    </x:row>
    <x:row r="313">
      <x:c r="A313" s="20" t="str">
        <x:v>R0309</x:v>
      </x:c>
      <x:c r="B313" s="25" t="str">
        <x:v>Quantitative optimization of interoperability during feature-based data exchange</x:v>
      </x:c>
      <x:c r="C313" s="25" t="n">
        <x:v>2015</x:v>
      </x:c>
      <x:c r="D313" s="25" t="str">
        <x:v>D.J. Zhang; Fazhi He; Soonhung Han; X.X. Li</x:v>
      </x:c>
      <x:c r="E313" s="25" t="str">
        <x:v>Integrated Computer-Aided Engineering</x:v>
      </x:c>
      <x:c r="F313" s="25" t="str">
        <x:v>10.3233/ica-150499</x:v>
      </x:c>
      <x:c r="G313" s="25" t="str">
        <x:v>https://doi.org/10.3233/ica-150499</x:v>
      </x:c>
      <x:c r="H313" s="25" t="str">
        <x:v>OpenAlex</x:v>
      </x:c>
      <x:c r="I313" s="25" t="str">
        <x:v>C13_CAD_design_intent</x:v>
      </x:c>
      <x:c r="J313" s="25" t="str">
        <x:v>Exclude</x:v>
      </x:c>
      <x:c r="K313" s="25" t="str">
        <x:v>Exclude: topic mismatch</x:v>
      </x:c>
    </x:row>
    <x:row r="314">
      <x:c r="A314" s="20" t="str">
        <x:v>R0310</x:v>
      </x:c>
      <x:c r="B314" s="25" t="str">
        <x:v>Study of the attentive behavior of novice and expert map users using eye tracking</x:v>
      </x:c>
      <x:c r="C314" s="25" t="n">
        <x:v>2013</x:v>
      </x:c>
      <x:c r="D314" s="25" t="str">
        <x:v>Kristien Ooms; Philippe De Maeyer; Veerle Fack</x:v>
      </x:c>
      <x:c r="E314" s="25" t="str">
        <x:v>Cartography and Geographic Information Science</x:v>
      </x:c>
      <x:c r="F314" s="25" t="str">
        <x:v>10.1080/15230406.2013.860255</x:v>
      </x:c>
      <x:c r="G314" s="25" t="str">
        <x:v>https://doi.org/10.1080/15230406.2013.860255</x:v>
      </x:c>
      <x:c r="H314" s="25" t="str">
        <x:v>OpenAlex</x:v>
      </x:c>
      <x:c r="I314" s="25" t="str">
        <x:v>C1_3D_mental_models</x:v>
      </x:c>
      <x:c r="J314" s="25" t="str">
        <x:v>Exclude</x:v>
      </x:c>
      <x:c r="K314" s="25" t="str">
        <x:v>Exclude: adjacent/redundant or insufficiently theory-generative for DC1</x:v>
      </x:c>
    </x:row>
    <x:row r="315">
      <x:c r="A315" s="20" t="str">
        <x:v>R0311</x:v>
      </x:c>
      <x:c r="B315" s="25" t="str">
        <x:v>System Transparency in Shared Autonomy: A Mini Review</x:v>
      </x:c>
      <x:c r="C315" s="25" t="n">
        <x:v>2018</x:v>
      </x:c>
      <x:c r="D315" s="25" t="str">
        <x:v>Victoria Lucía Alonso; Paloma de la Puente</x:v>
      </x:c>
      <x:c r="E315" s="25" t="str">
        <x:v>Frontiers in Neurorobotics</x:v>
      </x:c>
      <x:c r="F315" s="25" t="str">
        <x:v>10.3389/fnbot.2018.00083</x:v>
      </x:c>
      <x:c r="G315" s="25" t="str">
        <x:v>https://doi.org/10.3389/fnbot.2018.00083</x:v>
      </x:c>
      <x:c r="H315" s="25" t="str">
        <x:v>OpenAlex</x:v>
      </x:c>
      <x:c r="I315" s="25" t="str">
        <x:v>C4_uncertainty_shared_autonomy; C6_frontend_GUI_intent</x:v>
      </x:c>
      <x:c r="J315" s="25" t="str">
        <x:v>Exclude</x:v>
      </x:c>
      <x:c r="K315" s="25" t="str">
        <x:v>Exclude: adjacent/redundant or insufficiently theory-generative for DC1</x:v>
      </x:c>
    </x:row>
    <x:row r="316">
      <x:c r="A316" s="20" t="str">
        <x:v>R0312</x:v>
      </x:c>
      <x:c r="B316" s="25" t="str">
        <x:v>Default network activation during episodic and semantic memory retrieval: A selective meta-analytic comparison</x:v>
      </x:c>
      <x:c r="C316" s="25" t="n">
        <x:v>2016</x:v>
      </x:c>
      <x:c r="D316" s="25" t="str">
        <x:v>Hongkeun Kim</x:v>
      </x:c>
      <x:c r="E316" s="25" t="str">
        <x:v>Neuropsychologia</x:v>
      </x:c>
      <x:c r="F316" s="25" t="str">
        <x:v>10.1016/j.neuropsychologia.2015.11.006</x:v>
      </x:c>
      <x:c r="G316" s="25" t="str">
        <x:v>https://doi.org/10.1016/j.neuropsychologia.2015.11.006</x:v>
      </x:c>
      <x:c r="H316" s="25" t="str">
        <x:v>Crossref</x:v>
      </x:c>
      <x:c r="I316" s="25" t="str">
        <x:v>C5_agent_memory</x:v>
      </x:c>
      <x:c r="J316" s="25" t="str">
        <x:v>Exclude</x:v>
      </x:c>
      <x:c r="K316" s="25" t="str">
        <x:v>Exclude: adjacent/redundant or insufficiently theory-generative for DC1</x:v>
      </x:c>
    </x:row>
    <x:row r="317">
      <x:c r="A317" s="20" t="str">
        <x:v>R0313</x:v>
      </x:c>
      <x:c r="B317" s="25" t="str">
        <x:v>Explainable AI for 6G Use Cases: Technical Aspects and Research Challenges</x:v>
      </x:c>
      <x:c r="C317" s="25" t="n">
        <x:v>2024</x:v>
      </x:c>
      <x:c r="D317" s="25" t="str">
        <x:v>Shen Wang; M. Atif Qureshi; Luis Miralles‐Pechuán; Thien Huynh‐The; Thippa Reddy Gadekallu; Madhusanka Liyanage</x:v>
      </x:c>
      <x:c r="E317" s="25" t="str">
        <x:v>IEEE Open Journal of the Communications Society</x:v>
      </x:c>
      <x:c r="F317" s="25" t="str">
        <x:v>10.1109/ojcoms.2024.3386872</x:v>
      </x:c>
      <x:c r="G317" s="25" t="str">
        <x:v>https://doi.org/10.1109/ojcoms.2024.3386872</x:v>
      </x:c>
      <x:c r="H317" s="25" t="str">
        <x:v>OpenAlex</x:v>
      </x:c>
      <x:c r="I317" s="25" t="str">
        <x:v>C8_AI_3D_authoring</x:v>
      </x:c>
      <x:c r="J317" s="25" t="str">
        <x:v>Exclude</x:v>
      </x:c>
      <x:c r="K317" s="25" t="str">
        <x:v>Exclude: topic mismatch</x:v>
      </x:c>
    </x:row>
    <x:row r="318">
      <x:c r="A318" s="20" t="str">
        <x:v>R0314</x:v>
      </x:c>
      <x:c r="B318" s="25" t="str">
        <x:v>Semantics for Robotic Mapping, Perception and Interaction: A Survey</x:v>
      </x:c>
      <x:c r="C318" s="25" t="n">
        <x:v>2020</x:v>
      </x:c>
      <x:c r="D318" s="25" t="str">
        <x:v>Sourav Garg; Niko Sünderhauf; Feras Dayoub; Douglas Morrison; Akansel Cosgun; Gustavo Carneiro; Qi Wu; Tat-Jun Chin; Ian Reid; Stephen Jay Gould; Peter Corke; Michael Milford</x:v>
      </x:c>
      <x:c r="E318" s="25" t="str">
        <x:v>Foundations and Trends in Robotics</x:v>
      </x:c>
      <x:c r="F318" s="25" t="str">
        <x:v>10.1561/2300000059</x:v>
      </x:c>
      <x:c r="G318" s="25" t="str">
        <x:v>https://doi.org/10.1561/2300000059</x:v>
      </x:c>
      <x:c r="H318" s="25" t="str">
        <x:v>OpenAlex</x:v>
      </x:c>
      <x:c r="I318" s="25" t="str">
        <x:v>C13_CAD_design_intent; C4_uncertainty_shared_autonomy</x:v>
      </x:c>
      <x:c r="J318" s="25" t="str">
        <x:v>Exclude</x:v>
      </x:c>
      <x:c r="K318" s="25" t="str">
        <x:v>Exclude: adjacent/redundant or insufficiently theory-generative for DC1</x:v>
      </x:c>
    </x:row>
    <x:row r="319">
      <x:c r="A319" s="20" t="str">
        <x:v>R0315</x:v>
      </x:c>
      <x:c r="B319" s="25" t="str">
        <x:v>The effect of AI-based inspiration on human design ideation</x:v>
      </x:c>
      <x:c r="C319" s="25" t="n">
        <x:v>2023</x:v>
      </x:c>
      <x:c r="D319" s="25" t="str">
        <x:v>Jingoog Kim; Mary Lou Maher</x:v>
      </x:c>
      <x:c r="E319" s="25" t="str">
        <x:v>International Journal of Design Creativity and Innovation</x:v>
      </x:c>
      <x:c r="F319" s="25" t="str">
        <x:v>10.1080/21650349.2023.2167124</x:v>
      </x:c>
      <x:c r="G319" s="25" t="str">
        <x:v>https://doi.org/10.1080/21650349.2023.2167124</x:v>
      </x:c>
      <x:c r="H319" s="25" t="str">
        <x:v>OpenAlex</x:v>
      </x:c>
      <x:c r="I319" s="25" t="str">
        <x:v>C3_mixed_initiative_cocreation</x:v>
      </x:c>
      <x:c r="J319" s="25" t="str">
        <x:v>Exclude</x:v>
      </x:c>
      <x:c r="K319" s="25" t="str">
        <x:v>Exclude: adjacent/redundant or insufficiently theory-generative for DC1</x:v>
      </x:c>
    </x:row>
    <x:row r="320">
      <x:c r="A320" s="20" t="str">
        <x:v>R0316</x:v>
      </x:c>
      <x:c r="B320" s="25" t="str">
        <x:v>Systematic Review on Wearable Lower Extremity Robotic Exoskeletons for Assisted Locomotion</x:v>
      </x:c>
      <x:c r="C320" s="25" t="n">
        <x:v>2022</x:v>
      </x:c>
      <x:c r="D320" s="25" t="str">
        <x:v>Shuang Qiu; Zhongcai Pei; Chen Wang; Zhiyong Tang</x:v>
      </x:c>
      <x:c r="E320" s="25" t="str">
        <x:v>Journal of Bionic Engineering</x:v>
      </x:c>
      <x:c r="F320" s="25" t="str">
        <x:v>10.1007/s42235-022-00289-8</x:v>
      </x:c>
      <x:c r="G320" s="25" t="str">
        <x:v>https://doi.org/10.1007/s42235-022-00289-8</x:v>
      </x:c>
      <x:c r="H320" s="25" t="str">
        <x:v>OpenAlex</x:v>
      </x:c>
      <x:c r="I320" s="25" t="str">
        <x:v>C11_hierarchical_goal_recognition</x:v>
      </x:c>
      <x:c r="J320" s="25" t="str">
        <x:v>Exclude</x:v>
      </x:c>
      <x:c r="K320" s="25" t="str">
        <x:v>Exclude: adjacent/redundant or insufficiently theory-generative for DC1</x:v>
      </x:c>
    </x:row>
    <x:row r="321">
      <x:c r="A321" s="20" t="str">
        <x:v>R0317</x:v>
      </x:c>
      <x:c r="B321" s="25" t="str">
        <x:v>A Review of Immersive Technologies, Knowledge Representation, and AI for Human-Centered Digital Experiences</x:v>
      </x:c>
      <x:c r="C321" s="25" t="n">
        <x:v>2024</x:v>
      </x:c>
      <x:c r="D321" s="25" t="str">
        <x:v>Nikolaos Partarakis; Xenophon Zabulis</x:v>
      </x:c>
      <x:c r="E321" s="25" t="str">
        <x:v>Electronics</x:v>
      </x:c>
      <x:c r="F321" s="25" t="str">
        <x:v>10.3390/electronics13020269</x:v>
      </x:c>
      <x:c r="G321" s="25" t="str">
        <x:v>https://doi.org/10.3390/electronics13020269</x:v>
      </x:c>
      <x:c r="H321" s="25" t="str">
        <x:v>OpenAlex</x:v>
      </x:c>
      <x:c r="I321" s="25" t="str">
        <x:v>C6_frontend_GUI_intent; C8_AI_3D_authoring</x:v>
      </x:c>
      <x:c r="J321" s="25" t="str">
        <x:v>Exclude</x:v>
      </x:c>
      <x:c r="K321" s="25" t="str">
        <x:v>Exclude: adjacent/redundant or insufficiently theory-generative for DC1</x:v>
      </x:c>
    </x:row>
    <x:row r="322">
      <x:c r="A322" s="20" t="str">
        <x:v>R0318</x:v>
      </x:c>
      <x:c r="B322" s="25" t="str">
        <x:v>Building Human Values into Recommender Systems: An Interdisciplinary Synthesis</x:v>
      </x:c>
      <x:c r="C322" s="25" t="n">
        <x:v>2023</x:v>
      </x:c>
      <x:c r="D322" s="25" t="str">
        <x:v>Jonathan Stray; Alon Halevy; Parisa Assar; Dylan Hadfield-Menell; Craig Boutilier; Amar Ashar; Chloé Bakalar; Lex Beattie; Michael D. Ekstrand; Claire Leibowicz; Connie Moon Sehat; Sara L. Johansen; Lianne Kerlin; David Vickrey; Spandana Singh; Sanne Vrijenhoek; Amy X. Zhang; McKane Andrus; Natali Helberger; Polina Proutskova; Tanushree Mitra; Nina Vasan</x:v>
      </x:c>
      <x:c r="E322" s="25" t="str">
        <x:v>ACM Transactions on Recommender Systems</x:v>
      </x:c>
      <x:c r="F322" s="25" t="str">
        <x:v>10.1145/3632297</x:v>
      </x:c>
      <x:c r="G322" s="25" t="str">
        <x:v>https://doi.org/10.1145/3632297</x:v>
      </x:c>
      <x:c r="H322" s="25" t="str">
        <x:v>OpenAlex</x:v>
      </x:c>
      <x:c r="I322" s="25" t="str">
        <x:v>C4_uncertainty_shared_autonomy</x:v>
      </x:c>
      <x:c r="J322" s="25" t="str">
        <x:v>Exclude</x:v>
      </x:c>
      <x:c r="K322" s="25" t="str">
        <x:v>Exclude: topic mismatch</x:v>
      </x:c>
    </x:row>
    <x:row r="323">
      <x:c r="A323" s="20" t="str">
        <x:v>R0319</x:v>
      </x:c>
      <x:c r="B323" s="25" t="str">
        <x:v>Misunderstandings and explicit/implicit communication</x:v>
      </x:c>
      <x:c r="C323" s="25" t="n">
        <x:v>2015</x:v>
      </x:c>
      <x:c r="D323" s="25" t="str">
        <x:v>Francisco Yus</x:v>
      </x:c>
      <x:c r="E323" s="25" t="str">
        <x:v>Pragmatics Quarterly Publication of the International Pragmatics Association (IPrA)</x:v>
      </x:c>
      <x:c r="F323" s="25" t="str">
        <x:v>10.1075/prag.9.4.01yus</x:v>
      </x:c>
      <x:c r="G323" s="25" t="str">
        <x:v>https://doi.org/10.1075/prag.9.4.01yus</x:v>
      </x:c>
      <x:c r="H323" s="25" t="str">
        <x:v>OpenAlex</x:v>
      </x:c>
      <x:c r="I323" s="25" t="str">
        <x:v>C2_interaction_signals</x:v>
      </x:c>
      <x:c r="J323" s="25" t="str">
        <x:v>Exclude</x:v>
      </x:c>
      <x:c r="K323" s="25" t="str">
        <x:v>Exclude: topic mismatch</x:v>
      </x:c>
    </x:row>
    <x:row r="324">
      <x:c r="A324" s="20" t="str">
        <x:v>R0320</x:v>
      </x:c>
      <x:c r="B324" s="25" t="str">
        <x:v>Artificial Intelligence and User Experience in reciprocity: Contributions and state of the art</x:v>
      </x:c>
      <x:c r="C324" s="25" t="n">
        <x:v>2023</x:v>
      </x:c>
      <x:c r="D324" s="25" t="str">
        <x:v>Maria Virvou</x:v>
      </x:c>
      <x:c r="E324" s="25" t="str">
        <x:v>Intelligent Decision Technologies</x:v>
      </x:c>
      <x:c r="F324" s="25" t="str">
        <x:v>10.3233/idt-230092</x:v>
      </x:c>
      <x:c r="G324" s="25" t="str">
        <x:v>https://doi.org/10.3233/idt-230092</x:v>
      </x:c>
      <x:c r="H324" s="25" t="str">
        <x:v>OpenAlex</x:v>
      </x:c>
      <x:c r="I324" s="25" t="str">
        <x:v>C11_hierarchical_goal_recognition; C6_frontend_GUI_intent</x:v>
      </x:c>
      <x:c r="J324" s="25" t="str">
        <x:v>Exclude</x:v>
      </x:c>
      <x:c r="K324" s="25" t="str">
        <x:v>Exclude: adjacent/redundant or insufficiently theory-generative for DC1</x:v>
      </x:c>
    </x:row>
    <x:row r="325">
      <x:c r="A325" s="20" t="str">
        <x:v>R0321</x:v>
      </x:c>
      <x:c r="B325" s="25" t="str">
        <x:v>Multi-Modal Repairs of Conversational Breakdowns in Task-Oriented Dialogs</x:v>
      </x:c>
      <x:c r="C325" s="25" t="n">
        <x:v>2020</x:v>
      </x:c>
      <x:c r="D325" s="25" t="str">
        <x:v>Toby Jia-Jun Li; Jingya Chen; Haijun Xia; Tom M. Mitchell; Brad A. Myers</x:v>
      </x:c>
      <x:c r="E325" s="25" t="str"/>
      <x:c r="F325" s="25" t="str">
        <x:v>10.1145/3379337.3415820</x:v>
      </x:c>
      <x:c r="G325" s="25" t="str">
        <x:v>https://doi.org/10.1145/3379337.3415820</x:v>
      </x:c>
      <x:c r="H325" s="25" t="str">
        <x:v>OpenAlex</x:v>
      </x:c>
      <x:c r="I325" s="25" t="str">
        <x:v>C12_common_ground_repair</x:v>
      </x:c>
      <x:c r="J325" s="25" t="str">
        <x:v>Include</x:v>
      </x:c>
      <x:c r="K325" s="25" t="str">
        <x:v>Included in focused synthesis</x:v>
      </x:c>
    </x:row>
    <x:row r="326">
      <x:c r="A326" s="20" t="str">
        <x:v>R0322</x:v>
      </x:c>
      <x:c r="B326" s="25" t="str">
        <x:v>The synergy of embodied cognition and cognitive load theory for optimized learning</x:v>
      </x:c>
      <x:c r="C326" s="25" t="n">
        <x:v>2025</x:v>
      </x:c>
      <x:c r="D326" s="25" t="str">
        <x:v>Liye Zou; Zhihao Zhang; Myrto F. Mavilidi; Yanxia Chen; Fabian Herold; Kim Ouwehand; Fred Paas</x:v>
      </x:c>
      <x:c r="E326" s="25" t="str">
        <x:v>Nature Human Behaviour</x:v>
      </x:c>
      <x:c r="F326" s="25" t="str">
        <x:v>10.1038/s41562-025-02152-2</x:v>
      </x:c>
      <x:c r="G326" s="25" t="str">
        <x:v>https://doi.org/10.1038/s41562-025-02152-2</x:v>
      </x:c>
      <x:c r="H326" s="25" t="str">
        <x:v>OpenAlex</x:v>
      </x:c>
      <x:c r="I326" s="25" t="str">
        <x:v>C10_affordance_embodied</x:v>
      </x:c>
      <x:c r="J326" s="25" t="str">
        <x:v>Exclude</x:v>
      </x:c>
      <x:c r="K326" s="25" t="str">
        <x:v>Exclude: topic mismatch</x:v>
      </x:c>
    </x:row>
    <x:row r="327">
      <x:c r="A327" s="20" t="str">
        <x:v>R0323</x:v>
      </x:c>
      <x:c r="B327" s="25" t="str">
        <x:v>DirectGPT: A Direct Manipulation Interface to Interact with Large Language Models</x:v>
      </x:c>
      <x:c r="C327" s="25" t="n">
        <x:v>2024</x:v>
      </x:c>
      <x:c r="D327" s="25" t="str">
        <x:v>Damien Masson; Sylvain Malacria; Géry Casiez; Daniel Vogel</x:v>
      </x:c>
      <x:c r="E327" s="25" t="str"/>
      <x:c r="F327" s="25" t="str">
        <x:v>10.1145/3613904.3642462</x:v>
      </x:c>
      <x:c r="G327" s="25" t="str">
        <x:v>https://doi.org/10.1145/3613904.3642462</x:v>
      </x:c>
      <x:c r="H327" s="25" t="str">
        <x:v>OpenAlex</x:v>
      </x:c>
      <x:c r="I327" s="25" t="str">
        <x:v>C6_frontend_GUI_intent; C8_AI_3D_authoring</x:v>
      </x:c>
      <x:c r="J327" s="25" t="str">
        <x:v>Include</x:v>
      </x:c>
      <x:c r="K327" s="25" t="str">
        <x:v>Included in focused synthesis</x:v>
      </x:c>
    </x:row>
    <x:row r="328">
      <x:c r="A328" s="20" t="str">
        <x:v>R0324</x:v>
      </x:c>
      <x:c r="B328" s="25" t="str">
        <x:v>ATON: An Open-Source Framework for Creating Immersive, Collaborative and Liquid Web-Apps for Cultural Heritage</x:v>
      </x:c>
      <x:c r="C328" s="25" t="n">
        <x:v>2021</x:v>
      </x:c>
      <x:c r="D328" s="25" t="str">
        <x:v>Bruno Fanini; Daniele Ferdani; Emanuel Demetrescu; Simone Berto; Enzo D'Annibale</x:v>
      </x:c>
      <x:c r="E328" s="25" t="str">
        <x:v>Applied Sciences</x:v>
      </x:c>
      <x:c r="F328" s="25" t="str">
        <x:v>10.3390/app112211062</x:v>
      </x:c>
      <x:c r="G328" s="25" t="str">
        <x:v>https://doi.org/10.3390/app112211062</x:v>
      </x:c>
      <x:c r="H328" s="25" t="str">
        <x:v>OpenAlex</x:v>
      </x:c>
      <x:c r="I328" s="25" t="str">
        <x:v>C13_CAD_design_intent</x:v>
      </x:c>
      <x:c r="J328" s="25" t="str">
        <x:v>Exclude</x:v>
      </x:c>
      <x:c r="K328" s="25" t="str">
        <x:v>Exclude: adjacent/redundant or insufficiently theory-generative for DC1</x:v>
      </x:c>
    </x:row>
    <x:row r="329">
      <x:c r="A329" s="20" t="str">
        <x:v>R0325</x:v>
      </x:c>
      <x:c r="B329" s="25" t="str">
        <x:v>A Comprehensive Review of Data‐Driven Co‐Speech Gesture Generation</x:v>
      </x:c>
      <x:c r="C329" s="25" t="n">
        <x:v>2023</x:v>
      </x:c>
      <x:c r="D329" s="25" t="str">
        <x:v>Simbarashe Nyatsanga; Taras Kucherenko; C. Ahuja; Gustav Eje Henter; Michael Neff</x:v>
      </x:c>
      <x:c r="E329" s="25" t="str">
        <x:v>Computer Graphics Forum</x:v>
      </x:c>
      <x:c r="F329" s="25" t="str">
        <x:v>10.1111/cgf.14776</x:v>
      </x:c>
      <x:c r="G329" s="25" t="str">
        <x:v>https://doi.org/10.1111/cgf.14776</x:v>
      </x:c>
      <x:c r="H329" s="25" t="str">
        <x:v>OpenAlex</x:v>
      </x:c>
      <x:c r="I329" s="25" t="str">
        <x:v>C11_hierarchical_goal_recognition</x:v>
      </x:c>
      <x:c r="J329" s="25" t="str">
        <x:v>Exclude</x:v>
      </x:c>
      <x:c r="K329" s="25" t="str">
        <x:v>Exclude: topic mismatch</x:v>
      </x:c>
    </x:row>
    <x:row r="330">
      <x:c r="A330" s="20" t="str">
        <x:v>R0326</x:v>
      </x:c>
      <x:c r="B330" s="25" t="str">
        <x:v>Metacognition, Distributed Cognition and Visual Design</x:v>
      </x:c>
      <x:c r="C330" s="25" t="n">
        <x:v>2004</x:v>
      </x:c>
      <x:c r="D330" s="25" t="str">
        <x:v>David Kirsh</x:v>
      </x:c>
      <x:c r="E330" s="25" t="str">
        <x:v>PhilPapers (PhilPapers Foundation)</x:v>
      </x:c>
      <x:c r="F330" s="25" t="str"/>
      <x:c r="G330" s="25" t="str">
        <x:v>https://philarchive.org/rec/DAVMDC</x:v>
      </x:c>
      <x:c r="H330" s="25" t="str">
        <x:v>OpenAlex</x:v>
      </x:c>
      <x:c r="I330" s="25" t="str">
        <x:v>C10_affordance_embodied; C1_3D_mental_models</x:v>
      </x:c>
      <x:c r="J330" s="25" t="str">
        <x:v>Exclude</x:v>
      </x:c>
      <x:c r="K330" s="25" t="str">
        <x:v>Exclude: topic mismatch</x:v>
      </x:c>
    </x:row>
    <x:row r="331">
      <x:c r="A331" s="20" t="str">
        <x:v>R0327</x:v>
      </x:c>
      <x:c r="B331" s="25" t="str">
        <x:v>Virtual Body Ownership Illusions for Mental Health: A Narrative Review</x:v>
      </x:c>
      <x:c r="C331" s="25" t="n">
        <x:v>2021</x:v>
      </x:c>
      <x:c r="D331" s="25" t="str">
        <x:v>Marta Matamala-Gomez; Antonella Maselli; Clelia Malighetti; Olivia Realdon; Fabrizia Mantovani; Giuseppe Riva</x:v>
      </x:c>
      <x:c r="E331" s="25" t="str">
        <x:v>Journal of Clinical Medicine</x:v>
      </x:c>
      <x:c r="F331" s="25" t="str">
        <x:v>10.3390/jcm10010139</x:v>
      </x:c>
      <x:c r="G331" s="25" t="str">
        <x:v>https://doi.org/10.3390/jcm10010139</x:v>
      </x:c>
      <x:c r="H331" s="25" t="str">
        <x:v>OpenAlex</x:v>
      </x:c>
      <x:c r="I331" s="25" t="str">
        <x:v>C1_3D_mental_models</x:v>
      </x:c>
      <x:c r="J331" s="25" t="str">
        <x:v>Exclude</x:v>
      </x:c>
      <x:c r="K331" s="25" t="str">
        <x:v>Exclude: adjacent/redundant or insufficiently theory-generative for DC1</x:v>
      </x:c>
    </x:row>
    <x:row r="332">
      <x:c r="A332" s="20" t="str">
        <x:v>R0328</x:v>
      </x:c>
      <x:c r="B332" s="25" t="str">
        <x:v>A declarative approach to procedural modeling of virtual worlds</x:v>
      </x:c>
      <x:c r="C332" s="25" t="n">
        <x:v>2010</x:v>
      </x:c>
      <x:c r="D332" s="25" t="str">
        <x:v>R.M. Smelik; Tim Tutenel; Klaas Jan de Kraker; Rafael Bidarra</x:v>
      </x:c>
      <x:c r="E332" s="25" t="str">
        <x:v>Computers &amp; Graphics</x:v>
      </x:c>
      <x:c r="F332" s="25" t="str">
        <x:v>10.1016/j.cag.2010.11.011</x:v>
      </x:c>
      <x:c r="G332" s="25" t="str">
        <x:v>https://doi.org/10.1016/j.cag.2010.11.011</x:v>
      </x:c>
      <x:c r="H332" s="25" t="str">
        <x:v>OpenAlex</x:v>
      </x:c>
      <x:c r="I332" s="25" t="str">
        <x:v>C13_CAD_design_intent</x:v>
      </x:c>
      <x:c r="J332" s="25" t="str">
        <x:v>Exclude</x:v>
      </x:c>
      <x:c r="K332" s="25" t="str">
        <x:v>Exclude: topic mismatch</x:v>
      </x:c>
    </x:row>
    <x:row r="333">
      <x:c r="A333" s="20" t="str">
        <x:v>R0329</x:v>
      </x:c>
      <x:c r="B333" s="25" t="str">
        <x:v>How to make sense of 3D representations for plant phenotyping: a compendium of processing and analysis techniques</x:v>
      </x:c>
      <x:c r="C333" s="25" t="n">
        <x:v>2023</x:v>
      </x:c>
      <x:c r="D333" s="25" t="str">
        <x:v>Negin Harandi; Breght Vandenberghe; Joris Vankerschaver; Stephen Depuydt; Arnout Van Messem</x:v>
      </x:c>
      <x:c r="E333" s="25" t="str">
        <x:v>Plant Methods</x:v>
      </x:c>
      <x:c r="F333" s="25" t="str">
        <x:v>10.1186/s13007-023-01031-z</x:v>
      </x:c>
      <x:c r="G333" s="25" t="str">
        <x:v>https://doi.org/10.1186/s13007-023-01031-z</x:v>
      </x:c>
      <x:c r="H333" s="25" t="str">
        <x:v>OpenAlex</x:v>
      </x:c>
      <x:c r="I333" s="25" t="str">
        <x:v>C8_AI_3D_authoring</x:v>
      </x:c>
      <x:c r="J333" s="25" t="str">
        <x:v>Exclude</x:v>
      </x:c>
      <x:c r="K333" s="25" t="str">
        <x:v>Exclude: adjacent/redundant or insufficiently theory-generative for DC1</x:v>
      </x:c>
    </x:row>
    <x:row r="334">
      <x:c r="A334" s="20" t="str">
        <x:v>R0330</x:v>
      </x:c>
      <x:c r="B334" s="25" t="str">
        <x:v>The Active Inference Approach to Ecological Perception: General Information Dynamics for Natural and Artificial Embodied Cognition</x:v>
      </x:c>
      <x:c r="C334" s="25" t="n">
        <x:v>2018</x:v>
      </x:c>
      <x:c r="D334" s="25" t="str">
        <x:v>Adam Linson; Andy Clark; Subramanian Ramamoorthy; Karl Friston</x:v>
      </x:c>
      <x:c r="E334" s="25" t="str">
        <x:v>Frontiers in Robotics and AI</x:v>
      </x:c>
      <x:c r="F334" s="25" t="str">
        <x:v>10.3389/frobt.2018.00021</x:v>
      </x:c>
      <x:c r="G334" s="25" t="str">
        <x:v>https://doi.org/10.3389/frobt.2018.00021</x:v>
      </x:c>
      <x:c r="H334" s="25" t="str">
        <x:v>OpenAlex</x:v>
      </x:c>
      <x:c r="I334" s="25" t="str">
        <x:v>C10_affordance_embodied</x:v>
      </x:c>
      <x:c r="J334" s="25" t="str">
        <x:v>Exclude</x:v>
      </x:c>
      <x:c r="K334" s="25" t="str">
        <x:v>Exclude: topic mismatch</x:v>
      </x:c>
    </x:row>
    <x:row r="335">
      <x:c r="A335" s="20" t="str">
        <x:v>R0331</x:v>
      </x:c>
      <x:c r="B335" s="25" t="str">
        <x:v>Intention awareness: improving upon situation awareness in human-centric environments</x:v>
      </x:c>
      <x:c r="C335" s="25" t="n">
        <x:v>2013</x:v>
      </x:c>
      <x:c r="D335" s="25" t="str">
        <x:v>Newton Howard; Erik Cambria</x:v>
      </x:c>
      <x:c r="E335" s="25" t="str">
        <x:v>Human-centric Computing and Information Sciences</x:v>
      </x:c>
      <x:c r="F335" s="25" t="str">
        <x:v>10.1186/2192-1962-3-9</x:v>
      </x:c>
      <x:c r="G335" s="25" t="str">
        <x:v>https://doi.org/10.1186/2192-1962-3-9</x:v>
      </x:c>
      <x:c r="H335" s="25" t="str">
        <x:v>OpenAlex</x:v>
      </x:c>
      <x:c r="I335" s="25" t="str">
        <x:v>C4_uncertainty_shared_autonomy</x:v>
      </x:c>
      <x:c r="J335" s="25" t="str">
        <x:v>Exclude</x:v>
      </x:c>
      <x:c r="K335" s="25" t="str">
        <x:v>Exclude: adjacent/redundant or insufficiently theory-generative for DC1</x:v>
      </x:c>
    </x:row>
    <x:row r="336">
      <x:c r="A336" s="20" t="str">
        <x:v>R0332</x:v>
      </x:c>
      <x:c r="B336" s="25" t="str">
        <x:v>Understanding Human-Centred AI: a review of its defining elements and a research agenda</x:v>
      </x:c>
      <x:c r="C336" s="25" t="n">
        <x:v>2025</x:v>
      </x:c>
      <x:c r="D336" s="25" t="str">
        <x:v>Stefan Schmager; Ilias O. Pappas; Polyxeni Vassilakopoulou</x:v>
      </x:c>
      <x:c r="E336" s="25" t="str">
        <x:v>Behaviour and Information Technology</x:v>
      </x:c>
      <x:c r="F336" s="25" t="str">
        <x:v>10.1080/0144929x.2024.2448719</x:v>
      </x:c>
      <x:c r="G336" s="25" t="str">
        <x:v>https://doi.org/10.1080/0144929x.2024.2448719</x:v>
      </x:c>
      <x:c r="H336" s="25" t="str">
        <x:v>OpenAlex</x:v>
      </x:c>
      <x:c r="I336" s="25" t="str">
        <x:v>C3_mixed_initiative_cocreation</x:v>
      </x:c>
      <x:c r="J336" s="25" t="str">
        <x:v>Exclude</x:v>
      </x:c>
      <x:c r="K336" s="25" t="str">
        <x:v>Exclude: adjacent/redundant or insufficiently theory-generative for DC1</x:v>
      </x:c>
    </x:row>
    <x:row r="337">
      <x:c r="A337" s="20" t="str">
        <x:v>R0333</x:v>
      </x:c>
      <x:c r="B337" s="25" t="str">
        <x:v>AI Extenders</x:v>
      </x:c>
      <x:c r="C337" s="25" t="n">
        <x:v>2019</x:v>
      </x:c>
      <x:c r="D337" s="25" t="str">
        <x:v>José Hernández‐Orallo; Karina Vold</x:v>
      </x:c>
      <x:c r="E337" s="25" t="str"/>
      <x:c r="F337" s="25" t="str">
        <x:v>10.1145/3306618.3314238</x:v>
      </x:c>
      <x:c r="G337" s="25" t="str">
        <x:v>https://doi.org/10.1145/3306618.3314238</x:v>
      </x:c>
      <x:c r="H337" s="25" t="str">
        <x:v>OpenAlex</x:v>
      </x:c>
      <x:c r="I337" s="25" t="str">
        <x:v>C14_agency_ownership</x:v>
      </x:c>
      <x:c r="J337" s="25" t="str">
        <x:v>Exclude</x:v>
      </x:c>
      <x:c r="K337" s="25" t="str">
        <x:v>Exclude: adjacent/redundant or insufficiently theory-generative for DC1</x:v>
      </x:c>
    </x:row>
    <x:row r="338">
      <x:c r="A338" s="20" t="str">
        <x:v>R0334</x:v>
      </x:c>
      <x:c r="B338" s="25" t="str">
        <x:v>Generative AI for synthetic data across multiple medical modalities: A systematic review of recent developments and challenges</x:v>
      </x:c>
      <x:c r="C338" s="25" t="n">
        <x:v>2025</x:v>
      </x:c>
      <x:c r="D338" s="25" t="str">
        <x:v>Mahmoud Ibrahim; Yasmina Al Khalil; Sina Amirrajab; Chang Sun; Marcel Breeuwer; Josien P. W. Pluim; Bart Elen; Gökhan Ertaylan; Michel Dumontier</x:v>
      </x:c>
      <x:c r="E338" s="25" t="str">
        <x:v>Computers in Biology and Medicine</x:v>
      </x:c>
      <x:c r="F338" s="25" t="str">
        <x:v>10.1016/j.compbiomed.2025.109834</x:v>
      </x:c>
      <x:c r="G338" s="25" t="str">
        <x:v>https://doi.org/10.1016/j.compbiomed.2025.109834</x:v>
      </x:c>
      <x:c r="H338" s="25" t="str">
        <x:v>OpenAlex</x:v>
      </x:c>
      <x:c r="I338" s="25" t="str">
        <x:v>C8_AI_3D_authoring</x:v>
      </x:c>
      <x:c r="J338" s="25" t="str">
        <x:v>Exclude</x:v>
      </x:c>
      <x:c r="K338" s="25" t="str">
        <x:v>Exclude: adjacent/redundant or insufficiently theory-generative for DC1</x:v>
      </x:c>
    </x:row>
    <x:row r="339">
      <x:c r="A339" s="20" t="str">
        <x:v>R0335</x:v>
      </x:c>
      <x:c r="B339" s="25" t="str">
        <x:v>Crowdsourcing Human-Robot Interaction: New Methods and System Evaluation in a Public Environment</x:v>
      </x:c>
      <x:c r="C339" s="25" t="n">
        <x:v>2013</x:v>
      </x:c>
      <x:c r="D339" s="25" t="str">
        <x:v>Cynthia Breazeal; Nick DePalma; Jeff Orkin; Sonia Chernova; Malte Jung</x:v>
      </x:c>
      <x:c r="E339" s="25" t="str">
        <x:v>Journal of Human-Robot Interaction</x:v>
      </x:c>
      <x:c r="F339" s="25" t="str">
        <x:v>10.5898/jhri.2.1.breazeal</x:v>
      </x:c>
      <x:c r="G339" s="25" t="str">
        <x:v>https://doi.org/10.5898/jhri.2.1.breazeal</x:v>
      </x:c>
      <x:c r="H339" s="25" t="str">
        <x:v>OpenAlex</x:v>
      </x:c>
      <x:c r="I339" s="25" t="str">
        <x:v>C4_uncertainty_shared_autonomy</x:v>
      </x:c>
      <x:c r="J339" s="25" t="str">
        <x:v>Exclude</x:v>
      </x:c>
      <x:c r="K339" s="25" t="str">
        <x:v>Exclude: adjacent/redundant or insufficiently theory-generative for DC1</x:v>
      </x:c>
    </x:row>
    <x:row r="340">
      <x:c r="A340" s="20" t="str">
        <x:v>R0336</x:v>
      </x:c>
      <x:c r="B340" s="25" t="str">
        <x:v>Human-Robot Mutual Adaptation in Shared Autonomy</x:v>
      </x:c>
      <x:c r="C340" s="25" t="n">
        <x:v>2017</x:v>
      </x:c>
      <x:c r="D340" s="25" t="str">
        <x:v>Stefanos Nikolaidis; Yu Xiang Zhu; David Hsu; Siddhartha Srinivasa</x:v>
      </x:c>
      <x:c r="E340" s="25" t="str">
        <x:v>Proceedings of the 2017 ACM/IEEE International Conference on Human-Robot Interaction</x:v>
      </x:c>
      <x:c r="F340" s="25" t="str">
        <x:v>10.1145/2909824.3020252</x:v>
      </x:c>
      <x:c r="G340" s="25" t="str">
        <x:v>https://doi.org/10.1145/2909824.3020252</x:v>
      </x:c>
      <x:c r="H340" s="25" t="str">
        <x:v>Crossref</x:v>
      </x:c>
      <x:c r="I340" s="25" t="str">
        <x:v>C4_uncertainty_shared_autonomy</x:v>
      </x:c>
      <x:c r="J340" s="25" t="str">
        <x:v>Exclude</x:v>
      </x:c>
      <x:c r="K340" s="25" t="str">
        <x:v>Exclude: adjacent/redundant or insufficiently theory-generative for DC1</x:v>
      </x:c>
    </x:row>
    <x:row r="341">
      <x:c r="A341" s="20" t="str">
        <x:v>R0337</x:v>
      </x:c>
      <x:c r="B341" s="25" t="str">
        <x:v>The Security Reference Architecture for Blockchains: Toward a Standardized Model for Studying Vulnerabilities, Threats, and Defenses</x:v>
      </x:c>
      <x:c r="C341" s="25" t="n">
        <x:v>2020</x:v>
      </x:c>
      <x:c r="D341" s="25" t="str">
        <x:v>Ivan Homoliak; Sarad Venugopalan; Daniel Reijsbergen; Qingze Hum; Richard Schumi; Pawel Szalachowski</x:v>
      </x:c>
      <x:c r="E341" s="25" t="str">
        <x:v>IEEE Communications Surveys &amp; Tutorials</x:v>
      </x:c>
      <x:c r="F341" s="25" t="str">
        <x:v>10.1109/comst.2020.3033665</x:v>
      </x:c>
      <x:c r="G341" s="25" t="str">
        <x:v>https://doi.org/10.1109/comst.2020.3033665</x:v>
      </x:c>
      <x:c r="H341" s="25" t="str">
        <x:v>OpenAlex</x:v>
      </x:c>
      <x:c r="I341" s="25" t="str">
        <x:v>C16_memory_conflict_bias</x:v>
      </x:c>
      <x:c r="J341" s="25" t="str">
        <x:v>Exclude</x:v>
      </x:c>
      <x:c r="K341" s="25" t="str">
        <x:v>Exclude: topic mismatch</x:v>
      </x:c>
    </x:row>
    <x:row r="342">
      <x:c r="A342" s="20" t="str">
        <x:v>R0338</x:v>
      </x:c>
      <x:c r="B342" s="25" t="str">
        <x:v>A Survey on Approximate Edge AI for Energy Efficient Autonomous Driving Services</x:v>
      </x:c>
      <x:c r="C342" s="25" t="n">
        <x:v>2023</x:v>
      </x:c>
      <x:c r="D342" s="25" t="str">
        <x:v>Dewant Katare; Diego Perino; Jari Nurmi; Martijn Warnier; Marijn Janssen; Aaron Yi Ding</x:v>
      </x:c>
      <x:c r="E342" s="25" t="str">
        <x:v>IEEE Communications Surveys &amp; Tutorials</x:v>
      </x:c>
      <x:c r="F342" s="25" t="str">
        <x:v>10.1109/comst.2023.3302474</x:v>
      </x:c>
      <x:c r="G342" s="25" t="str">
        <x:v>https://doi.org/10.1109/comst.2023.3302474</x:v>
      </x:c>
      <x:c r="H342" s="25" t="str">
        <x:v>OpenAlex</x:v>
      </x:c>
      <x:c r="I342" s="25" t="str">
        <x:v>C8_AI_3D_authoring</x:v>
      </x:c>
      <x:c r="J342" s="25" t="str">
        <x:v>Exclude</x:v>
      </x:c>
      <x:c r="K342" s="25" t="str">
        <x:v>Exclude: adjacent/redundant or insufficiently theory-generative for DC1</x:v>
      </x:c>
    </x:row>
    <x:row r="343">
      <x:c r="A343" s="20" t="str">
        <x:v>R0339</x:v>
      </x:c>
      <x:c r="B343" s="25" t="str">
        <x:v>Proactive wrangling</x:v>
      </x:c>
      <x:c r="C343" s="25" t="n">
        <x:v>2011</x:v>
      </x:c>
      <x:c r="D343" s="25" t="str">
        <x:v>Philip J. Guo; Sean Kandel; Joseph M. Hellerstein; Jeffrey Heer</x:v>
      </x:c>
      <x:c r="E343" s="25" t="str">
        <x:v>Proceedings of the 24th annual ACM symposium on User interface software and technology</x:v>
      </x:c>
      <x:c r="F343" s="25" t="str">
        <x:v>10.1145/2047196.2047205</x:v>
      </x:c>
      <x:c r="G343" s="25" t="str">
        <x:v>https://doi.org/10.1145/2047196.2047205</x:v>
      </x:c>
      <x:c r="H343" s="25" t="str">
        <x:v>Crossref</x:v>
      </x:c>
      <x:c r="I343" s="25" t="str">
        <x:v>C15_proactive_interruption</x:v>
      </x:c>
      <x:c r="J343" s="25" t="str">
        <x:v>Exclude</x:v>
      </x:c>
      <x:c r="K343" s="25" t="str">
        <x:v>Exclude: topic mismatch</x:v>
      </x:c>
    </x:row>
    <x:row r="344">
      <x:c r="A344" s="20" t="str">
        <x:v>R0340</x:v>
      </x:c>
      <x:c r="B344" s="25" t="str">
        <x:v>Semantic aspects of interoperable GIS</x:v>
      </x:c>
      <x:c r="C344" s="25" t="n">
        <x:v>1997</x:v>
      </x:c>
      <x:c r="D344" s="25" t="str">
        <x:v>Yaser Bishr</x:v>
      </x:c>
      <x:c r="E344" s="25" t="str"/>
      <x:c r="F344" s="25" t="str">
        <x:v>10.18174/211778</x:v>
      </x:c>
      <x:c r="G344" s="25" t="str">
        <x:v>https://doi.org/10.18174/211778</x:v>
      </x:c>
      <x:c r="H344" s="25" t="str">
        <x:v>OpenAlex</x:v>
      </x:c>
      <x:c r="I344" s="25" t="str">
        <x:v>C8_AI_3D_authoring</x:v>
      </x:c>
      <x:c r="J344" s="25" t="str">
        <x:v>Exclude</x:v>
      </x:c>
      <x:c r="K344" s="25" t="str">
        <x:v>Exclude: topic mismatch</x:v>
      </x:c>
    </x:row>
    <x:row r="345">
      <x:c r="A345" s="20" t="str">
        <x:v>R0341</x:v>
      </x:c>
      <x:c r="B345" s="25" t="str">
        <x:v>Shaping Human-AI Collaboration: Varied Scaffolding Levels in Co-writing with Language Models</x:v>
      </x:c>
      <x:c r="C345" s="25" t="n">
        <x:v>2024</x:v>
      </x:c>
      <x:c r="D345" s="25" t="str">
        <x:v>Paramveer S. Dhillon; Somayeh Molaei; Jiaqi Li; Maximilian Golub; Shaochun Zheng; Lionel Robert</x:v>
      </x:c>
      <x:c r="E345" s="25" t="str"/>
      <x:c r="F345" s="25" t="str">
        <x:v>10.1145/3613904.3642134</x:v>
      </x:c>
      <x:c r="G345" s="25" t="str">
        <x:v>https://doi.org/10.1145/3613904.3642134</x:v>
      </x:c>
      <x:c r="H345" s="25" t="str">
        <x:v>OpenAlex</x:v>
      </x:c>
      <x:c r="I345" s="25" t="str">
        <x:v>C14_agency_ownership; C3_mixed_initiative_cocreation; C7_creative_agency</x:v>
      </x:c>
      <x:c r="J345" s="25" t="str">
        <x:v>Include</x:v>
      </x:c>
      <x:c r="K345" s="25" t="str">
        <x:v>Included in focused synthesis</x:v>
      </x:c>
    </x:row>
    <x:row r="346">
      <x:c r="A346" s="20" t="str">
        <x:v>R0342</x:v>
      </x:c>
      <x:c r="B346" s="25" t="str">
        <x:v>Solving mechanics problems using meta-level inference</x:v>
      </x:c>
      <x:c r="C346" s="25" t="n">
        <x:v>1979</x:v>
      </x:c>
      <x:c r="D346" s="25" t="str">
        <x:v>Alan Bundy; Lawrence Byrd; George F. Luger</x:v>
      </x:c>
      <x:c r="E346" s="25" t="str">
        <x:v>ERA</x:v>
      </x:c>
      <x:c r="F346" s="25" t="str"/>
      <x:c r="G346" s="25" t="str">
        <x:v>http://hdl.handle.net/1842/4565</x:v>
      </x:c>
      <x:c r="H346" s="25" t="str">
        <x:v>OpenAlex</x:v>
      </x:c>
      <x:c r="I346" s="25" t="str">
        <x:v>C4_uncertainty_shared_autonomy</x:v>
      </x:c>
      <x:c r="J346" s="25" t="str">
        <x:v>Exclude</x:v>
      </x:c>
      <x:c r="K346" s="25" t="str">
        <x:v>Exclude: adjacent/redundant or insufficiently theory-generative for DC1</x:v>
      </x:c>
    </x:row>
    <x:row r="347">
      <x:c r="A347" s="20" t="str">
        <x:v>R0343</x:v>
      </x:c>
      <x:c r="B347" s="25" t="str">
        <x:v>Where am I? Who am I? The Relation Between Spatial Cognition, Social Cognition and Individual Differences in the Built Environment</x:v>
      </x:c>
      <x:c r="C347" s="25" t="n">
        <x:v>2016</x:v>
      </x:c>
      <x:c r="D347" s="25" t="str">
        <x:v>Michael J. Proulx; Orlin S. Todorov; Amanda Taylor Aiken; Alexandra A. de Sousa</x:v>
      </x:c>
      <x:c r="E347" s="25" t="str">
        <x:v>Frontiers in Psychology</x:v>
      </x:c>
      <x:c r="F347" s="25" t="str">
        <x:v>10.3389/fpsyg.2016.00064</x:v>
      </x:c>
      <x:c r="G347" s="25" t="str">
        <x:v>https://doi.org/10.3389/fpsyg.2016.00064</x:v>
      </x:c>
      <x:c r="H347" s="25" t="str">
        <x:v>OpenAlex</x:v>
      </x:c>
      <x:c r="I347" s="25" t="str">
        <x:v>C10_affordance_embodied</x:v>
      </x:c>
      <x:c r="J347" s="25" t="str">
        <x:v>Exclude</x:v>
      </x:c>
      <x:c r="K347" s="25" t="str">
        <x:v>Exclude: topic mismatch</x:v>
      </x:c>
    </x:row>
    <x:row r="348">
      <x:c r="A348" s="20" t="str">
        <x:v>R0344</x:v>
      </x:c>
      <x:c r="B348" s="25" t="str">
        <x:v>Computational Support for Sketching in Design: A Review</x:v>
      </x:c>
      <x:c r="C348" s="25" t="n">
        <x:v>2009</x:v>
      </x:c>
      <x:c r="D348" s="25" t="str">
        <x:v>Gabe Johnson; Mark D. Gross; Jason Hong; Ellen Yi-Luen Do</x:v>
      </x:c>
      <x:c r="E348" s="25" t="str">
        <x:v>Foundations and Trends® in Human–Computer Interaction</x:v>
      </x:c>
      <x:c r="F348" s="25" t="str">
        <x:v>10.1561/1100000013</x:v>
      </x:c>
      <x:c r="G348" s="25" t="str">
        <x:v>https://doi.org/10.1561/1100000013</x:v>
      </x:c>
      <x:c r="H348" s="25" t="str">
        <x:v>OpenAlex</x:v>
      </x:c>
      <x:c r="I348" s="25" t="str">
        <x:v>C13_CAD_design_intent; C17_3D_gesture_ambiguity</x:v>
      </x:c>
      <x:c r="J348" s="25" t="str">
        <x:v>Include</x:v>
      </x:c>
      <x:c r="K348" s="25" t="str">
        <x:v>Included in focused synthesis</x:v>
      </x:c>
    </x:row>
    <x:row r="349">
      <x:c r="A349" s="20" t="str">
        <x:v>R0345</x:v>
      </x:c>
      <x:c r="B349" s="25" t="str">
        <x:v>Tanagra: Reactive Planning and Constraint Solving for Mixed-Initiative Level Design</x:v>
      </x:c>
      <x:c r="C349" s="25" t="n">
        <x:v>2011</x:v>
      </x:c>
      <x:c r="D349" s="25" t="str">
        <x:v>Gillian Smith; Jim Whitehead; Michael Mateas</x:v>
      </x:c>
      <x:c r="E349" s="25" t="str">
        <x:v>IEEE Transactions on Computational Intelligence and AI in Games</x:v>
      </x:c>
      <x:c r="F349" s="25" t="str">
        <x:v>10.1109/tciaig.2011.2159716</x:v>
      </x:c>
      <x:c r="G349" s="25" t="str">
        <x:v>https://doi.org/10.1109/tciaig.2011.2159716</x:v>
      </x:c>
      <x:c r="H349" s="25" t="str">
        <x:v>Crossref</x:v>
      </x:c>
      <x:c r="I349" s="25" t="str">
        <x:v>C15_proactive_interruption</x:v>
      </x:c>
      <x:c r="J349" s="25" t="str">
        <x:v>Exclude</x:v>
      </x:c>
      <x:c r="K349" s="25" t="str">
        <x:v>Exclude: adjacent/redundant or insufficiently theory-generative for DC1</x:v>
      </x:c>
    </x:row>
    <x:row r="350">
      <x:c r="A350" s="20" t="str">
        <x:v>R0346</x:v>
      </x:c>
      <x:c r="B350" s="25" t="str">
        <x:v>Mathemyths: Leveraging Large Language Models to Teach Mathematical Language through Child-AI Co-Creative Storytelling</x:v>
      </x:c>
      <x:c r="C350" s="25" t="n">
        <x:v>2024</x:v>
      </x:c>
      <x:c r="D350" s="25" t="str">
        <x:v>Chao Zhang; X. Liu; Katherine Ziska; Soobin Jeon; Chi‐Lin Yu; Ying Xu</x:v>
      </x:c>
      <x:c r="E350" s="25" t="str"/>
      <x:c r="F350" s="25" t="str">
        <x:v>10.1145/3613904.3642647</x:v>
      </x:c>
      <x:c r="G350" s="25" t="str">
        <x:v>https://doi.org/10.1145/3613904.3642647</x:v>
      </x:c>
      <x:c r="H350" s="25" t="str">
        <x:v>OpenAlex</x:v>
      </x:c>
      <x:c r="I350" s="25" t="str">
        <x:v>C3_mixed_initiative_cocreation; C7_creative_agency</x:v>
      </x:c>
      <x:c r="J350" s="25" t="str">
        <x:v>Exclude</x:v>
      </x:c>
      <x:c r="K350" s="25" t="str">
        <x:v>Exclude: adjacent/redundant or insufficiently theory-generative for DC1</x:v>
      </x:c>
    </x:row>
    <x:row r="351">
      <x:c r="A351" s="20" t="str">
        <x:v>R0347</x:v>
      </x:c>
      <x:c r="B351" s="25" t="str">
        <x:v>Organizational science and cybersecurity: abundant opportunities for research at the interface</x:v>
      </x:c>
      <x:c r="C351" s="25" t="n">
        <x:v>2021</x:v>
      </x:c>
      <x:c r="D351" s="25" t="str">
        <x:v>Reeshad S. Dalal; David Howard; Rebecca J. Bennett; Clay Posey; Stephen J. Zaccaro; Bradley J. Brummel</x:v>
      </x:c>
      <x:c r="E351" s="25" t="str">
        <x:v>Journal of Business and Psychology</x:v>
      </x:c>
      <x:c r="F351" s="25" t="str">
        <x:v>10.1007/s10869-021-09732-9</x:v>
      </x:c>
      <x:c r="G351" s="25" t="str">
        <x:v>https://doi.org/10.1007/s10869-021-09732-9</x:v>
      </x:c>
      <x:c r="H351" s="25" t="str">
        <x:v>OpenAlex</x:v>
      </x:c>
      <x:c r="I351" s="25" t="str">
        <x:v>C2_interaction_signals</x:v>
      </x:c>
      <x:c r="J351" s="25" t="str">
        <x:v>Exclude</x:v>
      </x:c>
      <x:c r="K351" s="25" t="str">
        <x:v>Exclude: topic mismatch</x:v>
      </x:c>
    </x:row>
    <x:row r="352">
      <x:c r="A352" s="20" t="str">
        <x:v>R0348</x:v>
      </x:c>
      <x:c r="B352" s="25" t="str">
        <x:v>Visual narrative comprehension: Universal or not?</x:v>
      </x:c>
      <x:c r="C352" s="25" t="n">
        <x:v>2019</x:v>
      </x:c>
      <x:c r="D352" s="25" t="str">
        <x:v>Neil Cohn</x:v>
      </x:c>
      <x:c r="E352" s="25" t="str">
        <x:v>Psychonomic Bulletin &amp; Review</x:v>
      </x:c>
      <x:c r="F352" s="25" t="str">
        <x:v>10.3758/s13423-019-01670-1</x:v>
      </x:c>
      <x:c r="G352" s="25" t="str">
        <x:v>https://doi.org/10.3758/s13423-019-01670-1</x:v>
      </x:c>
      <x:c r="H352" s="25" t="str">
        <x:v>OpenAlex</x:v>
      </x:c>
      <x:c r="I352" s="25" t="str">
        <x:v>C17_3D_gesture_ambiguity</x:v>
      </x:c>
      <x:c r="J352" s="25" t="str">
        <x:v>Exclude</x:v>
      </x:c>
      <x:c r="K352" s="25" t="str">
        <x:v>Exclude: topic mismatch</x:v>
      </x:c>
    </x:row>
    <x:row r="353">
      <x:c r="A353" s="20" t="str">
        <x:v>R0349</x:v>
      </x:c>
      <x:c r="B353" s="25" t="str">
        <x:v>A systematic review of AI-enhanced techniques in credit card fraud detection</x:v>
      </x:c>
      <x:c r="C353" s="25" t="n">
        <x:v>2025</x:v>
      </x:c>
      <x:c r="D353" s="25" t="str">
        <x:v>Ibrahim Y. Hafez; Ahmed Y. Hafez; Ahmed M. Shamsan Saleh; Amr A. Abd El-Mageed; Amr A. Abohany</x:v>
      </x:c>
      <x:c r="E353" s="25" t="str">
        <x:v>Journal Of Big Data</x:v>
      </x:c>
      <x:c r="F353" s="25" t="str">
        <x:v>10.1186/s40537-024-01048-8</x:v>
      </x:c>
      <x:c r="G353" s="25" t="str">
        <x:v>https://doi.org/10.1186/s40537-024-01048-8</x:v>
      </x:c>
      <x:c r="H353" s="25" t="str">
        <x:v>OpenAlex</x:v>
      </x:c>
      <x:c r="I353" s="25" t="str">
        <x:v>C15_proactive_interruption</x:v>
      </x:c>
      <x:c r="J353" s="25" t="str">
        <x:v>Exclude</x:v>
      </x:c>
      <x:c r="K353" s="25" t="str">
        <x:v>Exclude: topic mismatch</x:v>
      </x:c>
    </x:row>
    <x:row r="354">
      <x:c r="A354" s="20" t="str">
        <x:v>R0350</x:v>
      </x:c>
      <x:c r="B354" s="25" t="str">
        <x:v>Heuristics are Tools for Uncertainty</x:v>
      </x:c>
      <x:c r="C354" s="25" t="n">
        <x:v>2017</x:v>
      </x:c>
      <x:c r="D354" s="25" t="str">
        <x:v>Shabnam Mousavi; Gerd Gigerenzer</x:v>
      </x:c>
      <x:c r="E354" s="25" t="str">
        <x:v>Homo Oeconomicus</x:v>
      </x:c>
      <x:c r="F354" s="25" t="str">
        <x:v>10.1007/s41412-017-0058-z</x:v>
      </x:c>
      <x:c r="G354" s="25" t="str">
        <x:v>https://doi.org/10.1007/s41412-017-0058-z</x:v>
      </x:c>
      <x:c r="H354" s="25" t="str">
        <x:v>OpenAlex</x:v>
      </x:c>
      <x:c r="I354" s="25" t="str">
        <x:v>C4_uncertainty_shared_autonomy</x:v>
      </x:c>
      <x:c r="J354" s="25" t="str">
        <x:v>Exclude</x:v>
      </x:c>
      <x:c r="K354" s="25" t="str">
        <x:v>Exclude: topic mismatch</x:v>
      </x:c>
    </x:row>
    <x:row r="355">
      <x:c r="A355" s="20" t="str">
        <x:v>R0351</x:v>
      </x:c>
      <x:c r="B355" s="25" t="str">
        <x:v>A Question of Design: Strategies for Embedding AI-Driven Tools into Journalistic Work Routines</x:v>
      </x:c>
      <x:c r="C355" s="25" t="n">
        <x:v>2022</x:v>
      </x:c>
      <x:c r="D355" s="25" t="str">
        <x:v>Marisela Gutierrez Lopez; Colin Porlezza; Glenda Cooper; Stephann Makri; Andrew MacFarlane; Sondess Missaoui</x:v>
      </x:c>
      <x:c r="E355" s="25" t="str">
        <x:v>Digital Journalism</x:v>
      </x:c>
      <x:c r="F355" s="25" t="str">
        <x:v>10.1080/21670811.2022.2043759</x:v>
      </x:c>
      <x:c r="G355" s="25" t="str">
        <x:v>https://doi.org/10.1080/21670811.2022.2043759</x:v>
      </x:c>
      <x:c r="H355" s="25" t="str">
        <x:v>OpenAlex</x:v>
      </x:c>
      <x:c r="I355" s="25" t="str">
        <x:v>C3_mixed_initiative_cocreation</x:v>
      </x:c>
      <x:c r="J355" s="25" t="str">
        <x:v>Exclude</x:v>
      </x:c>
      <x:c r="K355" s="25" t="str">
        <x:v>Exclude: topic mismatch</x:v>
      </x:c>
    </x:row>
    <x:row r="356">
      <x:c r="A356" s="20" t="str">
        <x:v>R0352</x:v>
      </x:c>
      <x:c r="B356" s="25" t="str">
        <x:v>Promoting a mixed-design model of scientific creativity through digital storytelling—the CCQ model for creativity</x:v>
      </x:c>
      <x:c r="C356" s="25" t="n">
        <x:v>2020</x:v>
      </x:c>
      <x:c r="D356" s="25" t="str">
        <x:v>Zacharoula Smyrnaiou; Eleni Georgakopoulou; Sοfoklis Sotiriou</x:v>
      </x:c>
      <x:c r="E356" s="25" t="str">
        <x:v>International Journal of STEM Education</x:v>
      </x:c>
      <x:c r="F356" s="25" t="str">
        <x:v>10.1186/s40594-020-00223-6</x:v>
      </x:c>
      <x:c r="G356" s="25" t="str">
        <x:v>https://doi.org/10.1186/s40594-020-00223-6</x:v>
      </x:c>
      <x:c r="H356" s="25" t="str">
        <x:v>OpenAlex</x:v>
      </x:c>
      <x:c r="I356" s="25" t="str">
        <x:v>C3_mixed_initiative_cocreation</x:v>
      </x:c>
      <x:c r="J356" s="25" t="str">
        <x:v>Exclude</x:v>
      </x:c>
      <x:c r="K356" s="25" t="str">
        <x:v>Exclude: adjacent/redundant or insufficiently theory-generative for DC1</x:v>
      </x:c>
    </x:row>
    <x:row r="357">
      <x:c r="A357" s="20" t="str">
        <x:v>R0353</x:v>
      </x:c>
      <x:c r="B357" s="25" t="str">
        <x:v>Teaching students to think spatially through embodied actions: Design principles for learning environments in science, technology, engineering, and mathematics</x:v>
      </x:c>
      <x:c r="C357" s="25" t="n">
        <x:v>2017</x:v>
      </x:c>
      <x:c r="D357" s="25" t="str">
        <x:v>Dane DeSutter; Mike Stieff</x:v>
      </x:c>
      <x:c r="E357" s="25" t="str">
        <x:v>Cognitive Research Principles and Implications</x:v>
      </x:c>
      <x:c r="F357" s="25" t="str">
        <x:v>10.1186/s41235-016-0039-y</x:v>
      </x:c>
      <x:c r="G357" s="25" t="str">
        <x:v>https://doi.org/10.1186/s41235-016-0039-y</x:v>
      </x:c>
      <x:c r="H357" s="25" t="str">
        <x:v>OpenAlex</x:v>
      </x:c>
      <x:c r="I357" s="25" t="str">
        <x:v>C10_affordance_embodied</x:v>
      </x:c>
      <x:c r="J357" s="25" t="str">
        <x:v>Exclude</x:v>
      </x:c>
      <x:c r="K357" s="25" t="str">
        <x:v>Exclude: adjacent/redundant or insufficiently theory-generative for DC1</x:v>
      </x:c>
    </x:row>
    <x:row r="358">
      <x:c r="A358" s="20" t="str">
        <x:v>R0354</x:v>
      </x:c>
      <x:c r="B358" s="25" t="str">
        <x:v>The Constitutional Concept of Public Discourse: Outrageous Opinion, Democratic Deliberation, and Hustler Magazine v. Falwell</x:v>
      </x:c>
      <x:c r="C358" s="25" t="n">
        <x:v>1990</x:v>
      </x:c>
      <x:c r="D358" s="25" t="str">
        <x:v>Robert C. Post</x:v>
      </x:c>
      <x:c r="E358" s="25" t="str">
        <x:v>Harvard Law Review</x:v>
      </x:c>
      <x:c r="F358" s="25" t="str">
        <x:v>10.2307/1341344</x:v>
      </x:c>
      <x:c r="G358" s="25" t="str">
        <x:v>https://doi.org/10.2307/1341344</x:v>
      </x:c>
      <x:c r="H358" s="25" t="str">
        <x:v>OpenAlex</x:v>
      </x:c>
      <x:c r="I358" s="25" t="str">
        <x:v>C17_3D_gesture_ambiguity</x:v>
      </x:c>
      <x:c r="J358" s="25" t="str">
        <x:v>Exclude</x:v>
      </x:c>
      <x:c r="K358" s="25" t="str">
        <x:v>Exclude: topic mismatch</x:v>
      </x:c>
    </x:row>
    <x:row r="359">
      <x:c r="A359" s="20" t="str">
        <x:v>R0355</x:v>
      </x:c>
      <x:c r="B359" s="25" t="str">
        <x:v>Building Integrated Architecture/Engineering/Construction Systems Using Smart Objects: Methodology and Implementation</x:v>
      </x:c>
      <x:c r="C359" s="25" t="n">
        <x:v>2005</x:v>
      </x:c>
      <x:c r="D359" s="25" t="str">
        <x:v>Mahmoud R. Halfawy; Thomas Froese</x:v>
      </x:c>
      <x:c r="E359" s="25" t="str">
        <x:v>Journal of Computing in Civil Engineering</x:v>
      </x:c>
      <x:c r="F359" s="25" t="str">
        <x:v>10.1061/(asce)0887-3801(2005)19:2(172)</x:v>
      </x:c>
      <x:c r="G359" s="25" t="str">
        <x:v>https://doi.org/10.1061/(asce)0887-3801(2005)19:2(172)</x:v>
      </x:c>
      <x:c r="H359" s="25" t="str">
        <x:v>OpenAlex</x:v>
      </x:c>
      <x:c r="I359" s="25" t="str">
        <x:v>C13_CAD_design_intent</x:v>
      </x:c>
      <x:c r="J359" s="25" t="str">
        <x:v>Exclude</x:v>
      </x:c>
      <x:c r="K359" s="25" t="str">
        <x:v>Exclude: adjacent/redundant or insufficiently theory-generative for DC1</x:v>
      </x:c>
    </x:row>
    <x:row r="360">
      <x:c r="A360" s="20" t="str">
        <x:v>R0356</x:v>
      </x:c>
      <x:c r="B360" s="25" t="str">
        <x:v>DesignPrompt: Using Multimodal Interaction for Design Exploration with Generative AI</x:v>
      </x:c>
      <x:c r="C360" s="25" t="n">
        <x:v>2024</x:v>
      </x:c>
      <x:c r="D360" s="25" t="str">
        <x:v>Xiaohan Peng; Janin Koch; Wendy E. Mackay</x:v>
      </x:c>
      <x:c r="E360" s="25" t="str">
        <x:v>Designing Interactive Systems Conference</x:v>
      </x:c>
      <x:c r="F360" s="25" t="str">
        <x:v>10.1145/3643834.3661588</x:v>
      </x:c>
      <x:c r="G360" s="25" t="str">
        <x:v>https://doi.org/10.1145/3643834.3661588</x:v>
      </x:c>
      <x:c r="H360" s="25" t="str">
        <x:v>OpenAlex</x:v>
      </x:c>
      <x:c r="I360" s="25" t="str">
        <x:v>C11_hierarchical_goal_recognition</x:v>
      </x:c>
      <x:c r="J360" s="25" t="str">
        <x:v>Exclude</x:v>
      </x:c>
      <x:c r="K360" s="25" t="str">
        <x:v>Exclude: adjacent/redundant or insufficiently theory-generative for DC1</x:v>
      </x:c>
    </x:row>
    <x:row r="361">
      <x:c r="A361" s="20" t="str">
        <x:v>R0357</x:v>
      </x:c>
      <x:c r="B361" s="25" t="str">
        <x:v>Implicit Communication of Actionable Information in Human-AI teams</x:v>
      </x:c>
      <x:c r="C361" s="25" t="n">
        <x:v>2019</x:v>
      </x:c>
      <x:c r="D361" s="25" t="str">
        <x:v>Claire Liang; Julia Proft; Erik Andersen; Ross A. Knepper</x:v>
      </x:c>
      <x:c r="E361" s="25" t="str"/>
      <x:c r="F361" s="25" t="str">
        <x:v>10.1145/3290605.3300325</x:v>
      </x:c>
      <x:c r="G361" s="25" t="str">
        <x:v>https://doi.org/10.1145/3290605.3300325</x:v>
      </x:c>
      <x:c r="H361" s="25" t="str">
        <x:v>OpenAlex</x:v>
      </x:c>
      <x:c r="I361" s="25" t="str">
        <x:v>C2_interaction_signals</x:v>
      </x:c>
      <x:c r="J361" s="25" t="str">
        <x:v>Exclude</x:v>
      </x:c>
      <x:c r="K361" s="25" t="str">
        <x:v>Exclude: topic mismatch</x:v>
      </x:c>
    </x:row>
    <x:row r="362">
      <x:c r="A362" s="20" t="str">
        <x:v>R0358</x:v>
      </x:c>
      <x:c r="B362" s="25" t="str">
        <x:v>Interpretation and Institutions</x:v>
      </x:c>
      <x:c r="C362" s="25" t="n">
        <x:v>2002</x:v>
      </x:c>
      <x:c r="D362" s="25" t="str">
        <x:v>Cass R. Sunstein; Adrian Vermeule</x:v>
      </x:c>
      <x:c r="E362" s="25" t="str">
        <x:v>SSRN Electronic Journal</x:v>
      </x:c>
      <x:c r="F362" s="25" t="str">
        <x:v>10.2139/ssrn.320245</x:v>
      </x:c>
      <x:c r="G362" s="25" t="str">
        <x:v>https://doi.org/10.2139/ssrn.320245</x:v>
      </x:c>
      <x:c r="H362" s="25" t="str">
        <x:v>OpenAlex</x:v>
      </x:c>
      <x:c r="I362" s="25" t="str">
        <x:v>C17_3D_gesture_ambiguity</x:v>
      </x:c>
      <x:c r="J362" s="25" t="str">
        <x:v>Exclude</x:v>
      </x:c>
      <x:c r="K362" s="25" t="str">
        <x:v>Exclude: topic mismatch</x:v>
      </x:c>
    </x:row>
    <x:row r="363">
      <x:c r="A363" s="20" t="str">
        <x:v>R0359</x:v>
      </x:c>
      <x:c r="B363" s="25" t="str">
        <x:v>shapeCAD: An Accessible 3D Modelling Workflow for the Blind and Visually-Impaired Via 2.5D Shape Displays</x:v>
      </x:c>
      <x:c r="C363" s="25" t="n">
        <x:v>2019</x:v>
      </x:c>
      <x:c r="D363" s="25" t="str">
        <x:v>Alexa Siu; Son Kim; Joshua A. Miele; Sean Follmer</x:v>
      </x:c>
      <x:c r="E363" s="25" t="str"/>
      <x:c r="F363" s="25" t="str">
        <x:v>10.1145/3308561.3353782</x:v>
      </x:c>
      <x:c r="G363" s="25" t="str">
        <x:v>https://doi.org/10.1145/3308561.3353782</x:v>
      </x:c>
      <x:c r="H363" s="25" t="str">
        <x:v>OpenAlex</x:v>
      </x:c>
      <x:c r="I363" s="25" t="str">
        <x:v>C1_3D_mental_models</x:v>
      </x:c>
      <x:c r="J363" s="25" t="str">
        <x:v>Exclude</x:v>
      </x:c>
      <x:c r="K363" s="25" t="str">
        <x:v>Exclude: adjacent/redundant or insufficiently theory-generative for DC1</x:v>
      </x:c>
    </x:row>
    <x:row r="364">
      <x:c r="A364" s="20" t="str">
        <x:v>R0360</x:v>
      </x:c>
      <x:c r="B364" s="25" t="str">
        <x:v>Beyond the Artifact: Power as a Lens for Creativity Support Tools</x:v>
      </x:c>
      <x:c r="C364" s="25" t="n">
        <x:v>2023</x:v>
      </x:c>
      <x:c r="D364" s="25" t="str">
        <x:v>Jingyi Li; Eric Rawn; Jacob Ritchie; Jasper Tran O'Leary; Sean Follmer</x:v>
      </x:c>
      <x:c r="E364" s="25" t="str"/>
      <x:c r="F364" s="25" t="str">
        <x:v>10.1145/3586183.3606831</x:v>
      </x:c>
      <x:c r="G364" s="25" t="str">
        <x:v>https://doi.org/10.1145/3586183.3606831</x:v>
      </x:c>
      <x:c r="H364" s="25" t="str">
        <x:v>OpenAlex</x:v>
      </x:c>
      <x:c r="I364" s="25" t="str">
        <x:v>C3_mixed_initiative_cocreation</x:v>
      </x:c>
      <x:c r="J364" s="25" t="str">
        <x:v>Exclude</x:v>
      </x:c>
      <x:c r="K364" s="25" t="str">
        <x:v>Exclude: adjacent/redundant or insufficiently theory-generative for DC1</x:v>
      </x:c>
    </x:row>
    <x:row r="365">
      <x:c r="A365" s="20" t="str">
        <x:v>R0361</x:v>
      </x:c>
      <x:c r="B365" s="25" t="str">
        <x:v>Exploring how children use their hands to think: an embodied interactional analysis</x:v>
      </x:c>
      <x:c r="C365" s="25" t="n">
        <x:v>2012</x:v>
      </x:c>
      <x:c r="D365" s="25" t="str">
        <x:v>Alissa N. Antle</x:v>
      </x:c>
      <x:c r="E365" s="25" t="str">
        <x:v>Behaviour and Information Technology</x:v>
      </x:c>
      <x:c r="F365" s="25" t="str">
        <x:v>10.1080/0144929x.2011.630415</x:v>
      </x:c>
      <x:c r="G365" s="25" t="str">
        <x:v>https://doi.org/10.1080/0144929x.2011.630415</x:v>
      </x:c>
      <x:c r="H365" s="25" t="str">
        <x:v>OpenAlex</x:v>
      </x:c>
      <x:c r="I365" s="25" t="str">
        <x:v>C10_affordance_embodied</x:v>
      </x:c>
      <x:c r="J365" s="25" t="str">
        <x:v>Exclude</x:v>
      </x:c>
      <x:c r="K365" s="25" t="str">
        <x:v>Exclude: adjacent/redundant or insufficiently theory-generative for DC1</x:v>
      </x:c>
    </x:row>
    <x:row r="366">
      <x:c r="A366" s="20" t="str">
        <x:v>R0362</x:v>
      </x:c>
      <x:c r="B366" s="25" t="str">
        <x:v>Copyright Protection for AI-Generated Works: Exploring Originality and Ownership in a Digital Landscape</x:v>
      </x:c>
      <x:c r="C366" s="25" t="n">
        <x:v>2024</x:v>
      </x:c>
      <x:c r="D366" s="25" t="str">
        <x:v>Hafiz GAFFAR; Saleh Hamed Albarashdi</x:v>
      </x:c>
      <x:c r="E366" s="25" t="str">
        <x:v>Asian Journal of International Law</x:v>
      </x:c>
      <x:c r="F366" s="25" t="str">
        <x:v>10.1017/s2044251323000735</x:v>
      </x:c>
      <x:c r="G366" s="25" t="str">
        <x:v>https://doi.org/10.1017/s2044251323000735</x:v>
      </x:c>
      <x:c r="H366" s="25" t="str">
        <x:v>OpenAlex</x:v>
      </x:c>
      <x:c r="I366" s="25" t="str">
        <x:v>C14_agency_ownership</x:v>
      </x:c>
      <x:c r="J366" s="25" t="str">
        <x:v>Exclude</x:v>
      </x:c>
      <x:c r="K366" s="25" t="str">
        <x:v>Exclude: adjacent/redundant or insufficiently theory-generative for DC1</x:v>
      </x:c>
    </x:row>
    <x:row r="367">
      <x:c r="A367" s="20" t="str">
        <x:v>R0363</x:v>
      </x:c>
      <x:c r="B367" s="25" t="str">
        <x:v>Extended 3D annotations as a new mechanism to explicitly communicate geometric design intent and increase CAD model reusability</x:v>
      </x:c>
      <x:c r="C367" s="25" t="n">
        <x:v>2014</x:v>
      </x:c>
      <x:c r="D367" s="25" t="str">
        <x:v>Jorge D. Camba; Manuel Contero; Michael Johnson</x:v>
      </x:c>
      <x:c r="E367" s="25" t="str">
        <x:v>Computer-Aided Design</x:v>
      </x:c>
      <x:c r="F367" s="25" t="str">
        <x:v>10.1016/j.cad.2014.07.001</x:v>
      </x:c>
      <x:c r="G367" s="25" t="str">
        <x:v>https://doi.org/10.1016/j.cad.2014.07.001</x:v>
      </x:c>
      <x:c r="H367" s="25" t="str">
        <x:v>Crossref; OpenAlex</x:v>
      </x:c>
      <x:c r="I367" s="25" t="str">
        <x:v>C13_CAD_design_intent; C8_AI_3D_authoring</x:v>
      </x:c>
      <x:c r="J367" s="25" t="str">
        <x:v>Include</x:v>
      </x:c>
      <x:c r="K367" s="25" t="str">
        <x:v>Included in focused synthesis</x:v>
      </x:c>
    </x:row>
    <x:row r="368">
      <x:c r="A368" s="20" t="str">
        <x:v>R0364</x:v>
      </x:c>
      <x:c r="B368" s="25" t="str">
        <x:v>From Trust in Automation to Decision Neuroscience: Applying Cognitive Neuroscience Methods to Understand and Improve Interaction Decisions Involved in Human Automation Interaction</x:v>
      </x:c>
      <x:c r="C368" s="25" t="n">
        <x:v>2016</x:v>
      </x:c>
      <x:c r="D368" s="25" t="str">
        <x:v>Kim Drnec; Amar R. Marathe; Jamie R. Lukos; J. Stanley Metcalfe</x:v>
      </x:c>
      <x:c r="E368" s="25" t="str">
        <x:v>Frontiers in Human Neuroscience</x:v>
      </x:c>
      <x:c r="F368" s="25" t="str">
        <x:v>10.3389/fnhum.2016.00290</x:v>
      </x:c>
      <x:c r="G368" s="25" t="str">
        <x:v>https://doi.org/10.3389/fnhum.2016.00290</x:v>
      </x:c>
      <x:c r="H368" s="25" t="str">
        <x:v>OpenAlex</x:v>
      </x:c>
      <x:c r="I368" s="25" t="str">
        <x:v>C4_uncertainty_shared_autonomy</x:v>
      </x:c>
      <x:c r="J368" s="25" t="str">
        <x:v>Exclude</x:v>
      </x:c>
      <x:c r="K368" s="25" t="str">
        <x:v>Exclude: topic mismatch</x:v>
      </x:c>
    </x:row>
    <x:row r="369">
      <x:c r="A369" s="20" t="str">
        <x:v>R0365</x:v>
      </x:c>
      <x:c r="B369" s="25" t="str">
        <x:v>Dimensions of Adjustable Autonomy and Mixed-Initiative Interaction</x:v>
      </x:c>
      <x:c r="C369" s="25" t="n">
        <x:v>2004</x:v>
      </x:c>
      <x:c r="D369" s="25" t="str">
        <x:v>Jeffrey M. Bradshaw; Paul J. Feltovich; Hyuckchul Jung; Shriniwas Kulkarni; William Taysom; Andrzej Uszok</x:v>
      </x:c>
      <x:c r="E369" s="25" t="str">
        <x:v>Lecture Notes in Computer Science</x:v>
      </x:c>
      <x:c r="F369" s="25" t="str">
        <x:v>10.1007/978-3-540-25928-2_3</x:v>
      </x:c>
      <x:c r="G369" s="25" t="str">
        <x:v>https://doi.org/10.1007/978-3-540-25928-2_3</x:v>
      </x:c>
      <x:c r="H369" s="25" t="str">
        <x:v>Crossref</x:v>
      </x:c>
      <x:c r="I369" s="25" t="str">
        <x:v>C9_human_agent_handoff</x:v>
      </x:c>
      <x:c r="J369" s="25" t="str">
        <x:v>Include</x:v>
      </x:c>
      <x:c r="K369" s="25" t="str">
        <x:v>Included in focused synthesis</x:v>
      </x:c>
    </x:row>
    <x:row r="370">
      <x:c r="A370" s="20" t="str">
        <x:v>R0366</x:v>
      </x:c>
      <x:c r="B370" s="25" t="str">
        <x:v>Revolutionizing Visuals: The Role of Generative AI in Modern Image Generation</x:v>
      </x:c>
      <x:c r="C370" s="25" t="n">
        <x:v>2024</x:v>
      </x:c>
      <x:c r="D370" s="25" t="str">
        <x:v>Gaurang Bansal; Aditya Nawal; Vinay Chamola; Norbert Herencsár</x:v>
      </x:c>
      <x:c r="E370" s="25" t="str">
        <x:v>ACM Transactions on Multimedia Computing Communications and Applications</x:v>
      </x:c>
      <x:c r="F370" s="25" t="str">
        <x:v>10.1145/3689641</x:v>
      </x:c>
      <x:c r="G370" s="25" t="str">
        <x:v>https://doi.org/10.1145/3689641</x:v>
      </x:c>
      <x:c r="H370" s="25" t="str">
        <x:v>OpenAlex</x:v>
      </x:c>
      <x:c r="I370" s="25" t="str">
        <x:v>C8_AI_3D_authoring</x:v>
      </x:c>
      <x:c r="J370" s="25" t="str">
        <x:v>Exclude</x:v>
      </x:c>
      <x:c r="K370" s="25" t="str">
        <x:v>Exclude: adjacent/redundant or insufficiently theory-generative for DC1</x:v>
      </x:c>
    </x:row>
    <x:row r="371">
      <x:c r="A371" s="20" t="str">
        <x:v>R0367</x:v>
      </x:c>
      <x:c r="B371" s="25" t="str">
        <x:v>Screen2Vec: Semantic Embedding of GUI Screens and GUI Components</x:v>
      </x:c>
      <x:c r="C371" s="25" t="n">
        <x:v>2021</x:v>
      </x:c>
      <x:c r="D371" s="25" t="str">
        <x:v>Toby Jia-Jun Li; Lindsay Popowski; Tom M. Mitchell; Brad A. Myers</x:v>
      </x:c>
      <x:c r="E371" s="25" t="str"/>
      <x:c r="F371" s="25" t="str">
        <x:v>10.1145/3411764.3445049</x:v>
      </x:c>
      <x:c r="G371" s="25" t="str">
        <x:v>https://doi.org/10.1145/3411764.3445049</x:v>
      </x:c>
      <x:c r="H371" s="25" t="str">
        <x:v>OpenAlex</x:v>
      </x:c>
      <x:c r="I371" s="25" t="str">
        <x:v>C11_hierarchical_goal_recognition</x:v>
      </x:c>
      <x:c r="J371" s="25" t="str">
        <x:v>Exclude</x:v>
      </x:c>
      <x:c r="K371" s="25" t="str">
        <x:v>Exclude: topic mismatch</x:v>
      </x:c>
    </x:row>
    <x:row r="372">
      <x:c r="A372" s="20" t="str">
        <x:v>R0368</x:v>
      </x:c>
      <x:c r="B372" s="25" t="str">
        <x:v>“Dave...I can assure you ...that it’s going to be all right ...” A Definition, Case for, and Survey of Algorithmic Assurances in Human-Autonomy Trust Relationships</x:v>
      </x:c>
      <x:c r="C372" s="25" t="n">
        <x:v>2019</x:v>
      </x:c>
      <x:c r="D372" s="25" t="str">
        <x:v>Brett W. Israelsen; Nisar R. Ahmed</x:v>
      </x:c>
      <x:c r="E372" s="25" t="str">
        <x:v>ACM Computing Surveys</x:v>
      </x:c>
      <x:c r="F372" s="25" t="str">
        <x:v>10.1145/3267338</x:v>
      </x:c>
      <x:c r="G372" s="25" t="str">
        <x:v>https://doi.org/10.1145/3267338</x:v>
      </x:c>
      <x:c r="H372" s="25" t="str">
        <x:v>OpenAlex</x:v>
      </x:c>
      <x:c r="I372" s="25" t="str">
        <x:v>C4_uncertainty_shared_autonomy</x:v>
      </x:c>
      <x:c r="J372" s="25" t="str">
        <x:v>Exclude</x:v>
      </x:c>
      <x:c r="K372" s="25" t="str">
        <x:v>Exclude: adjacent/redundant or insufficiently theory-generative for DC1</x:v>
      </x:c>
    </x:row>
    <x:row r="373">
      <x:c r="A373" s="20" t="str">
        <x:v>R0369</x:v>
      </x:c>
      <x:c r="B373" s="25" t="str">
        <x:v>IMoS: Intent‐Driven Full‐Body Motion Synthesis for Human‐Object Interactions</x:v>
      </x:c>
      <x:c r="C373" s="25" t="n">
        <x:v>2023</x:v>
      </x:c>
      <x:c r="D373" s="25" t="str">
        <x:v>Anindita Ghosh; Rishabh Dabral; Vladislav Golyanik; Christian Theobalt; Philipp Slusallek</x:v>
      </x:c>
      <x:c r="E373" s="25" t="str">
        <x:v>Computer Graphics Forum</x:v>
      </x:c>
      <x:c r="F373" s="25" t="str">
        <x:v>10.1111/cgf.14739</x:v>
      </x:c>
      <x:c r="G373" s="25" t="str">
        <x:v>https://doi.org/10.1111/cgf.14739</x:v>
      </x:c>
      <x:c r="H373" s="25" t="str">
        <x:v>OpenAlex</x:v>
      </x:c>
      <x:c r="I373" s="25" t="str">
        <x:v>C2_interaction_signals</x:v>
      </x:c>
      <x:c r="J373" s="25" t="str">
        <x:v>Exclude</x:v>
      </x:c>
      <x:c r="K373" s="25" t="str">
        <x:v>Exclude: adjacent/redundant or insufficiently theory-generative for DC1</x:v>
      </x:c>
    </x:row>
    <x:row r="374">
      <x:c r="A374" s="20" t="str">
        <x:v>R0370</x:v>
      </x:c>
      <x:c r="B374" s="25" t="str">
        <x:v>Machine Psychology</x:v>
      </x:c>
      <x:c r="C374" s="25" t="n">
        <x:v>2023</x:v>
      </x:c>
      <x:c r="D374" s="25" t="str">
        <x:v>Thilo Hagendorff; Dasgupta, Ishita; Binz, Marcel; Chan, Stephanie C. Y.; Lampinen, Andrew; Wang, Jane X.; Akata, Zeynep; Schulz, Eric</x:v>
      </x:c>
      <x:c r="E374" s="25" t="str">
        <x:v>arXiv (Cornell University)</x:v>
      </x:c>
      <x:c r="F374" s="25" t="str">
        <x:v>10.48550/arxiv.2303.13988</x:v>
      </x:c>
      <x:c r="G374" s="25" t="str">
        <x:v>http://arxiv.org/abs/2303.13988</x:v>
      </x:c>
      <x:c r="H374" s="25" t="str">
        <x:v>OpenAlex</x:v>
      </x:c>
      <x:c r="I374" s="25" t="str">
        <x:v>C5_agent_memory</x:v>
      </x:c>
      <x:c r="J374" s="25" t="str">
        <x:v>Exclude</x:v>
      </x:c>
      <x:c r="K374" s="25" t="str">
        <x:v>Exclude: adjacent/redundant or insufficiently theory-generative for DC1</x:v>
      </x:c>
    </x:row>
    <x:row r="375">
      <x:c r="A375" s="20" t="str">
        <x:v>R0371</x:v>
      </x:c>
      <x:c r="B375" s="25" t="str">
        <x:v>The agreement process: an empirical investigation of human–human computer-mediated collaborative dialogs</x:v>
      </x:c>
      <x:c r="C375" s="25" t="n">
        <x:v>2000</x:v>
      </x:c>
      <x:c r="D375" s="25" t="str">
        <x:v>Barbara Di Eugenio; Pamela Jordan; Richmond H. Thomason; Johanna D. Moore</x:v>
      </x:c>
      <x:c r="E375" s="25" t="str">
        <x:v>International Journal of Human-Computer Studies</x:v>
      </x:c>
      <x:c r="F375" s="25" t="str">
        <x:v>10.1006/ijhc.2000.0428</x:v>
      </x:c>
      <x:c r="G375" s="25" t="str">
        <x:v>https://doi.org/10.1006/ijhc.2000.0428</x:v>
      </x:c>
      <x:c r="H375" s="25" t="str">
        <x:v>OpenAlex</x:v>
      </x:c>
      <x:c r="I375" s="25" t="str">
        <x:v>C12_common_ground_repair</x:v>
      </x:c>
      <x:c r="J375" s="25" t="str">
        <x:v>Exclude</x:v>
      </x:c>
      <x:c r="K375" s="25" t="str">
        <x:v>Exclude: topic mismatch</x:v>
      </x:c>
    </x:row>
    <x:row r="376">
      <x:c r="A376" s="20" t="str">
        <x:v>R0372</x:v>
      </x:c>
      <x:c r="B376" s="25" t="str">
        <x:v>Cracking the code: Co-coding with AI in creative programming education</x:v>
      </x:c>
      <x:c r="C376" s="25" t="n">
        <x:v>2022</x:v>
      </x:c>
      <x:c r="D376" s="25" t="str">
        <x:v>Martin Jönsson; Jakob Tholander</x:v>
      </x:c>
      <x:c r="E376" s="25" t="str">
        <x:v>Creativity and Cognition</x:v>
      </x:c>
      <x:c r="F376" s="25" t="str">
        <x:v>10.1145/3527927.3532801</x:v>
      </x:c>
      <x:c r="G376" s="25" t="str">
        <x:v>https://doi.org/10.1145/3527927.3532801</x:v>
      </x:c>
      <x:c r="H376" s="25" t="str">
        <x:v>OpenAlex</x:v>
      </x:c>
      <x:c r="I376" s="25" t="str">
        <x:v>C7_creative_agency</x:v>
      </x:c>
      <x:c r="J376" s="25" t="str">
        <x:v>Exclude</x:v>
      </x:c>
      <x:c r="K376" s="25" t="str">
        <x:v>Exclude: adjacent/redundant or insufficiently theory-generative for DC1</x:v>
      </x:c>
    </x:row>
    <x:row r="377">
      <x:c r="A377" s="20" t="str">
        <x:v>R0373</x:v>
      </x:c>
      <x:c r="B377" s="25" t="str">
        <x:v>GhostAR: A Time-space Editor for Embodied Authoring of Human-Robot Collaborative Task with Augmented Reality</x:v>
      </x:c>
      <x:c r="C377" s="25" t="n">
        <x:v>2019</x:v>
      </x:c>
      <x:c r="D377" s="25" t="str">
        <x:v>Yuanzhi Cao; Tianyi Wang; Xun Qian; Pawan S. Rao; Manav Wadhawan; Ke Huo; Karthik Ramani</x:v>
      </x:c>
      <x:c r="E377" s="25" t="str"/>
      <x:c r="F377" s="25" t="str">
        <x:v>10.1145/3332165.3347902</x:v>
      </x:c>
      <x:c r="G377" s="25" t="str">
        <x:v>https://doi.org/10.1145/3332165.3347902</x:v>
      </x:c>
      <x:c r="H377" s="25" t="str">
        <x:v>OpenAlex</x:v>
      </x:c>
      <x:c r="I377" s="25" t="str">
        <x:v>C17_3D_gesture_ambiguity</x:v>
      </x:c>
      <x:c r="J377" s="25" t="str">
        <x:v>Exclude</x:v>
      </x:c>
      <x:c r="K377" s="25" t="str">
        <x:v>Exclude: topic mismatch</x:v>
      </x:c>
    </x:row>
    <x:row r="378">
      <x:c r="A378" s="20" t="str">
        <x:v>R0374</x:v>
      </x:c>
      <x:c r="B378" s="25" t="str">
        <x:v>When Do Visual and Verbal Memories Conflict? The Importance of Working-Memory Load and Retrieval.</x:v>
      </x:c>
      <x:c r="C378" s="25" t="n">
        <x:v>2005</x:v>
      </x:c>
      <x:c r="D378" s="25" t="str">
        <x:v>Candice C. Morey; Nelson Cowan</x:v>
      </x:c>
      <x:c r="E378" s="25" t="str">
        <x:v>Journal of Experimental Psychology: Learning, Memory, and Cognition</x:v>
      </x:c>
      <x:c r="F378" s="25" t="str">
        <x:v>10.1037/0278-7393.31.4.703</x:v>
      </x:c>
      <x:c r="G378" s="25" t="str">
        <x:v>https://doi.org/10.1037/0278-7393.31.4.703</x:v>
      </x:c>
      <x:c r="H378" s="25" t="str">
        <x:v>Crossref</x:v>
      </x:c>
      <x:c r="I378" s="25" t="str">
        <x:v>C16_memory_conflict_bias</x:v>
      </x:c>
      <x:c r="J378" s="25" t="str">
        <x:v>Exclude</x:v>
      </x:c>
      <x:c r="K378" s="25" t="str">
        <x:v>Exclude: adjacent/redundant or insufficiently theory-generative for DC1</x:v>
      </x:c>
    </x:row>
    <x:row r="379">
      <x:c r="A379" s="20" t="str">
        <x:v>R0375</x:v>
      </x:c>
      <x:c r="B379" s="25" t="str">
        <x:v>An optimisation-based reconstruction engine for 3D modelling by sketching</x:v>
      </x:c>
      <x:c r="C379" s="25" t="n">
        <x:v>2004</x:v>
      </x:c>
      <x:c r="D379" s="25" t="str">
        <x:v>Manuel Contero; Julián Conesa Pastor; Ana Piquer</x:v>
      </x:c>
      <x:c r="E379" s="25" t="str">
        <x:v>Computers &amp; Graphics</x:v>
      </x:c>
      <x:c r="F379" s="25" t="str">
        <x:v>10.1016/j.cag.2004.08.007</x:v>
      </x:c>
      <x:c r="G379" s="25" t="str">
        <x:v>https://doi.org/10.1016/j.cag.2004.08.007</x:v>
      </x:c>
      <x:c r="H379" s="25" t="str">
        <x:v>OpenAlex</x:v>
      </x:c>
      <x:c r="I379" s="25" t="str">
        <x:v>C13_CAD_design_intent</x:v>
      </x:c>
      <x:c r="J379" s="25" t="str">
        <x:v>Exclude</x:v>
      </x:c>
      <x:c r="K379" s="25" t="str">
        <x:v>Exclude: adjacent/redundant or insufficiently theory-generative for DC1</x:v>
      </x:c>
    </x:row>
    <x:row r="380">
      <x:c r="A380" s="20" t="str">
        <x:v>R0376</x:v>
      </x:c>
      <x:c r="B380" s="25" t="str">
        <x:v>Creative partnerships with generative AI. Possibilities for education and beyond</x:v>
      </x:c>
      <x:c r="C380" s="25" t="n">
        <x:v>2024</x:v>
      </x:c>
      <x:c r="D380" s="25" t="str">
        <x:v>Edwin Creely; Joanne Blannin</x:v>
      </x:c>
      <x:c r="E380" s="25" t="str">
        <x:v>Thinking Skills and Creativity</x:v>
      </x:c>
      <x:c r="F380" s="25" t="str">
        <x:v>10.1016/j.tsc.2024.101727</x:v>
      </x:c>
      <x:c r="G380" s="25" t="str">
        <x:v>https://doi.org/10.1016/j.tsc.2024.101727</x:v>
      </x:c>
      <x:c r="H380" s="25" t="str">
        <x:v>OpenAlex</x:v>
      </x:c>
      <x:c r="I380" s="25" t="str">
        <x:v>C14_agency_ownership</x:v>
      </x:c>
      <x:c r="J380" s="25" t="str">
        <x:v>Exclude</x:v>
      </x:c>
      <x:c r="K380" s="25" t="str">
        <x:v>Exclude: adjacent/redundant or insufficiently theory-generative for DC1</x:v>
      </x:c>
    </x:row>
    <x:row r="381">
      <x:c r="A381" s="20" t="str">
        <x:v>R0377</x:v>
      </x:c>
      <x:c r="B381" s="25" t="str">
        <x:v>On the Efficiency of a VR Hand Gesture-Based Interface for 3D Object Manipulations in Conceptual Design</x:v>
      </x:c>
      <x:c r="C381" s="25" t="n">
        <x:v>2017</x:v>
      </x:c>
      <x:c r="D381" s="25" t="str">
        <x:v>Remi Alkemade; Fons J. Verbeek; Stephan Lukosch</x:v>
      </x:c>
      <x:c r="E381" s="25" t="str">
        <x:v>International Journal of Human-Computer Interaction</x:v>
      </x:c>
      <x:c r="F381" s="25" t="str">
        <x:v>10.1080/10447318.2017.1296074</x:v>
      </x:c>
      <x:c r="G381" s="25" t="str">
        <x:v>https://doi.org/10.1080/10447318.2017.1296074</x:v>
      </x:c>
      <x:c r="H381" s="25" t="str">
        <x:v>OpenAlex</x:v>
      </x:c>
      <x:c r="I381" s="25" t="str">
        <x:v>C1_3D_mental_models</x:v>
      </x:c>
      <x:c r="J381" s="25" t="str">
        <x:v>Exclude</x:v>
      </x:c>
      <x:c r="K381" s="25" t="str">
        <x:v>Exclude: adjacent/redundant or insufficiently theory-generative for DC1</x:v>
      </x:c>
    </x:row>
    <x:row r="382">
      <x:c r="A382" s="20" t="str">
        <x:v>R0378</x:v>
      </x:c>
      <x:c r="B382" s="25" t="str">
        <x:v>Traceability and management of dispersed product knowledge during design and manufacturing</x:v>
      </x:c>
      <x:c r="C382" s="25" t="n">
        <x:v>2010</x:v>
      </x:c>
      <x:c r="D382" s="25" t="str">
        <x:v>Mohamed-Zied Ouertani; Salah Baïna; Lilia Gzara; Guillaume Morel</x:v>
      </x:c>
      <x:c r="E382" s="25" t="str">
        <x:v>Computer-Aided Design</x:v>
      </x:c>
      <x:c r="F382" s="25" t="str">
        <x:v>10.1016/j.cad.2010.03.006</x:v>
      </x:c>
      <x:c r="G382" s="25" t="str">
        <x:v>https://doi.org/10.1016/j.cad.2010.03.006</x:v>
      </x:c>
      <x:c r="H382" s="25" t="str">
        <x:v>OpenAlex</x:v>
      </x:c>
      <x:c r="I382" s="25" t="str">
        <x:v>C13_CAD_design_intent</x:v>
      </x:c>
      <x:c r="J382" s="25" t="str">
        <x:v>Exclude</x:v>
      </x:c>
      <x:c r="K382" s="25" t="str">
        <x:v>Exclude: topic mismatch</x:v>
      </x:c>
    </x:row>
    <x:row r="383">
      <x:c r="A383" s="20" t="str">
        <x:v>R0379</x:v>
      </x:c>
      <x:c r="B383" s="25" t="str">
        <x:v>3D City Models and urban information: Current issues and perspectives</x:v>
      </x:c>
      <x:c r="C383" s="25" t="n">
        <x:v>2014</x:v>
      </x:c>
      <x:c r="D383" s="25" t="str">
        <x:v>Roland Billen; Anne-Françoise Cutting-Decelle; Ognen Marina; J.-P. de Almeida; Matteo Caglioni; Gilles Falquet; Thomas Leduc; Claudine Métral; Guillaume Moreau; Julien Perret; Graziella Rabin; Roberto San José; Ia. S. Yatskiv; Sisi Zlatanova</x:v>
      </x:c>
      <x:c r="E383" s="25" t="str"/>
      <x:c r="F383" s="25" t="str">
        <x:v>10.1051/tu0801/201400001</x:v>
      </x:c>
      <x:c r="G383" s="25" t="str">
        <x:v>https://doi.org/10.1051/tu0801/201400001</x:v>
      </x:c>
      <x:c r="H383" s="25" t="str">
        <x:v>OpenAlex</x:v>
      </x:c>
      <x:c r="I383" s="25" t="str">
        <x:v>C13_CAD_design_intent</x:v>
      </x:c>
      <x:c r="J383" s="25" t="str">
        <x:v>Exclude</x:v>
      </x:c>
      <x:c r="K383" s="25" t="str">
        <x:v>Exclude: adjacent/redundant or insufficiently theory-generative for DC1</x:v>
      </x:c>
    </x:row>
    <x:row r="384">
      <x:c r="A384" s="20" t="str">
        <x:v>R0380</x:v>
      </x:c>
      <x:c r="B384" s="25" t="str">
        <x:v>Embodied Cognition With and Without Mental Representations: The Case of Embodied Choices in Sports</x:v>
      </x:c>
      <x:c r="C384" s="25" t="n">
        <x:v>2019</x:v>
      </x:c>
      <x:c r="D384" s="25" t="str">
        <x:v>Markus Raab; Duarte Araújo</x:v>
      </x:c>
      <x:c r="E384" s="25" t="str">
        <x:v>Frontiers in Psychology</x:v>
      </x:c>
      <x:c r="F384" s="25" t="str">
        <x:v>10.3389/fpsyg.2019.01825</x:v>
      </x:c>
      <x:c r="G384" s="25" t="str">
        <x:v>https://doi.org/10.3389/fpsyg.2019.01825</x:v>
      </x:c>
      <x:c r="H384" s="25" t="str">
        <x:v>OpenAlex</x:v>
      </x:c>
      <x:c r="I384" s="25" t="str">
        <x:v>C10_affordance_embodied</x:v>
      </x:c>
      <x:c r="J384" s="25" t="str">
        <x:v>Exclude</x:v>
      </x:c>
      <x:c r="K384" s="25" t="str">
        <x:v>Exclude: adjacent/redundant or insufficiently theory-generative for DC1</x:v>
      </x:c>
    </x:row>
    <x:row r="385">
      <x:c r="A385" s="20" t="str">
        <x:v>R0381</x:v>
      </x:c>
      <x:c r="B385" s="25" t="str">
        <x:v>Interactive Intent Modeling for Exploratory Search</x:v>
      </x:c>
      <x:c r="C385" s="25" t="n">
        <x:v>2018</x:v>
      </x:c>
      <x:c r="D385" s="25" t="str">
        <x:v>Tuukka Ruotsalo; Jaakko Peltonen; Manuel J. A. Eugster; Dorota Głowacka; Patrik Floréen; Petri Myllymäki; Giulio Jacucci; Samuel Kaski</x:v>
      </x:c>
      <x:c r="E385" s="25" t="str">
        <x:v>ACM Transactions on Information Systems</x:v>
      </x:c>
      <x:c r="F385" s="25" t="str">
        <x:v>10.1145/3231593</x:v>
      </x:c>
      <x:c r="G385" s="25" t="str">
        <x:v>https://doi.org/10.1145/3231593</x:v>
      </x:c>
      <x:c r="H385" s="25" t="str">
        <x:v>OpenAlex</x:v>
      </x:c>
      <x:c r="I385" s="25" t="str">
        <x:v>C2_interaction_signals</x:v>
      </x:c>
      <x:c r="J385" s="25" t="str">
        <x:v>Exclude</x:v>
      </x:c>
      <x:c r="K385" s="25" t="str">
        <x:v>Exclude: adjacent/redundant or insufficiently theory-generative for DC1</x:v>
      </x:c>
    </x:row>
    <x:row r="386">
      <x:c r="A386" s="20" t="str">
        <x:v>R0382</x:v>
      </x:c>
      <x:c r="B386" s="25" t="str">
        <x:v>Action video game play and transfer of navigation and spatial cognition skills in adolescents who are blind</x:v>
      </x:c>
      <x:c r="C386" s="25" t="n">
        <x:v>2014</x:v>
      </x:c>
      <x:c r="D386" s="25" t="str">
        <x:v>Erin C. Connors; Elizabeth R. Chrastil; Jaime SÃ¡nchez; Lotfi B. Merabet</x:v>
      </x:c>
      <x:c r="E386" s="25" t="str">
        <x:v>Frontiers in Human Neuroscience</x:v>
      </x:c>
      <x:c r="F386" s="25" t="str">
        <x:v>10.3389/fnhum.2014.00133</x:v>
      </x:c>
      <x:c r="G386" s="25" t="str">
        <x:v>https://doi.org/10.3389/fnhum.2014.00133</x:v>
      </x:c>
      <x:c r="H386" s="25" t="str">
        <x:v>OpenAlex</x:v>
      </x:c>
      <x:c r="I386" s="25" t="str">
        <x:v>C1_3D_mental_models</x:v>
      </x:c>
      <x:c r="J386" s="25" t="str">
        <x:v>Exclude</x:v>
      </x:c>
      <x:c r="K386" s="25" t="str">
        <x:v>Exclude: adjacent/redundant or insufficiently theory-generative for DC1</x:v>
      </x:c>
    </x:row>
    <x:row r="387">
      <x:c r="A387" s="20" t="str">
        <x:v>R0383</x:v>
      </x:c>
      <x:c r="B387" s="25" t="str">
        <x:v>Data Protection in AI Services</x:v>
      </x:c>
      <x:c r="C387" s="25" t="n">
        <x:v>2021</x:v>
      </x:c>
      <x:c r="D387" s="25" t="str">
        <x:v>Christian Meurisch; Max Mühlhäuser</x:v>
      </x:c>
      <x:c r="E387" s="25" t="str">
        <x:v>ACM Computing Surveys</x:v>
      </x:c>
      <x:c r="F387" s="25" t="str">
        <x:v>10.1145/3440754</x:v>
      </x:c>
      <x:c r="G387" s="25" t="str">
        <x:v>https://doi.org/10.1145/3440754</x:v>
      </x:c>
      <x:c r="H387" s="25" t="str">
        <x:v>OpenAlex</x:v>
      </x:c>
      <x:c r="I387" s="25" t="str">
        <x:v>C15_proactive_interruption</x:v>
      </x:c>
      <x:c r="J387" s="25" t="str">
        <x:v>Exclude</x:v>
      </x:c>
      <x:c r="K387" s="25" t="str">
        <x:v>Exclude: adjacent/redundant or insufficiently theory-generative for DC1</x:v>
      </x:c>
    </x:row>
    <x:row r="388">
      <x:c r="A388" s="20" t="str">
        <x:v>R0384</x:v>
      </x:c>
      <x:c r="B388" s="25" t="str">
        <x:v>Generative AI for Self-Adaptive Systems: State of the Art and Research Roadmap</x:v>
      </x:c>
      <x:c r="C388" s="25" t="n">
        <x:v>2024</x:v>
      </x:c>
      <x:c r="D388" s="25" t="str">
        <x:v>Jialong Li; Mingyue Zhang; Nianyu Li; Danny Weyns; Zhi Jin; Kenji Tei</x:v>
      </x:c>
      <x:c r="E388" s="25" t="str">
        <x:v>ACM Transactions on Autonomous and Adaptive Systems</x:v>
      </x:c>
      <x:c r="F388" s="25" t="str">
        <x:v>10.1145/3686803</x:v>
      </x:c>
      <x:c r="G388" s="25" t="str">
        <x:v>https://doi.org/10.1145/3686803</x:v>
      </x:c>
      <x:c r="H388" s="25" t="str">
        <x:v>OpenAlex</x:v>
      </x:c>
      <x:c r="I388" s="25" t="str">
        <x:v>C12_common_ground_repair; C8_AI_3D_authoring</x:v>
      </x:c>
      <x:c r="J388" s="25" t="str">
        <x:v>Exclude</x:v>
      </x:c>
      <x:c r="K388" s="25" t="str">
        <x:v>Exclude: adjacent/redundant or insufficiently theory-generative for DC1</x:v>
      </x:c>
    </x:row>
    <x:row r="389">
      <x:c r="A389" s="20" t="str">
        <x:v>R0385</x:v>
      </x:c>
      <x:c r="B389" s="25" t="str">
        <x:v>Research status of elderly-care robots and safe human-robot interaction methods</x:v>
      </x:c>
      <x:c r="C389" s="25" t="n">
        <x:v>2023</x:v>
      </x:c>
      <x:c r="D389" s="25" t="str">
        <x:v>Donghui Zhao; Sun Xingwang; Bo Shan; Zihao Yang; Junyou Yang; Houde Liu; Yinlai Jiang; Yokoi Hiroshi</x:v>
      </x:c>
      <x:c r="E389" s="25" t="str">
        <x:v>Frontiers in Neuroscience</x:v>
      </x:c>
      <x:c r="F389" s="25" t="str">
        <x:v>10.3389/fnins.2023.1291682</x:v>
      </x:c>
      <x:c r="G389" s="25" t="str">
        <x:v>https://doi.org/10.3389/fnins.2023.1291682</x:v>
      </x:c>
      <x:c r="H389" s="25" t="str">
        <x:v>OpenAlex</x:v>
      </x:c>
      <x:c r="I389" s="25" t="str">
        <x:v>C4_uncertainty_shared_autonomy</x:v>
      </x:c>
      <x:c r="J389" s="25" t="str">
        <x:v>Exclude</x:v>
      </x:c>
      <x:c r="K389" s="25" t="str">
        <x:v>Exclude: topic mismatch</x:v>
      </x:c>
    </x:row>
    <x:row r="390">
      <x:c r="A390" s="20" t="str">
        <x:v>R0386</x:v>
      </x:c>
      <x:c r="B390" s="25" t="str">
        <x:v>When is a Tool a Tool? User Perceptions of System Agency in Human–AI Co-Creative Drawing</x:v>
      </x:c>
      <x:c r="C390" s="25" t="n">
        <x:v>2023</x:v>
      </x:c>
      <x:c r="D390" s="25" t="str">
        <x:v>Tomas Lawton; Kazjon Grace; Francisco Ibarrola</x:v>
      </x:c>
      <x:c r="E390" s="25" t="str"/>
      <x:c r="F390" s="25" t="str">
        <x:v>10.1145/3563657.3595977</x:v>
      </x:c>
      <x:c r="G390" s="25" t="str">
        <x:v>https://doi.org/10.1145/3563657.3595977</x:v>
      </x:c>
      <x:c r="H390" s="25" t="str">
        <x:v>OpenAlex</x:v>
      </x:c>
      <x:c r="I390" s="25" t="str">
        <x:v>C14_agency_ownership; C3_mixed_initiative_cocreation; C7_creative_agency</x:v>
      </x:c>
      <x:c r="J390" s="25" t="str">
        <x:v>Include</x:v>
      </x:c>
      <x:c r="K390" s="25" t="str">
        <x:v>Included in focused synthesis</x:v>
      </x:c>
    </x:row>
    <x:row r="391">
      <x:c r="A391" s="20" t="str">
        <x:v>R0387</x:v>
      </x:c>
      <x:c r="B391" s="25" t="str">
        <x:v>Intent Communication between Autonomous Vehicles and Pedestrians</x:v>
      </x:c>
      <x:c r="C391" s="25" t="n">
        <x:v>2017</x:v>
      </x:c>
      <x:c r="D391" s="25" t="str">
        <x:v>Milecia Matthews; Girish Chowdhary; Emily Kieson</x:v>
      </x:c>
      <x:c r="E391" s="25" t="str">
        <x:v>arXiv (Cornell University)</x:v>
      </x:c>
      <x:c r="F391" s="25" t="str">
        <x:v>10.48550/arxiv.1708.07123</x:v>
      </x:c>
      <x:c r="G391" s="25" t="str">
        <x:v>http://arxiv.org/abs/1708.07123</x:v>
      </x:c>
      <x:c r="H391" s="25" t="str">
        <x:v>OpenAlex</x:v>
      </x:c>
      <x:c r="I391" s="25" t="str">
        <x:v>C2_interaction_signals; C4_uncertainty_shared_autonomy</x:v>
      </x:c>
      <x:c r="J391" s="25" t="str">
        <x:v>Exclude</x:v>
      </x:c>
      <x:c r="K391" s="25" t="str">
        <x:v>Exclude: adjacent/redundant or insufficiently theory-generative for DC1</x:v>
      </x:c>
    </x:row>
    <x:row r="392">
      <x:c r="A392" s="20" t="str">
        <x:v>R0388</x:v>
      </x:c>
      <x:c r="B392" s="25" t="str">
        <x:v>Multimodal interfaces and communication cues for remote collaboration</x:v>
      </x:c>
      <x:c r="C392" s="25" t="n">
        <x:v>2020</x:v>
      </x:c>
      <x:c r="D392" s="25" t="str">
        <x:v>Seungwon Kim; Mark Billinghurst; Kangsoo Kim</x:v>
      </x:c>
      <x:c r="E392" s="25" t="str">
        <x:v>Journal on Multimodal User Interfaces</x:v>
      </x:c>
      <x:c r="F392" s="25" t="str">
        <x:v>10.1007/s12193-020-00346-8</x:v>
      </x:c>
      <x:c r="G392" s="25" t="str">
        <x:v>https://doi.org/10.1007/s12193-020-00346-8</x:v>
      </x:c>
      <x:c r="H392" s="25" t="str">
        <x:v>OpenAlex</x:v>
      </x:c>
      <x:c r="I392" s="25" t="str">
        <x:v>C12_common_ground_repair</x:v>
      </x:c>
      <x:c r="J392" s="25" t="str">
        <x:v>Exclude</x:v>
      </x:c>
      <x:c r="K392" s="25" t="str">
        <x:v>Exclude: topic mismatch</x:v>
      </x:c>
    </x:row>
    <x:row r="393">
      <x:c r="A393" s="20" t="str">
        <x:v>R0389</x:v>
      </x:c>
      <x:c r="B393" s="25" t="str">
        <x:v>Recent Technological Progress to Empower Smart Manufacturing: Review and Potential Guidelines</x:v>
      </x:c>
      <x:c r="C393" s="25" t="n">
        <x:v>2023</x:v>
      </x:c>
      <x:c r="D393" s="25" t="str">
        <x:v>Karim Haricha; Azeddine Khiat; Yassine Issaoui; Ayoub Bahnasse; Hassan Ouajji</x:v>
      </x:c>
      <x:c r="E393" s="25" t="str">
        <x:v>IEEE Access</x:v>
      </x:c>
      <x:c r="F393" s="25" t="str">
        <x:v>10.1109/access.2023.3246029</x:v>
      </x:c>
      <x:c r="G393" s="25" t="str">
        <x:v>https://doi.org/10.1109/access.2023.3246029</x:v>
      </x:c>
      <x:c r="H393" s="25" t="str">
        <x:v>OpenAlex</x:v>
      </x:c>
      <x:c r="I393" s="25" t="str">
        <x:v>C15_proactive_interruption</x:v>
      </x:c>
      <x:c r="J393" s="25" t="str">
        <x:v>Exclude</x:v>
      </x:c>
      <x:c r="K393" s="25" t="str">
        <x:v>Exclude: topic mismatch</x:v>
      </x:c>
    </x:row>
    <x:row r="394">
      <x:c r="A394" s="20" t="str">
        <x:v>R0390</x:v>
      </x:c>
      <x:c r="B394" s="25" t="str">
        <x:v>Recent Trends, Technical Concepts and Components of Computer-Assisted Orthopedic Surgery Systems: A Comprehensive Review</x:v>
      </x:c>
      <x:c r="C394" s="25" t="n">
        <x:v>2019</x:v>
      </x:c>
      <x:c r="D394" s="25" t="str">
        <x:v>Jan Kubíček; Filip Tomanec; Martin Černý; Dominik Vilímek; Martina Kalová; David Oczka</x:v>
      </x:c>
      <x:c r="E394" s="25" t="str">
        <x:v>Sensors</x:v>
      </x:c>
      <x:c r="F394" s="25" t="str">
        <x:v>10.3390/s19235199</x:v>
      </x:c>
      <x:c r="G394" s="25" t="str">
        <x:v>https://doi.org/10.3390/s19235199</x:v>
      </x:c>
      <x:c r="H394" s="25" t="str">
        <x:v>OpenAlex</x:v>
      </x:c>
      <x:c r="I394" s="25" t="str">
        <x:v>C8_AI_3D_authoring</x:v>
      </x:c>
      <x:c r="J394" s="25" t="str">
        <x:v>Exclude</x:v>
      </x:c>
      <x:c r="K394" s="25" t="str">
        <x:v>Exclude: adjacent/redundant or insufficiently theory-generative for DC1</x:v>
      </x:c>
    </x:row>
    <x:row r="395">
      <x:c r="A395" s="20" t="str">
        <x:v>R0391</x:v>
      </x:c>
      <x:c r="B395" s="25" t="str">
        <x:v>Distinguishing the Neural Correlates of Episodic Memory Encoding and Semantic Memory Retrieval</x:v>
      </x:c>
      <x:c r="C395" s="25" t="n">
        <x:v>2007</x:v>
      </x:c>
      <x:c r="D395" s="25" t="str">
        <x:v>Steven E. Prince; Takashi Tsukiura; Roberto Cabeza</x:v>
      </x:c>
      <x:c r="E395" s="25" t="str">
        <x:v>Psychological Science</x:v>
      </x:c>
      <x:c r="F395" s="25" t="str">
        <x:v>10.1111/j.1467-9280.2007.01864.x</x:v>
      </x:c>
      <x:c r="G395" s="25" t="str">
        <x:v>https://doi.org/10.1111/j.1467-9280.2007.01864.x</x:v>
      </x:c>
      <x:c r="H395" s="25" t="str">
        <x:v>Crossref</x:v>
      </x:c>
      <x:c r="I395" s="25" t="str">
        <x:v>C5_agent_memory</x:v>
      </x:c>
      <x:c r="J395" s="25" t="str">
        <x:v>Exclude</x:v>
      </x:c>
      <x:c r="K395" s="25" t="str">
        <x:v>Exclude: adjacent/redundant or insufficiently theory-generative for DC1</x:v>
      </x:c>
    </x:row>
    <x:row r="396">
      <x:c r="A396" s="20" t="str">
        <x:v>R0392</x:v>
      </x:c>
      <x:c r="B396" s="25" t="str">
        <x:v>Retrieval experience in prospective memory: Strategic monitoring and spontaneous retrieval</x:v>
      </x:c>
      <x:c r="C396" s="25" t="n">
        <x:v>2006</x:v>
      </x:c>
      <x:c r="D396" s="25" t="str">
        <x:v>Beat Meier; Thomas D. Zimmermann; Walter J. Perrig</x:v>
      </x:c>
      <x:c r="E396" s="25" t="str">
        <x:v>Memory</x:v>
      </x:c>
      <x:c r="F396" s="25" t="str">
        <x:v>10.1080/09658210600783774</x:v>
      </x:c>
      <x:c r="G396" s="25" t="str">
        <x:v>https://doi.org/10.1080/09658210600783774</x:v>
      </x:c>
      <x:c r="H396" s="25" t="str">
        <x:v>Crossref</x:v>
      </x:c>
      <x:c r="I396" s="25" t="str">
        <x:v>C16_memory_conflict_bias</x:v>
      </x:c>
      <x:c r="J396" s="25" t="str">
        <x:v>Exclude</x:v>
      </x:c>
      <x:c r="K396" s="25" t="str">
        <x:v>Exclude: adjacent/redundant or insufficiently theory-generative for DC1</x:v>
      </x:c>
    </x:row>
    <x:row r="397">
      <x:c r="A397" s="20" t="str">
        <x:v>R0393</x:v>
      </x:c>
      <x:c r="B397" s="25" t="str">
        <x:v>3D Face Reconstruction in Deep Learning Era: A Survey</x:v>
      </x:c>
      <x:c r="C397" s="25" t="n">
        <x:v>2022</x:v>
      </x:c>
      <x:c r="D397" s="25" t="str">
        <x:v>Sahil Sharma; Vijay Kumar</x:v>
      </x:c>
      <x:c r="E397" s="25" t="str">
        <x:v>Archives of Computational Methods in Engineering</x:v>
      </x:c>
      <x:c r="F397" s="25" t="str">
        <x:v>10.1007/s11831-021-09705-4</x:v>
      </x:c>
      <x:c r="G397" s="25" t="str">
        <x:v>https://doi.org/10.1007/s11831-021-09705-4</x:v>
      </x:c>
      <x:c r="H397" s="25" t="str">
        <x:v>OpenAlex</x:v>
      </x:c>
      <x:c r="I397" s="25" t="str">
        <x:v>C8_AI_3D_authoring</x:v>
      </x:c>
      <x:c r="J397" s="25" t="str">
        <x:v>Exclude</x:v>
      </x:c>
      <x:c r="K397" s="25" t="str">
        <x:v>Exclude: adjacent/redundant or insufficiently theory-generative for DC1</x:v>
      </x:c>
    </x:row>
    <x:row r="398">
      <x:c r="A398" s="20" t="str">
        <x:v>R0394</x:v>
      </x:c>
      <x:c r="B398" s="25" t="str">
        <x:v>Design- and Craft thinking analysed as Embodied Cognition</x:v>
      </x:c>
      <x:c r="C398" s="25" t="n">
        <x:v>2016</x:v>
      </x:c>
      <x:c r="D398" s="25" t="str">
        <x:v>Camilla Groth</x:v>
      </x:c>
      <x:c r="E398" s="25" t="str">
        <x:v>FormAkademisk - forskningstidsskrift for design og designdidaktikk</x:v>
      </x:c>
      <x:c r="F398" s="25" t="str">
        <x:v>10.7577/formakademisk.1481</x:v>
      </x:c>
      <x:c r="G398" s="25" t="str">
        <x:v>https://doi.org/10.7577/formakademisk.1481</x:v>
      </x:c>
      <x:c r="H398" s="25" t="str">
        <x:v>OpenAlex</x:v>
      </x:c>
      <x:c r="I398" s="25" t="str">
        <x:v>C10_affordance_embodied</x:v>
      </x:c>
      <x:c r="J398" s="25" t="str">
        <x:v>Exclude</x:v>
      </x:c>
      <x:c r="K398" s="25" t="str">
        <x:v>Exclude: topic mismatch</x:v>
      </x:c>
    </x:row>
    <x:row r="399">
      <x:c r="A399" s="20" t="str">
        <x:v>R0395</x:v>
      </x:c>
      <x:c r="B399" s="25" t="str">
        <x:v>Designing Human-Agent Collaborations: Commitment, responsiveness, and support</x:v>
      </x:c>
      <x:c r="C399" s="25" t="n">
        <x:v>2022</x:v>
      </x:c>
      <x:c r="D399" s="25" t="str">
        <x:v>Nazlı Cila</x:v>
      </x:c>
      <x:c r="E399" s="25" t="str">
        <x:v>CHI Conference on Human Factors in Computing Systems</x:v>
      </x:c>
      <x:c r="F399" s="25" t="str">
        <x:v>10.1145/3491102.3517500</x:v>
      </x:c>
      <x:c r="G399" s="25" t="str">
        <x:v>https://doi.org/10.1145/3491102.3517500</x:v>
      </x:c>
      <x:c r="H399" s="25" t="str">
        <x:v>OpenAlex</x:v>
      </x:c>
      <x:c r="I399" s="25" t="str">
        <x:v>C15_proactive_interruption</x:v>
      </x:c>
      <x:c r="J399" s="25" t="str">
        <x:v>Include</x:v>
      </x:c>
      <x:c r="K399" s="25" t="str">
        <x:v>Included in focused synthesis</x:v>
      </x:c>
    </x:row>
    <x:row r="400">
      <x:c r="A400" s="20" t="str">
        <x:v>R0396</x:v>
      </x:c>
      <x:c r="B400" s="25" t="str">
        <x:v>The future of bone regeneration: integrating AI into tissue engineering</x:v>
      </x:c>
      <x:c r="C400" s="25" t="n">
        <x:v>2021</x:v>
      </x:c>
      <x:c r="D400" s="25" t="str">
        <x:v>Benita MacKay; Karen M. Marshall; James A. Grant‐Jacob; Janos M. Kanczler; R.W. Eason; Richard O. C. Oreffo; Ben Mills</x:v>
      </x:c>
      <x:c r="E400" s="25" t="str">
        <x:v>Biomedical Physics &amp; Engineering Express</x:v>
      </x:c>
      <x:c r="F400" s="25" t="str">
        <x:v>10.1088/2057-1976/ac154f</x:v>
      </x:c>
      <x:c r="G400" s="25" t="str">
        <x:v>https://doi.org/10.1088/2057-1976/ac154f</x:v>
      </x:c>
      <x:c r="H400" s="25" t="str">
        <x:v>OpenAlex</x:v>
      </x:c>
      <x:c r="I400" s="25" t="str">
        <x:v>C8_AI_3D_authoring</x:v>
      </x:c>
      <x:c r="J400" s="25" t="str">
        <x:v>Exclude</x:v>
      </x:c>
      <x:c r="K400" s="25" t="str">
        <x:v>Exclude: topic mismatch</x:v>
      </x:c>
    </x:row>
    <x:row r="401">
      <x:c r="A401" s="20" t="str">
        <x:v>R0397</x:v>
      </x:c>
      <x:c r="B401" s="25" t="str">
        <x:v>Therapeutic Alliance as Active Inference: The Role of Therapeutic Touch and Synchrony</x:v>
      </x:c>
      <x:c r="C401" s="25" t="n">
        <x:v>2022</x:v>
      </x:c>
      <x:c r="D401" s="25" t="str">
        <x:v>Zoe McParlin; Francesco Cerritelli; Karl Friston; Jorge E. Esteves</x:v>
      </x:c>
      <x:c r="E401" s="25" t="str">
        <x:v>Frontiers in Psychology</x:v>
      </x:c>
      <x:c r="F401" s="25" t="str">
        <x:v>10.3389/fpsyg.2022.783694</x:v>
      </x:c>
      <x:c r="G401" s="25" t="str">
        <x:v>https://doi.org/10.3389/fpsyg.2022.783694</x:v>
      </x:c>
      <x:c r="H401" s="25" t="str">
        <x:v>OpenAlex</x:v>
      </x:c>
      <x:c r="I401" s="25" t="str">
        <x:v>C4_uncertainty_shared_autonomy</x:v>
      </x:c>
      <x:c r="J401" s="25" t="str">
        <x:v>Exclude</x:v>
      </x:c>
      <x:c r="K401" s="25" t="str">
        <x:v>Exclude: adjacent/redundant or insufficiently theory-generative for DC1</x:v>
      </x:c>
    </x:row>
    <x:row r="402">
      <x:c r="A402" s="20" t="str">
        <x:v>R0398</x:v>
      </x:c>
      <x:c r="B402" s="25" t="str">
        <x:v>Action Recognition by Hierarchical Sequence Summarization</x:v>
      </x:c>
      <x:c r="C402" s="25" t="n">
        <x:v>2013</x:v>
      </x:c>
      <x:c r="D402" s="25" t="str">
        <x:v>Yale Song; Louis-Philippe Morency; Randall Davis</x:v>
      </x:c>
      <x:c r="E402" s="25" t="str">
        <x:v>2013 IEEE Conference on Computer Vision and Pattern Recognition</x:v>
      </x:c>
      <x:c r="F402" s="25" t="str">
        <x:v>10.1109/cvpr.2013.457</x:v>
      </x:c>
      <x:c r="G402" s="25" t="str">
        <x:v>https://doi.org/10.1109/cvpr.2013.457</x:v>
      </x:c>
      <x:c r="H402" s="25" t="str">
        <x:v>Crossref</x:v>
      </x:c>
      <x:c r="I402" s="25" t="str">
        <x:v>C11_hierarchical_goal_recognition</x:v>
      </x:c>
      <x:c r="J402" s="25" t="str">
        <x:v>Exclude</x:v>
      </x:c>
      <x:c r="K402" s="25" t="str">
        <x:v>Exclude: topic mismatch</x:v>
      </x:c>
    </x:row>
    <x:row r="403">
      <x:c r="A403" s="20" t="str">
        <x:v>R0399</x:v>
      </x:c>
      <x:c r="B403" s="25" t="str">
        <x:v>Categorical Federalism: Jurisdiction, Gender, and the Globe</x:v>
      </x:c>
      <x:c r="C403" s="25" t="n">
        <x:v>2001</x:v>
      </x:c>
      <x:c r="D403" s="25" t="str">
        <x:v>Judith Resnik</x:v>
      </x:c>
      <x:c r="E403" s="25" t="str">
        <x:v>The Yale Law Journal</x:v>
      </x:c>
      <x:c r="F403" s="25" t="str">
        <x:v>10.2307/797544</x:v>
      </x:c>
      <x:c r="G403" s="25" t="str">
        <x:v>https://doi.org/10.2307/797544</x:v>
      </x:c>
      <x:c r="H403" s="25" t="str">
        <x:v>OpenAlex</x:v>
      </x:c>
      <x:c r="I403" s="25" t="str">
        <x:v>C17_3D_gesture_ambiguity</x:v>
      </x:c>
      <x:c r="J403" s="25" t="str">
        <x:v>Exclude</x:v>
      </x:c>
      <x:c r="K403" s="25" t="str">
        <x:v>Exclude: topic mismatch</x:v>
      </x:c>
    </x:row>
    <x:row r="404">
      <x:c r="A404" s="20" t="str">
        <x:v>R0400</x:v>
      </x:c>
      <x:c r="B404" s="25" t="str">
        <x:v>Cognitive Architectures for Language Agents</x:v>
      </x:c>
      <x:c r="C404" s="25" t="n">
        <x:v>2023</x:v>
      </x:c>
      <x:c r="D404" s="25" t="str">
        <x:v>Theodore R. Sumers; Shunyu Yao; Karthik Narasimhan; Thomas L. Griffiths</x:v>
      </x:c>
      <x:c r="E404" s="25" t="str">
        <x:v>arXiv (Cornell University)</x:v>
      </x:c>
      <x:c r="F404" s="25" t="str">
        <x:v>10.48550/arxiv.2309.02427</x:v>
      </x:c>
      <x:c r="G404" s="25" t="str">
        <x:v>http://arxiv.org/abs/2309.02427</x:v>
      </x:c>
      <x:c r="H404" s="25" t="str">
        <x:v>OpenAlex</x:v>
      </x:c>
      <x:c r="I404" s="25" t="str">
        <x:v>C11_hierarchical_goal_recognition; C5_agent_memory; C6_frontend_GUI_intent</x:v>
      </x:c>
      <x:c r="J404" s="25" t="str">
        <x:v>Include</x:v>
      </x:c>
      <x:c r="K404" s="25" t="str">
        <x:v>Included in focused synthesis</x:v>
      </x:c>
    </x:row>
    <x:row r="405">
      <x:c r="A405" s="20" t="str">
        <x:v>R0401</x:v>
      </x:c>
      <x:c r="B405" s="25" t="str">
        <x:v>Sycophantic AI decreases prosocial intentions and promotes dependence</x:v>
      </x:c>
      <x:c r="C405" s="25" t="n">
        <x:v>2026</x:v>
      </x:c>
      <x:c r="D405" s="25" t="str">
        <x:v>Myra Cheng; Cinoo Lee; Pranav Khadpe; Sunny Yu; Dyllan Han; Dan Jurafsky</x:v>
      </x:c>
      <x:c r="E405" s="25" t="str">
        <x:v>Science</x:v>
      </x:c>
      <x:c r="F405" s="25" t="str">
        <x:v>10.1126/science.aec8352</x:v>
      </x:c>
      <x:c r="G405" s="25" t="str">
        <x:v>https://doi.org/10.1126/science.aec8352</x:v>
      </x:c>
      <x:c r="H405" s="25" t="str">
        <x:v>OpenAlex</x:v>
      </x:c>
      <x:c r="I405" s="25" t="str">
        <x:v>C12_common_ground_repair</x:v>
      </x:c>
      <x:c r="J405" s="25" t="str">
        <x:v>Exclude</x:v>
      </x:c>
      <x:c r="K405" s="25" t="str">
        <x:v>Exclude: adjacent/redundant or insufficiently theory-generative for DC1</x:v>
      </x:c>
    </x:row>
    <x:row r="406">
      <x:c r="A406" s="20" t="str">
        <x:v>R0402</x:v>
      </x:c>
      <x:c r="B406" s="25" t="str">
        <x:v>Teachers' perceptions, attitudes, and acceptance of artificial intelligence (AI) educational learning tools: An exploratory study on AI literacy for young students</x:v>
      </x:c>
      <x:c r="C406" s="25" t="n">
        <x:v>2024</x:v>
      </x:c>
      <x:c r="D406" s="25" t="str">
        <x:v>Iris Heung Yue Yim; Rupert Wegerif</x:v>
      </x:c>
      <x:c r="E406" s="25" t="str">
        <x:v>Future in Educational Research</x:v>
      </x:c>
      <x:c r="F406" s="25" t="str">
        <x:v>10.1002/fer3.65</x:v>
      </x:c>
      <x:c r="G406" s="25" t="str">
        <x:v>https://doi.org/10.1002/fer3.65</x:v>
      </x:c>
      <x:c r="H406" s="25" t="str">
        <x:v>OpenAlex</x:v>
      </x:c>
      <x:c r="I406" s="25" t="str">
        <x:v>C3_mixed_initiative_cocreation</x:v>
      </x:c>
      <x:c r="J406" s="25" t="str">
        <x:v>Exclude</x:v>
      </x:c>
      <x:c r="K406" s="25" t="str">
        <x:v>Exclude: adjacent/redundant or insufficiently theory-generative for DC1</x:v>
      </x:c>
    </x:row>
    <x:row r="407">
      <x:c r="A407" s="20" t="str">
        <x:v>R0403</x:v>
      </x:c>
      <x:c r="B407" s="25" t="str">
        <x:v>Modeling Human Plan Recognition Using Bayesian Theory of Mind</x:v>
      </x:c>
      <x:c r="C407" s="25" t="n">
        <x:v>2014</x:v>
      </x:c>
      <x:c r="D407" s="25" t="str">
        <x:v>Chris L. Baker; Joshua B. Tenenbaum</x:v>
      </x:c>
      <x:c r="E407" s="25" t="str">
        <x:v>Plan, Activity, and Intent Recognition</x:v>
      </x:c>
      <x:c r="F407" s="25" t="str">
        <x:v>10.1016/b978-0-12-398532-3.00007-5</x:v>
      </x:c>
      <x:c r="G407" s="25" t="str">
        <x:v>https://doi.org/10.1016/b978-0-12-398532-3.00007-5</x:v>
      </x:c>
      <x:c r="H407" s="25" t="str">
        <x:v>Crossref</x:v>
      </x:c>
      <x:c r="I407" s="25" t="str">
        <x:v>C11_hierarchical_goal_recognition</x:v>
      </x:c>
      <x:c r="J407" s="25" t="str">
        <x:v>Exclude</x:v>
      </x:c>
      <x:c r="K407" s="25" t="str">
        <x:v>Exclude: topic mismatch</x:v>
      </x:c>
    </x:row>
    <x:row r="408">
      <x:c r="A408" s="20" t="str">
        <x:v>R0404</x:v>
      </x:c>
      <x:c r="B408" s="25" t="str">
        <x:v>A Comprehensive Survey of Machine Learning Methods for Surveillance Videos Anomaly Detection</x:v>
      </x:c>
      <x:c r="C408" s="25" t="n">
        <x:v>2023</x:v>
      </x:c>
      <x:c r="D408" s="25" t="str">
        <x:v>Nomica Choudhry; Jemal Abawajy; Shamsul Huda; Imran Rao</x:v>
      </x:c>
      <x:c r="E408" s="25" t="str">
        <x:v>IEEE Access</x:v>
      </x:c>
      <x:c r="F408" s="25" t="str">
        <x:v>10.1109/access.2023.3321800</x:v>
      </x:c>
      <x:c r="G408" s="25" t="str">
        <x:v>https://doi.org/10.1109/access.2023.3321800</x:v>
      </x:c>
      <x:c r="H408" s="25" t="str">
        <x:v>OpenAlex</x:v>
      </x:c>
      <x:c r="I408" s="25" t="str">
        <x:v>C17_3D_gesture_ambiguity</x:v>
      </x:c>
      <x:c r="J408" s="25" t="str">
        <x:v>Exclude</x:v>
      </x:c>
      <x:c r="K408" s="25" t="str">
        <x:v>Exclude: topic mismatch</x:v>
      </x:c>
    </x:row>
    <x:row r="409">
      <x:c r="A409" s="20" t="str">
        <x:v>R0405</x:v>
      </x:c>
      <x:c r="B409" s="25" t="str">
        <x:v>Autonomy in Rehabilitation Robotics: An Intersection</x:v>
      </x:c>
      <x:c r="C409" s="25" t="n">
        <x:v>2018</x:v>
      </x:c>
      <x:c r="D409" s="25" t="str">
        <x:v>Brenna Argall</x:v>
      </x:c>
      <x:c r="E409" s="25" t="str">
        <x:v>Annual Review of Control Robotics and Autonomous Systems</x:v>
      </x:c>
      <x:c r="F409" s="25" t="str">
        <x:v>10.1146/annurev-control-061417-041727</x:v>
      </x:c>
      <x:c r="G409" s="25" t="str">
        <x:v>https://doi.org/10.1146/annurev-control-061417-041727</x:v>
      </x:c>
      <x:c r="H409" s="25" t="str">
        <x:v>OpenAlex</x:v>
      </x:c>
      <x:c r="I409" s="25" t="str">
        <x:v>C4_uncertainty_shared_autonomy</x:v>
      </x:c>
      <x:c r="J409" s="25" t="str">
        <x:v>Exclude</x:v>
      </x:c>
      <x:c r="K409" s="25" t="str">
        <x:v>Exclude: adjacent/redundant or insufficiently theory-generative for DC1</x:v>
      </x:c>
    </x:row>
    <x:row r="410">
      <x:c r="A410" s="20" t="str">
        <x:v>R0406</x:v>
      </x:c>
      <x:c r="B410" s="25" t="str">
        <x:v>Generative AI and process systems engineering: The next frontier</x:v>
      </x:c>
      <x:c r="C410" s="25" t="n">
        <x:v>2024</x:v>
      </x:c>
      <x:c r="D410" s="25" t="str">
        <x:v>Benjamin Decardi‐Nelson; Abdulelah S. Alshehri; Akshay Ajagekar; Fengqi You</x:v>
      </x:c>
      <x:c r="E410" s="25" t="str">
        <x:v>Computers &amp; Chemical Engineering</x:v>
      </x:c>
      <x:c r="F410" s="25" t="str">
        <x:v>10.1016/j.compchemeng.2024.108723</x:v>
      </x:c>
      <x:c r="G410" s="25" t="str">
        <x:v>https://doi.org/10.1016/j.compchemeng.2024.108723</x:v>
      </x:c>
      <x:c r="H410" s="25" t="str">
        <x:v>OpenAlex</x:v>
      </x:c>
      <x:c r="I410" s="25" t="str">
        <x:v>C8_AI_3D_authoring</x:v>
      </x:c>
      <x:c r="J410" s="25" t="str">
        <x:v>Exclude</x:v>
      </x:c>
      <x:c r="K410" s="25" t="str">
        <x:v>Exclude: topic mismatch</x:v>
      </x:c>
    </x:row>
    <x:row r="411">
      <x:c r="A411" s="20" t="str">
        <x:v>R0407</x:v>
      </x:c>
      <x:c r="B411" s="25" t="str">
        <x:v>Decisive constraints as a creative resource in interaction design</x:v>
      </x:c>
      <x:c r="C411" s="25" t="n">
        <x:v>2013</x:v>
      </x:c>
      <x:c r="D411" s="25" t="str">
        <x:v>Michael Mose Biskjær; Kim Halskov</x:v>
      </x:c>
      <x:c r="E411" s="25" t="str">
        <x:v>Digital Creativity</x:v>
      </x:c>
      <x:c r="F411" s="25" t="str">
        <x:v>10.1080/14626268.2013.855239</x:v>
      </x:c>
      <x:c r="G411" s="25" t="str">
        <x:v>https://doi.org/10.1080/14626268.2013.855239</x:v>
      </x:c>
      <x:c r="H411" s="25" t="str">
        <x:v>OpenAlex</x:v>
      </x:c>
      <x:c r="I411" s="25" t="str">
        <x:v>C6_frontend_GUI_intent</x:v>
      </x:c>
      <x:c r="J411" s="25" t="str">
        <x:v>Exclude</x:v>
      </x:c>
      <x:c r="K411" s="25" t="str">
        <x:v>Exclude: adjacent/redundant or insufficiently theory-generative for DC1</x:v>
      </x:c>
    </x:row>
    <x:row r="412">
      <x:c r="A412" s="20" t="str">
        <x:v>R0408</x:v>
      </x:c>
      <x:c r="B412" s="25" t="str">
        <x:v>LAVE: LLM-Powered Agent Assistance and Language Augmentation for Video Editing</x:v>
      </x:c>
      <x:c r="C412" s="25" t="n">
        <x:v>2024</x:v>
      </x:c>
      <x:c r="D412" s="25" t="str">
        <x:v>Bryan Wang; Yuliang Li; Zhaoyang Lv; Haijun Xia; Yan Xu; Raj S. Sodhi</x:v>
      </x:c>
      <x:c r="E412" s="25" t="str"/>
      <x:c r="F412" s="25" t="str">
        <x:v>10.1145/3640543.3645143</x:v>
      </x:c>
      <x:c r="G412" s="25" t="str">
        <x:v>https://doi.org/10.1145/3640543.3645143</x:v>
      </x:c>
      <x:c r="H412" s="25" t="str">
        <x:v>OpenAlex</x:v>
      </x:c>
      <x:c r="I412" s="25" t="str">
        <x:v>C8_AI_3D_authoring</x:v>
      </x:c>
      <x:c r="J412" s="25" t="str">
        <x:v>Exclude</x:v>
      </x:c>
      <x:c r="K412" s="25" t="str">
        <x:v>Exclude: adjacent/redundant or insufficiently theory-generative for DC1</x:v>
      </x:c>
    </x:row>
    <x:row r="413">
      <x:c r="A413" s="20" t="str">
        <x:v>R0409</x:v>
      </x:c>
      <x:c r="B413" s="25" t="str">
        <x:v>A Review of Deep Reinforcement Learning Algorithms for Mobile Robot Path Planning</x:v>
      </x:c>
      <x:c r="C413" s="25" t="n">
        <x:v>2023</x:v>
      </x:c>
      <x:c r="D413" s="25" t="str">
        <x:v>Ramanjeet Singh; Jing Ren; Xianke Lin</x:v>
      </x:c>
      <x:c r="E413" s="25" t="str">
        <x:v>Vehicles</x:v>
      </x:c>
      <x:c r="F413" s="25" t="str">
        <x:v>10.3390/vehicles5040078</x:v>
      </x:c>
      <x:c r="G413" s="25" t="str">
        <x:v>https://doi.org/10.3390/vehicles5040078</x:v>
      </x:c>
      <x:c r="H413" s="25" t="str">
        <x:v>OpenAlex</x:v>
      </x:c>
      <x:c r="I413" s="25" t="str">
        <x:v>C11_hierarchical_goal_recognition</x:v>
      </x:c>
      <x:c r="J413" s="25" t="str">
        <x:v>Exclude</x:v>
      </x:c>
      <x:c r="K413" s="25" t="str">
        <x:v>Exclude: adjacent/redundant or insufficiently theory-generative for DC1</x:v>
      </x:c>
    </x:row>
    <x:row r="414">
      <x:c r="A414" s="20" t="str">
        <x:v>R0410</x:v>
      </x:c>
      <x:c r="B414" s="25" t="str">
        <x:v>Comparing Virtual Reality and Desktop Interface for Reviewing 3D CAD Models</x:v>
      </x:c>
      <x:c r="C414" s="25" t="n">
        <x:v>2019</x:v>
      </x:c>
      <x:c r="D414" s="25" t="str">
        <x:v>Nikola Horvat; Stanko Škec; Tomislav Martinec; Fanika Lukačević; Marija Majda Perišić</x:v>
      </x:c>
      <x:c r="E414" s="25" t="str">
        <x:v>Proceedings of the ... International Conference on Engineering Design</x:v>
      </x:c>
      <x:c r="F414" s="25" t="str">
        <x:v>10.1017/dsi.2019.198</x:v>
      </x:c>
      <x:c r="G414" s="25" t="str">
        <x:v>https://doi.org/10.1017/dsi.2019.198</x:v>
      </x:c>
      <x:c r="H414" s="25" t="str">
        <x:v>OpenAlex</x:v>
      </x:c>
      <x:c r="I414" s="25" t="str">
        <x:v>C1_3D_mental_models</x:v>
      </x:c>
      <x:c r="J414" s="25" t="str">
        <x:v>Exclude</x:v>
      </x:c>
      <x:c r="K414" s="25" t="str">
        <x:v>Exclude: adjacent/redundant or insufficiently theory-generative for DC1</x:v>
      </x:c>
    </x:row>
    <x:row r="415">
      <x:c r="A415" s="20" t="str">
        <x:v>R0411</x:v>
      </x:c>
      <x:c r="B415" s="25" t="str">
        <x:v>Enabling AI and Robotic Coaches for Physical Rehabilitation Therapy: Iterative Design and Evaluation with Therapists and Post-stroke Survivors</x:v>
      </x:c>
      <x:c r="C415" s="25" t="n">
        <x:v>2022</x:v>
      </x:c>
      <x:c r="D415" s="25" t="str">
        <x:v>Min Hun Lee; Daniel P. Siewiorek; Asim﻿ Smailagic; Alexandre Bernardino; Sergi Bermúdez i Badia</x:v>
      </x:c>
      <x:c r="E415" s="25" t="str">
        <x:v>International Journal of Social Robotics</x:v>
      </x:c>
      <x:c r="F415" s="25" t="str">
        <x:v>10.1007/s12369-022-00883-0</x:v>
      </x:c>
      <x:c r="G415" s="25" t="str">
        <x:v>https://doi.org/10.1007/s12369-022-00883-0</x:v>
      </x:c>
      <x:c r="H415" s="25" t="str">
        <x:v>OpenAlex</x:v>
      </x:c>
      <x:c r="I415" s="25" t="str">
        <x:v>C15_proactive_interruption</x:v>
      </x:c>
      <x:c r="J415" s="25" t="str">
        <x:v>Exclude</x:v>
      </x:c>
      <x:c r="K415" s="25" t="str">
        <x:v>Exclude: topic mismatch</x:v>
      </x:c>
    </x:row>
    <x:row r="416">
      <x:c r="A416" s="20" t="str">
        <x:v>R0412</x:v>
      </x:c>
      <x:c r="B416" s="25" t="str">
        <x:v>Exploring the Design of Generative AI in Supporting Music-based Reminiscence for Older Adults</x:v>
      </x:c>
      <x:c r="C416" s="25" t="n">
        <x:v>2024</x:v>
      </x:c>
      <x:c r="D416" s="25" t="str">
        <x:v>Yucheng Jin; Wanling Cai; Li Chen; Yizhe Zhang; Gavin Doherty; Tonglin Jiang</x:v>
      </x:c>
      <x:c r="E416" s="25" t="str"/>
      <x:c r="F416" s="25" t="str">
        <x:v>10.1145/3613904.3642800</x:v>
      </x:c>
      <x:c r="G416" s="25" t="str">
        <x:v>https://doi.org/10.1145/3613904.3642800</x:v>
      </x:c>
      <x:c r="H416" s="25" t="str">
        <x:v>OpenAlex</x:v>
      </x:c>
      <x:c r="I416" s="25" t="str">
        <x:v>C15_proactive_interruption</x:v>
      </x:c>
      <x:c r="J416" s="25" t="str">
        <x:v>Exclude</x:v>
      </x:c>
      <x:c r="K416" s="25" t="str">
        <x:v>Exclude: adjacent/redundant or insufficiently theory-generative for DC1</x:v>
      </x:c>
    </x:row>
    <x:row r="417">
      <x:c r="A417" s="20" t="str">
        <x:v>R0413</x:v>
      </x:c>
      <x:c r="B417" s="25" t="str">
        <x:v>A product design ontology for enhancing shape processing in design workflows</x:v>
      </x:c>
      <x:c r="C417" s="25" t="n">
        <x:v>2008</x:v>
      </x:c>
      <x:c r="D417" s="25" t="str">
        <x:v>Chiara Eva Catalano; Elena Camossi; Rosalinda Ferrandes; Vincent Cheutet; Neyir Sevilmis</x:v>
      </x:c>
      <x:c r="E417" s="25" t="str">
        <x:v>Journal of Intelligent Manufacturing</x:v>
      </x:c>
      <x:c r="F417" s="25" t="str">
        <x:v>10.1007/s10845-008-0151-z</x:v>
      </x:c>
      <x:c r="G417" s="25" t="str">
        <x:v>https://doi.org/10.1007/s10845-008-0151-z</x:v>
      </x:c>
      <x:c r="H417" s="25" t="str">
        <x:v>OpenAlex</x:v>
      </x:c>
      <x:c r="I417" s="25" t="str">
        <x:v>C13_CAD_design_intent</x:v>
      </x:c>
      <x:c r="J417" s="25" t="str">
        <x:v>Exclude</x:v>
      </x:c>
      <x:c r="K417" s="25" t="str">
        <x:v>Exclude: topic mismatch</x:v>
      </x:c>
    </x:row>
    <x:row r="418">
      <x:c r="A418" s="20" t="str">
        <x:v>R0414</x:v>
      </x:c>
      <x:c r="B418" s="25" t="str">
        <x:v>Unleashing the Power of Edge-Cloud Generative AI in Mobile Networks: A Survey of AIGC Services</x:v>
      </x:c>
      <x:c r="C418" s="25" t="n">
        <x:v>2023</x:v>
      </x:c>
      <x:c r="D418" s="25" t="str">
        <x:v>Minrui Xu; Hongyang Du; Dusit Niyato; Jiawen Kang; Zehui Xiong; Shiwen Mao; Zhu Han; Abbas Jamalipour; Dong In Kim; Xuemin; Victor C. M. Leung; H. Vincent Poor</x:v>
      </x:c>
      <x:c r="E418" s="25" t="str">
        <x:v>arXiv (Cornell University)</x:v>
      </x:c>
      <x:c r="F418" s="25" t="str">
        <x:v>10.48550/arxiv.2303.16129</x:v>
      </x:c>
      <x:c r="G418" s="25" t="str">
        <x:v>http://arxiv.org/abs/2303.16129</x:v>
      </x:c>
      <x:c r="H418" s="25" t="str">
        <x:v>OpenAlex</x:v>
      </x:c>
      <x:c r="I418" s="25" t="str">
        <x:v>C8_AI_3D_authoring</x:v>
      </x:c>
      <x:c r="J418" s="25" t="str">
        <x:v>Exclude</x:v>
      </x:c>
      <x:c r="K418" s="25" t="str">
        <x:v>Exclude: adjacent/redundant or insufficiently theory-generative for DC1</x:v>
      </x:c>
    </x:row>
    <x:row r="419">
      <x:c r="A419" s="20" t="str">
        <x:v>R0415</x:v>
      </x:c>
      <x:c r="B419" s="25" t="str">
        <x:v>User – interface agent interaction: personalization issues</x:v>
      </x:c>
      <x:c r="C419" s="25" t="n">
        <x:v>2004</x:v>
      </x:c>
      <x:c r="D419" s="25" t="str">
        <x:v>Silvia Schiaffino; Analı́a Amandi</x:v>
      </x:c>
      <x:c r="E419" s="25" t="str">
        <x:v>International Journal of Human-Computer Studies</x:v>
      </x:c>
      <x:c r="F419" s="25" t="str">
        <x:v>10.1016/j.ijhcs.2003.09.003</x:v>
      </x:c>
      <x:c r="G419" s="25" t="str">
        <x:v>https://doi.org/10.1016/j.ijhcs.2003.09.003</x:v>
      </x:c>
      <x:c r="H419" s="25" t="str">
        <x:v>Crossref</x:v>
      </x:c>
      <x:c r="I419" s="25" t="str">
        <x:v>C6_frontend_GUI_intent</x:v>
      </x:c>
      <x:c r="J419" s="25" t="str">
        <x:v>Exclude</x:v>
      </x:c>
      <x:c r="K419" s="25" t="str">
        <x:v>Exclude: topic mismatch</x:v>
      </x:c>
    </x:row>
    <x:row r="420">
      <x:c r="A420" s="20" t="str">
        <x:v>R0416</x:v>
      </x:c>
      <x:c r="B420" s="25" t="str">
        <x:v>A review on interaction control for contact robots through intent detection</x:v>
      </x:c>
      <x:c r="C420" s="25" t="n">
        <x:v>2022</x:v>
      </x:c>
      <x:c r="D420" s="25" t="str">
        <x:v>Yanan Li; Aran Sena; Ziwei Wang; Xueyan Xing; Jan Babič; Edwin van Asseldonk; Etienne Burdet</x:v>
      </x:c>
      <x:c r="E420" s="25" t="str">
        <x:v>Progress in Biomedical Engineering</x:v>
      </x:c>
      <x:c r="F420" s="25" t="str">
        <x:v>10.1088/2516-1091/ac8193</x:v>
      </x:c>
      <x:c r="G420" s="25" t="str">
        <x:v>https://doi.org/10.1088/2516-1091/ac8193</x:v>
      </x:c>
      <x:c r="H420" s="25" t="str">
        <x:v>OpenAlex</x:v>
      </x:c>
      <x:c r="I420" s="25" t="str">
        <x:v>C11_hierarchical_goal_recognition; C4_uncertainty_shared_autonomy</x:v>
      </x:c>
      <x:c r="J420" s="25" t="str">
        <x:v>Exclude</x:v>
      </x:c>
      <x:c r="K420" s="25" t="str">
        <x:v>Exclude: adjacent/redundant or insufficiently theory-generative for DC1</x:v>
      </x:c>
    </x:row>
    <x:row r="421">
      <x:c r="A421" s="20" t="str">
        <x:v>R0417</x:v>
      </x:c>
      <x:c r="B421" s="25" t="str">
        <x:v>Grounding needs</x:v>
      </x:c>
      <x:c r="C421" s="25" t="n">
        <x:v>2005</x:v>
      </x:c>
      <x:c r="D421" s="25" t="str">
        <x:v>Jeremy P. Birnholtz; Thomas A. Finholt; Daniel B. Horn; Sung Joo Bae</x:v>
      </x:c>
      <x:c r="E421" s="25" t="str">
        <x:v>Proceedings of the SIGCHI Conference on Human Factors in Computing Systems</x:v>
      </x:c>
      <x:c r="F421" s="25" t="str">
        <x:v>10.1145/1054972.1054976</x:v>
      </x:c>
      <x:c r="G421" s="25" t="str">
        <x:v>https://doi.org/10.1145/1054972.1054976</x:v>
      </x:c>
      <x:c r="H421" s="25" t="str">
        <x:v>Crossref</x:v>
      </x:c>
      <x:c r="I421" s="25" t="str">
        <x:v>C12_common_ground_repair</x:v>
      </x:c>
      <x:c r="J421" s="25" t="str">
        <x:v>Include</x:v>
      </x:c>
      <x:c r="K421" s="25" t="str">
        <x:v>Included in focused synthesis</x:v>
      </x:c>
    </x:row>
    <x:row r="422">
      <x:c r="A422" s="20" t="str">
        <x:v>R0418</x:v>
      </x:c>
      <x:c r="B422" s="25" t="str">
        <x:v>What is new with Artificial Intelligence? Human–agent interactions through the lens of social agency</x:v>
      </x:c>
      <x:c r="C422" s="25" t="n">
        <x:v>2022</x:v>
      </x:c>
      <x:c r="D422" s="25" t="str">
        <x:v>Marine Pagliari; Valérian Chambon; Bruno Berberian</x:v>
      </x:c>
      <x:c r="E422" s="25" t="str">
        <x:v>Frontiers in Psychology</x:v>
      </x:c>
      <x:c r="F422" s="25" t="str">
        <x:v>10.3389/fpsyg.2022.954444</x:v>
      </x:c>
      <x:c r="G422" s="25" t="str">
        <x:v>https://doi.org/10.3389/fpsyg.2022.954444</x:v>
      </x:c>
      <x:c r="H422" s="25" t="str">
        <x:v>OpenAlex</x:v>
      </x:c>
      <x:c r="I422" s="25" t="str">
        <x:v>C4_uncertainty_shared_autonomy</x:v>
      </x:c>
      <x:c r="J422" s="25" t="str">
        <x:v>Exclude</x:v>
      </x:c>
      <x:c r="K422" s="25" t="str">
        <x:v>Exclude: adjacent/redundant or insufficiently theory-generative for DC1</x:v>
      </x:c>
    </x:row>
    <x:row r="423">
      <x:c r="A423" s="20" t="str">
        <x:v>R0419</x:v>
      </x:c>
      <x:c r="B423" s="25" t="str">
        <x:v>A User-centered Framework for Human-AI Co-creativity</x:v>
      </x:c>
      <x:c r="C423" s="25" t="n">
        <x:v>2024</x:v>
      </x:c>
      <x:c r="D423" s="25" t="str">
        <x:v>Caterina Moruzzi; Solange Margarido</x:v>
      </x:c>
      <x:c r="E423" s="25" t="str"/>
      <x:c r="F423" s="25" t="str">
        <x:v>10.1145/3613905.3650929</x:v>
      </x:c>
      <x:c r="G423" s="25" t="str">
        <x:v>https://doi.org/10.1145/3613905.3650929</x:v>
      </x:c>
      <x:c r="H423" s="25" t="str">
        <x:v>OpenAlex</x:v>
      </x:c>
      <x:c r="I423" s="25" t="str">
        <x:v>C3_mixed_initiative_cocreation; C7_creative_agency</x:v>
      </x:c>
      <x:c r="J423" s="25" t="str">
        <x:v>Exclude</x:v>
      </x:c>
      <x:c r="K423" s="25" t="str">
        <x:v>Exclude: adjacent/redundant or insufficiently theory-generative for DC1</x:v>
      </x:c>
    </x:row>
    <x:row r="424">
      <x:c r="A424" s="20" t="str">
        <x:v>R0420</x:v>
      </x:c>
      <x:c r="B424" s="25" t="str">
        <x:v>Deixis, gesture, and cognition in spatial Frame of Reference typology</x:v>
      </x:c>
      <x:c r="C424" s="25" t="n">
        <x:v>2010</x:v>
      </x:c>
      <x:c r="D424" s="25" t="str">
        <x:v>Eve Danziger</x:v>
      </x:c>
      <x:c r="E424" s="25" t="str">
        <x:v>Studies in Language</x:v>
      </x:c>
      <x:c r="F424" s="25" t="str">
        <x:v>10.1075/sl.34.1.16dan</x:v>
      </x:c>
      <x:c r="G424" s="25" t="str">
        <x:v>https://doi.org/10.1075/sl.34.1.16dan</x:v>
      </x:c>
      <x:c r="H424" s="25" t="str">
        <x:v>Crossref</x:v>
      </x:c>
      <x:c r="I424" s="25" t="str">
        <x:v>C17_3D_gesture_ambiguity</x:v>
      </x:c>
      <x:c r="J424" s="25" t="str">
        <x:v>Exclude</x:v>
      </x:c>
      <x:c r="K424" s="25" t="str">
        <x:v>Exclude: adjacent/redundant or insufficiently theory-generative for DC1</x:v>
      </x:c>
    </x:row>
    <x:row r="425">
      <x:c r="A425" s="20" t="str">
        <x:v>R0421</x:v>
      </x:c>
      <x:c r="B425" s="25" t="str">
        <x:v>Explicating "Implicit Interaction"</x:v>
      </x:c>
      <x:c r="C425" s="25" t="n">
        <x:v>2019</x:v>
      </x:c>
      <x:c r="D425" s="25" t="str">
        <x:v>Barış Serim; Giulio Jacucci</x:v>
      </x:c>
      <x:c r="E425" s="25" t="str"/>
      <x:c r="F425" s="25" t="str">
        <x:v>10.1145/3290605.3300647</x:v>
      </x:c>
      <x:c r="G425" s="25" t="str">
        <x:v>https://doi.org/10.1145/3290605.3300647</x:v>
      </x:c>
      <x:c r="H425" s="25" t="str">
        <x:v>OpenAlex</x:v>
      </x:c>
      <x:c r="I425" s="25" t="str">
        <x:v>C2_interaction_signals; C6_frontend_GUI_intent</x:v>
      </x:c>
      <x:c r="J425" s="25" t="str">
        <x:v>Include</x:v>
      </x:c>
      <x:c r="K425" s="25" t="str">
        <x:v>Included in focused synthesis</x:v>
      </x:c>
    </x:row>
    <x:row r="426">
      <x:c r="A426" s="20" t="str">
        <x:v>R0422</x:v>
      </x:c>
      <x:c r="B426" s="25" t="str">
        <x:v>Drawing with Reframer: Emergence and Control in Co-Creative AI</x:v>
      </x:c>
      <x:c r="C426" s="25" t="n">
        <x:v>2023</x:v>
      </x:c>
      <x:c r="D426" s="25" t="str">
        <x:v>Tomas Lawton; Francisco Ibarrola; Dan Ventura; Kazjon Grace</x:v>
      </x:c>
      <x:c r="E426" s="25" t="str"/>
      <x:c r="F426" s="25" t="str">
        <x:v>10.1145/3581641.3584095</x:v>
      </x:c>
      <x:c r="G426" s="25" t="str">
        <x:v>https://doi.org/10.1145/3581641.3584095</x:v>
      </x:c>
      <x:c r="H426" s="25" t="str">
        <x:v>OpenAlex</x:v>
      </x:c>
      <x:c r="I426" s="25" t="str">
        <x:v>C3_mixed_initiative_cocreation</x:v>
      </x:c>
      <x:c r="J426" s="25" t="str">
        <x:v>Exclude</x:v>
      </x:c>
      <x:c r="K426" s="25" t="str">
        <x:v>Exclude: adjacent/redundant or insufficiently theory-generative for DC1</x:v>
      </x:c>
    </x:row>
    <x:row r="427">
      <x:c r="A427" s="20" t="str">
        <x:v>R0423</x:v>
      </x:c>
      <x:c r="B427" s="25" t="str">
        <x:v>Can computers foster human users' creativity? Theory and praxis of mixed-initiative co-creativity</x:v>
      </x:c>
      <x:c r="C427" s="25" t="n">
        <x:v>2016</x:v>
      </x:c>
      <x:c r="D427" s="25" t="str">
        <x:v>Antonios Liapis; Georgios N. Yannakakis; Constantine Alexopoulos; Phil Lopes</x:v>
      </x:c>
      <x:c r="E427" s="25" t="str">
        <x:v>OAR@UM (University of Malta)</x:v>
      </x:c>
      <x:c r="F427" s="25" t="str"/>
      <x:c r="G427" s="25" t="str">
        <x:v>https://www.um.edu.mt/library/oar//handle/123456789/29476</x:v>
      </x:c>
      <x:c r="H427" s="25" t="str">
        <x:v>OpenAlex</x:v>
      </x:c>
      <x:c r="I427" s="25" t="str">
        <x:v>C3_mixed_initiative_cocreation</x:v>
      </x:c>
      <x:c r="J427" s="25" t="str">
        <x:v>Exclude</x:v>
      </x:c>
      <x:c r="K427" s="25" t="str">
        <x:v>Exclude: adjacent/redundant or insufficiently theory-generative for DC1</x:v>
      </x:c>
    </x:row>
    <x:row r="428">
      <x:c r="A428" s="20" t="str">
        <x:v>R0424</x:v>
      </x:c>
      <x:c r="B428" s="25" t="str">
        <x:v>Making Sense of Meaning: A Survey on Metrics for Semantic and Goal-Oriented Communication</x:v>
      </x:c>
      <x:c r="C428" s="25" t="n">
        <x:v>2023</x:v>
      </x:c>
      <x:c r="D428" s="25" t="str">
        <x:v>Tilahun M. Getu; Georges Kaddoum; Mehdi Bennis</x:v>
      </x:c>
      <x:c r="E428" s="25" t="str">
        <x:v>IEEE Access</x:v>
      </x:c>
      <x:c r="F428" s="25" t="str">
        <x:v>10.1109/access.2023.3269848</x:v>
      </x:c>
      <x:c r="G428" s="25" t="str">
        <x:v>https://doi.org/10.1109/access.2023.3269848</x:v>
      </x:c>
      <x:c r="H428" s="25" t="str">
        <x:v>OpenAlex</x:v>
      </x:c>
      <x:c r="I428" s="25" t="str">
        <x:v>C11_hierarchical_goal_recognition</x:v>
      </x:c>
      <x:c r="J428" s="25" t="str">
        <x:v>Exclude</x:v>
      </x:c>
      <x:c r="K428" s="25" t="str">
        <x:v>Exclude: topic mismatch</x:v>
      </x:c>
    </x:row>
    <x:row r="429">
      <x:c r="A429" s="20" t="str">
        <x:v>R0425</x:v>
      </x:c>
      <x:c r="B429" s="25" t="str">
        <x:v>Mobile Augmented Reality in Electronic Commerce: Investigating User Perception and Purchase Intent Amongst Educated Young Adults</x:v>
      </x:c>
      <x:c r="C429" s="25" t="n">
        <x:v>2020</x:v>
      </x:c>
      <x:c r="D429" s="25" t="str">
        <x:v>Tegegne Tesfaye Haile; Min‐Cheol Kang</x:v>
      </x:c>
      <x:c r="E429" s="25" t="str">
        <x:v>Sustainability</x:v>
      </x:c>
      <x:c r="F429" s="25" t="str">
        <x:v>10.3390/su12219185</x:v>
      </x:c>
      <x:c r="G429" s="25" t="str">
        <x:v>https://doi.org/10.3390/su12219185</x:v>
      </x:c>
      <x:c r="H429" s="25" t="str">
        <x:v>OpenAlex</x:v>
      </x:c>
      <x:c r="I429" s="25" t="str">
        <x:v>C2_interaction_signals</x:v>
      </x:c>
      <x:c r="J429" s="25" t="str">
        <x:v>Exclude</x:v>
      </x:c>
      <x:c r="K429" s="25" t="str">
        <x:v>Exclude: domain-specific signal model without transferable HCI theory</x:v>
      </x:c>
    </x:row>
    <x:row r="430">
      <x:c r="A430" s="20" t="str">
        <x:v>R0426</x:v>
      </x:c>
      <x:c r="B430" s="25" t="str">
        <x:v>The Role of Trust in Proactive Conversational Assistants</x:v>
      </x:c>
      <x:c r="C430" s="25" t="n">
        <x:v>2021</x:v>
      </x:c>
      <x:c r="D430" s="25" t="str">
        <x:v>Matthias Kraus; Nicolas Wagner; Zoraida Callejas; Wolfgang Minker</x:v>
      </x:c>
      <x:c r="E430" s="25" t="str">
        <x:v>IEEE Access</x:v>
      </x:c>
      <x:c r="F430" s="25" t="str">
        <x:v>10.1109/access.2021.3103893</x:v>
      </x:c>
      <x:c r="G430" s="25" t="str">
        <x:v>https://doi.org/10.1109/access.2021.3103893</x:v>
      </x:c>
      <x:c r="H430" s="25" t="str">
        <x:v>OpenAlex</x:v>
      </x:c>
      <x:c r="I430" s="25" t="str">
        <x:v>C15_proactive_interruption</x:v>
      </x:c>
      <x:c r="J430" s="25" t="str">
        <x:v>Include</x:v>
      </x:c>
      <x:c r="K430" s="25" t="str">
        <x:v>Included in focused synthesis</x:v>
      </x:c>
    </x:row>
    <x:row r="431">
      <x:c r="A431" s="20" t="str">
        <x:v>R0427</x:v>
      </x:c>
      <x:c r="B431" s="25" t="str">
        <x:v>Beyond distributed representation</x:v>
      </x:c>
      <x:c r="C431" s="25" t="n">
        <x:v>2014</x:v>
      </x:c>
      <x:c r="D431" s="25" t="str">
        <x:v>Jelle van Dijk; Remko van der Lugt; Caroline Hummels</x:v>
      </x:c>
      <x:c r="E431" s="25" t="str">
        <x:v>Proceedings of the 8th International Conference on Tangible, Embedded and Embodied Interaction</x:v>
      </x:c>
      <x:c r="F431" s="25" t="str">
        <x:v>10.1145/2540930.2540934</x:v>
      </x:c>
      <x:c r="G431" s="25" t="str">
        <x:v>https://doi.org/10.1145/2540930.2540934</x:v>
      </x:c>
      <x:c r="H431" s="25" t="str">
        <x:v>Crossref</x:v>
      </x:c>
      <x:c r="I431" s="25" t="str">
        <x:v>C10_affordance_embodied</x:v>
      </x:c>
      <x:c r="J431" s="25" t="str">
        <x:v>Exclude</x:v>
      </x:c>
      <x:c r="K431" s="25" t="str">
        <x:v>Exclude: topic mismatch</x:v>
      </x:c>
    </x:row>
    <x:row r="432">
      <x:c r="A432" s="20" t="str">
        <x:v>R0428</x:v>
      </x:c>
      <x:c r="B432" s="25" t="str">
        <x:v>Systematic review of energy theft practices and autonomous detection through artificial intelligence methods</x:v>
      </x:c>
      <x:c r="C432" s="25" t="n">
        <x:v>2023</x:v>
      </x:c>
      <x:c r="D432" s="25" t="str">
        <x:v>Erika Stracqualursi; Antonello Rosato; Gianfranco Di Lorenzo; Massimo Panella; Rodolfo Araneo</x:v>
      </x:c>
      <x:c r="E432" s="25" t="str">
        <x:v>Renewable and Sustainable Energy Reviews</x:v>
      </x:c>
      <x:c r="F432" s="25" t="str">
        <x:v>10.1016/j.rser.2023.113544</x:v>
      </x:c>
      <x:c r="G432" s="25" t="str">
        <x:v>https://doi.org/10.1016/j.rser.2023.113544</x:v>
      </x:c>
      <x:c r="H432" s="25" t="str">
        <x:v>OpenAlex</x:v>
      </x:c>
      <x:c r="I432" s="25" t="str">
        <x:v>C15_proactive_interruption</x:v>
      </x:c>
      <x:c r="J432" s="25" t="str">
        <x:v>Exclude</x:v>
      </x:c>
      <x:c r="K432" s="25" t="str">
        <x:v>Exclude: adjacent/redundant or insufficiently theory-generative for DC1</x:v>
      </x:c>
    </x:row>
    <x:row r="433">
      <x:c r="A433" s="20" t="str">
        <x:v>R0429</x:v>
      </x:c>
      <x:c r="B433" s="25" t="str">
        <x:v>Toward General Design Principles for Generative AI Applications</x:v>
      </x:c>
      <x:c r="C433" s="25" t="n">
        <x:v>2023</x:v>
      </x:c>
      <x:c r="D433" s="25" t="str">
        <x:v>Justin D. Weisz; Michael Müller; Jessica He; Stephanie Houde</x:v>
      </x:c>
      <x:c r="E433" s="25" t="str">
        <x:v>arXiv (Cornell University)</x:v>
      </x:c>
      <x:c r="F433" s="25" t="str">
        <x:v>10.48550/arxiv.2301.05578</x:v>
      </x:c>
      <x:c r="G433" s="25" t="str">
        <x:v>http://arxiv.org/abs/2301.05578</x:v>
      </x:c>
      <x:c r="H433" s="25" t="str">
        <x:v>OpenAlex</x:v>
      </x:c>
      <x:c r="I433" s="25" t="str">
        <x:v>C8_AI_3D_authoring</x:v>
      </x:c>
      <x:c r="J433" s="25" t="str">
        <x:v>Exclude</x:v>
      </x:c>
      <x:c r="K433" s="25" t="str">
        <x:v>Exclude: topic mismatch</x:v>
      </x:c>
    </x:row>
    <x:row r="434">
      <x:c r="A434" s="20" t="str">
        <x:v>R0430</x:v>
      </x:c>
      <x:c r="B434" s="25" t="str">
        <x:v>Vulnerable Road Users and Connected Autonomous Vehicles Interaction: A Survey</x:v>
      </x:c>
      <x:c r="C434" s="25" t="n">
        <x:v>2022</x:v>
      </x:c>
      <x:c r="D434" s="25" t="str">
        <x:v>Angélica Reyes; Juan Antonio Guerrero Ibáñez</x:v>
      </x:c>
      <x:c r="E434" s="25" t="str">
        <x:v>Sensors</x:v>
      </x:c>
      <x:c r="F434" s="25" t="str">
        <x:v>10.3390/s22124614</x:v>
      </x:c>
      <x:c r="G434" s="25" t="str">
        <x:v>https://doi.org/10.3390/s22124614</x:v>
      </x:c>
      <x:c r="H434" s="25" t="str">
        <x:v>OpenAlex</x:v>
      </x:c>
      <x:c r="I434" s="25" t="str">
        <x:v>C2_interaction_signals</x:v>
      </x:c>
      <x:c r="J434" s="25" t="str">
        <x:v>Exclude</x:v>
      </x:c>
      <x:c r="K434" s="25" t="str">
        <x:v>Exclude: adjacent/redundant or insufficiently theory-generative for DC1</x:v>
      </x:c>
    </x:row>
    <x:row r="435">
      <x:c r="A435" s="20" t="str">
        <x:v>R0431</x:v>
      </x:c>
      <x:c r="B435" s="25" t="str">
        <x:v>A Constant Frame of Reference for Sociometric Research: Part II. Experiment and Inference</x:v>
      </x:c>
      <x:c r="C435" s="25" t="n">
        <x:v>1944</x:v>
      </x:c>
      <x:c r="D435" s="25" t="str">
        <x:v>Urie Bronfenbrenner</x:v>
      </x:c>
      <x:c r="E435" s="25" t="str">
        <x:v>Sociometry</x:v>
      </x:c>
      <x:c r="F435" s="25" t="str">
        <x:v>10.2307/2785536</x:v>
      </x:c>
      <x:c r="G435" s="25" t="str">
        <x:v>https://doi.org/10.2307/2785536</x:v>
      </x:c>
      <x:c r="H435" s="25" t="str">
        <x:v>Crossref</x:v>
      </x:c>
      <x:c r="I435" s="25" t="str">
        <x:v>C17_3D_gesture_ambiguity</x:v>
      </x:c>
      <x:c r="J435" s="25" t="str">
        <x:v>Exclude</x:v>
      </x:c>
      <x:c r="K435" s="25" t="str">
        <x:v>Exclude: topic mismatch</x:v>
      </x:c>
    </x:row>
    <x:row r="436">
      <x:c r="A436" s="20" t="str">
        <x:v>R0432</x:v>
      </x:c>
      <x:c r="B436" s="25" t="str">
        <x:v>Goal Reasoning: Foundations, Emerging Applications, and Prospects</x:v>
      </x:c>
      <x:c r="C436" s="25" t="n">
        <x:v>2018</x:v>
      </x:c>
      <x:c r="D436" s="25" t="str">
        <x:v>David W. Aha</x:v>
      </x:c>
      <x:c r="E436" s="25" t="str">
        <x:v>AI Magazine</x:v>
      </x:c>
      <x:c r="F436" s="25" t="str">
        <x:v>10.1609/aimag.v39i2.2800</x:v>
      </x:c>
      <x:c r="G436" s="25" t="str">
        <x:v>https://doi.org/10.1609/aimag.v39i2.2800</x:v>
      </x:c>
      <x:c r="H436" s="25" t="str">
        <x:v>OpenAlex</x:v>
      </x:c>
      <x:c r="I436" s="25" t="str">
        <x:v>C15_proactive_interruption</x:v>
      </x:c>
      <x:c r="J436" s="25" t="str">
        <x:v>Exclude</x:v>
      </x:c>
      <x:c r="K436" s="25" t="str">
        <x:v>Exclude: adjacent/redundant or insufficiently theory-generative for DC1</x:v>
      </x:c>
    </x:row>
    <x:row r="437">
      <x:c r="A437" s="20" t="str">
        <x:v>R0433</x:v>
      </x:c>
      <x:c r="B437" s="25" t="str">
        <x:v>Revisiting Human-Agent Communication: The Importance of Joint Co-construction and Understanding Mental States</x:v>
      </x:c>
      <x:c r="C437" s="25" t="n">
        <x:v>2021</x:v>
      </x:c>
      <x:c r="D437" s="25" t="str">
        <x:v>Stefan Kopp; Nicole C. Krämer</x:v>
      </x:c>
      <x:c r="E437" s="25" t="str">
        <x:v>Frontiers in Psychology</x:v>
      </x:c>
      <x:c r="F437" s="25" t="str">
        <x:v>10.3389/fpsyg.2021.580955</x:v>
      </x:c>
      <x:c r="G437" s="25" t="str">
        <x:v>https://doi.org/10.3389/fpsyg.2021.580955</x:v>
      </x:c>
      <x:c r="H437" s="25" t="str">
        <x:v>OpenAlex</x:v>
      </x:c>
      <x:c r="I437" s="25" t="str">
        <x:v>C12_common_ground_repair</x:v>
      </x:c>
      <x:c r="J437" s="25" t="str">
        <x:v>Exclude</x:v>
      </x:c>
      <x:c r="K437" s="25" t="str">
        <x:v>Exclude: topic mismatch</x:v>
      </x:c>
    </x:row>
    <x:row r="438">
      <x:c r="A438" s="20" t="str">
        <x:v>R0434</x:v>
      </x:c>
      <x:c r="B438" s="25" t="str">
        <x:v>Advances in diffusion models for image data augmentation: a review of methods, models, evaluation metrics and future research directions</x:v>
      </x:c>
      <x:c r="C438" s="25" t="n">
        <x:v>2025</x:v>
      </x:c>
      <x:c r="D438" s="25" t="str">
        <x:v>Panagiotis Alimisis; Ioannis Mademlis; Panagiotis Radoglou‐Grammatikis; Panagiotis Sarigiannidis; Georgios Th. Papadopoulos</x:v>
      </x:c>
      <x:c r="E438" s="25" t="str">
        <x:v>Artificial Intelligence Review</x:v>
      </x:c>
      <x:c r="F438" s="25" t="str">
        <x:v>10.1007/s10462-025-11116-x</x:v>
      </x:c>
      <x:c r="G438" s="25" t="str">
        <x:v>https://doi.org/10.1007/s10462-025-11116-x</x:v>
      </x:c>
      <x:c r="H438" s="25" t="str">
        <x:v>OpenAlex</x:v>
      </x:c>
      <x:c r="I438" s="25" t="str">
        <x:v>C8_AI_3D_authoring</x:v>
      </x:c>
      <x:c r="J438" s="25" t="str">
        <x:v>Exclude</x:v>
      </x:c>
      <x:c r="K438" s="25" t="str">
        <x:v>Exclude: adjacent/redundant or insufficiently theory-generative for DC1</x:v>
      </x:c>
    </x:row>
    <x:row r="439">
      <x:c r="A439" s="20" t="str">
        <x:v>R0435</x:v>
      </x:c>
      <x:c r="B439" s="25" t="str">
        <x:v>Memory Manipulations in Extended Reality</x:v>
      </x:c>
      <x:c r="C439" s="25" t="n">
        <x:v>2023</x:v>
      </x:c>
      <x:c r="D439" s="25" t="str">
        <x:v>Elise Bonnail; Wen-Jie Tseng; Mark McGill; Éric Lecolinet; Samuel Huron; Jan Gugenheimer</x:v>
      </x:c>
      <x:c r="E439" s="25" t="str"/>
      <x:c r="F439" s="25" t="str">
        <x:v>10.1145/3544548.3580988</x:v>
      </x:c>
      <x:c r="G439" s="25" t="str">
        <x:v>https://doi.org/10.1145/3544548.3580988</x:v>
      </x:c>
      <x:c r="H439" s="25" t="str">
        <x:v>OpenAlex</x:v>
      </x:c>
      <x:c r="I439" s="25" t="str">
        <x:v>C1_3D_mental_models</x:v>
      </x:c>
      <x:c r="J439" s="25" t="str">
        <x:v>Exclude</x:v>
      </x:c>
      <x:c r="K439" s="25" t="str">
        <x:v>Exclude: adjacent/redundant or insufficiently theory-generative for DC1</x:v>
      </x:c>
    </x:row>
    <x:row r="440">
      <x:c r="A440" s="20" t="str">
        <x:v>R0436</x:v>
      </x:c>
      <x:c r="B440" s="25" t="str">
        <x:v>Multimodal Natural Human–Computer Interfaces for Computer-Aided Design: A Review Paper</x:v>
      </x:c>
      <x:c r="C440" s="25" t="n">
        <x:v>2022</x:v>
      </x:c>
      <x:c r="D440" s="25" t="str">
        <x:v>Hongwei Niu; Cees van Leeuwen; Jia Hao; Guoxin Wang; Thomas Lachmann</x:v>
      </x:c>
      <x:c r="E440" s="25" t="str">
        <x:v>Applied Sciences</x:v>
      </x:c>
      <x:c r="F440" s="25" t="str">
        <x:v>10.3390/app12136510</x:v>
      </x:c>
      <x:c r="G440" s="25" t="str">
        <x:v>https://doi.org/10.3390/app12136510</x:v>
      </x:c>
      <x:c r="H440" s="25" t="str">
        <x:v>OpenAlex</x:v>
      </x:c>
      <x:c r="I440" s="25" t="str">
        <x:v>C13_CAD_design_intent</x:v>
      </x:c>
      <x:c r="J440" s="25" t="str">
        <x:v>Exclude</x:v>
      </x:c>
      <x:c r="K440" s="25" t="str">
        <x:v>Exclude: adjacent/redundant or insufficiently theory-generative for DC1</x:v>
      </x:c>
    </x:row>
    <x:row r="441">
      <x:c r="A441" s="20" t="str">
        <x:v>R0437</x:v>
      </x:c>
      <x:c r="B441" s="25" t="str">
        <x:v>Interactive activity recognition and prompting to assist people with cognitive disabilities</x:v>
      </x:c>
      <x:c r="C441" s="25" t="n">
        <x:v>2012</x:v>
      </x:c>
      <x:c r="D441" s="25" t="str">
        <x:v>Yi Chu; Young Chol Song; Richard Levinson; Henry Kautz</x:v>
      </x:c>
      <x:c r="E441" s="25" t="str">
        <x:v>Journal of Ambient Intelligence and Smart Environments</x:v>
      </x:c>
      <x:c r="F441" s="25" t="str">
        <x:v>10.3233/ais-2012-0168</x:v>
      </x:c>
      <x:c r="G441" s="25" t="str">
        <x:v>https://doi.org/10.3233/ais-2012-0168</x:v>
      </x:c>
      <x:c r="H441" s="25" t="str">
        <x:v>OpenAlex</x:v>
      </x:c>
      <x:c r="I441" s="25" t="str">
        <x:v>C11_hierarchical_goal_recognition</x:v>
      </x:c>
      <x:c r="J441" s="25" t="str">
        <x:v>Exclude</x:v>
      </x:c>
      <x:c r="K441" s="25" t="str">
        <x:v>Exclude: topic mismatch</x:v>
      </x:c>
    </x:row>
    <x:row r="442">
      <x:c r="A442" s="20" t="str">
        <x:v>R0438</x:v>
      </x:c>
      <x:c r="B442" s="25" t="str">
        <x:v>Trust as Extended Control: Human-Machine Interactions as Active Inference</x:v>
      </x:c>
      <x:c r="C442" s="25" t="n">
        <x:v>2021</x:v>
      </x:c>
      <x:c r="D442" s="25" t="str">
        <x:v>Félix Schoeller; Mark Miller; Roy Salomon; Karl Friston</x:v>
      </x:c>
      <x:c r="E442" s="25" t="str">
        <x:v>Frontiers in Systems Neuroscience</x:v>
      </x:c>
      <x:c r="F442" s="25" t="str">
        <x:v>10.3389/fnsys.2021.669810</x:v>
      </x:c>
      <x:c r="G442" s="25" t="str">
        <x:v>https://doi.org/10.3389/fnsys.2021.669810</x:v>
      </x:c>
      <x:c r="H442" s="25" t="str">
        <x:v>OpenAlex</x:v>
      </x:c>
      <x:c r="I442" s="25" t="str">
        <x:v>C4_uncertainty_shared_autonomy</x:v>
      </x:c>
      <x:c r="J442" s="25" t="str">
        <x:v>Exclude</x:v>
      </x:c>
      <x:c r="K442" s="25" t="str">
        <x:v>Exclude: topic mismatch</x:v>
      </x:c>
    </x:row>
    <x:row r="443">
      <x:c r="A443" s="20" t="str">
        <x:v>R0439</x:v>
      </x:c>
      <x:c r="B443" s="25" t="str">
        <x:v>3D sketching for aesthetic design using fully free-form deformation features</x:v>
      </x:c>
      <x:c r="C443" s="25" t="n">
        <x:v>2005</x:v>
      </x:c>
      <x:c r="D443" s="25" t="str">
        <x:v>Vincent Cheutet; Chiara Eva Catalano; Jean-Philippe Pernot; Bianca Falcidieno; F. Giannini; Jean-Claude Léon</x:v>
      </x:c>
      <x:c r="E443" s="25" t="str">
        <x:v>Computers &amp; Graphics</x:v>
      </x:c>
      <x:c r="F443" s="25" t="str">
        <x:v>10.1016/j.cag.2005.09.009</x:v>
      </x:c>
      <x:c r="G443" s="25" t="str">
        <x:v>https://doi.org/10.1016/j.cag.2005.09.009</x:v>
      </x:c>
      <x:c r="H443" s="25" t="str">
        <x:v>OpenAlex</x:v>
      </x:c>
      <x:c r="I443" s="25" t="str">
        <x:v>C13_CAD_design_intent</x:v>
      </x:c>
      <x:c r="J443" s="25" t="str">
        <x:v>Include</x:v>
      </x:c>
      <x:c r="K443" s="25" t="str">
        <x:v>Included in focused synthesis</x:v>
      </x:c>
    </x:row>
    <x:row r="444">
      <x:c r="A444" s="20" t="str">
        <x:v>R0440</x:v>
      </x:c>
      <x:c r="B444" s="25" t="str">
        <x:v>Building user interfaces by direct manipulation</x:v>
      </x:c>
      <x:c r="C444" s="25" t="n">
        <x:v>1988</x:v>
      </x:c>
      <x:c r="D444" s="25" t="str">
        <x:v>Luca Cardelli</x:v>
      </x:c>
      <x:c r="E444" s="25" t="str">
        <x:v>Proceedings of the 1st annual ACM SIGGRAPH symposium on User Interface Software</x:v>
      </x:c>
      <x:c r="F444" s="25" t="str">
        <x:v>10.1145/62402.62428</x:v>
      </x:c>
      <x:c r="G444" s="25" t="str">
        <x:v>https://doi.org/10.1145/62402.62428</x:v>
      </x:c>
      <x:c r="H444" s="25" t="str">
        <x:v>Crossref</x:v>
      </x:c>
      <x:c r="I444" s="25" t="str">
        <x:v>C1_3D_mental_models</x:v>
      </x:c>
      <x:c r="J444" s="25" t="str">
        <x:v>Exclude</x:v>
      </x:c>
      <x:c r="K444" s="25" t="str">
        <x:v>Exclude: adjacent/redundant or insufficiently theory-generative for DC1</x:v>
      </x:c>
    </x:row>
    <x:row r="445">
      <x:c r="A445" s="20" t="str">
        <x:v>R0441</x:v>
      </x:c>
      <x:c r="B445" s="25" t="str">
        <x:v>ContextCam: Bridging Context Awareness with Creative Human-AI Image Co-Creation</x:v>
      </x:c>
      <x:c r="C445" s="25" t="n">
        <x:v>2024</x:v>
      </x:c>
      <x:c r="D445" s="25" t="str">
        <x:v>Xianzhe Fan; Zihan Wu; Chun Yu; Fenggui Rao; Weinan Shi; Teng Tu</x:v>
      </x:c>
      <x:c r="E445" s="25" t="str">
        <x:v>Proceedings of the CHI Conference on Human Factors in Computing Systems</x:v>
      </x:c>
      <x:c r="F445" s="25" t="str">
        <x:v>10.1145/3613904.3642129</x:v>
      </x:c>
      <x:c r="G445" s="25" t="str">
        <x:v>https://doi.org/10.1145/3613904.3642129</x:v>
      </x:c>
      <x:c r="H445" s="25" t="str">
        <x:v>Crossref</x:v>
      </x:c>
      <x:c r="I445" s="25" t="str">
        <x:v>C7_creative_agency</x:v>
      </x:c>
      <x:c r="J445" s="25" t="str">
        <x:v>Exclude</x:v>
      </x:c>
      <x:c r="K445" s="25" t="str">
        <x:v>Exclude: adjacent/redundant or insufficiently theory-generative for DC1</x:v>
      </x:c>
    </x:row>
    <x:row r="446">
      <x:c r="A446" s="20" t="str">
        <x:v>R0442</x:v>
      </x:c>
      <x:c r="B446" s="25" t="str">
        <x:v>Episodic, semantic and procedural memory in a case of amnesia at an early age</x:v>
      </x:c>
      <x:c r="C446" s="25" t="n">
        <x:v>1987</x:v>
      </x:c>
      <x:c r="D446" s="25" t="str">
        <x:v>A.L. Ostergaard</x:v>
      </x:c>
      <x:c r="E446" s="25" t="str">
        <x:v>Neuropsychologia</x:v>
      </x:c>
      <x:c r="F446" s="25" t="str">
        <x:v>10.1016/0028-3932(87)90023-6</x:v>
      </x:c>
      <x:c r="G446" s="25" t="str">
        <x:v>https://doi.org/10.1016/0028-3932(87)90023-6</x:v>
      </x:c>
      <x:c r="H446" s="25" t="str">
        <x:v>Crossref</x:v>
      </x:c>
      <x:c r="I446" s="25" t="str">
        <x:v>C5_agent_memory</x:v>
      </x:c>
      <x:c r="J446" s="25" t="str">
        <x:v>Exclude</x:v>
      </x:c>
      <x:c r="K446" s="25" t="str">
        <x:v>Exclude: adjacent/redundant or insufficiently theory-generative for DC1</x:v>
      </x:c>
    </x:row>
    <x:row r="447">
      <x:c r="A447" s="20" t="str">
        <x:v>R0443</x:v>
      </x:c>
      <x:c r="B447" s="25" t="str">
        <x:v>MindTalker: Navigating the Complexities of AI-Enhanced Social Engagement for People with Early-Stage Dementia</x:v>
      </x:c>
      <x:c r="C447" s="25" t="n">
        <x:v>2024</x:v>
      </x:c>
      <x:c r="D447" s="25" t="str">
        <x:v>Anna Xygkou; Chee Siang Ang; Panote Siriaraya; Jonasz Piotr Kopecki; Alexandra Covaci; Eiman Kanjo; Wan Jou She</x:v>
      </x:c>
      <x:c r="E447" s="25" t="str"/>
      <x:c r="F447" s="25" t="str">
        <x:v>10.1145/3613904.3642538</x:v>
      </x:c>
      <x:c r="G447" s="25" t="str">
        <x:v>https://doi.org/10.1145/3613904.3642538</x:v>
      </x:c>
      <x:c r="H447" s="25" t="str">
        <x:v>OpenAlex</x:v>
      </x:c>
      <x:c r="I447" s="25" t="str">
        <x:v>C12_common_ground_repair</x:v>
      </x:c>
      <x:c r="J447" s="25" t="str">
        <x:v>Exclude</x:v>
      </x:c>
      <x:c r="K447" s="25" t="str">
        <x:v>Exclude: topic mismatch</x:v>
      </x:c>
    </x:row>
    <x:row r="448">
      <x:c r="A448" s="20" t="str">
        <x:v>R0444</x:v>
      </x:c>
      <x:c r="B448" s="25" t="str">
        <x:v>Understanding and Dealing With Usability Side Effects of Intelligent Processing</x:v>
      </x:c>
      <x:c r="C448" s="25" t="n">
        <x:v>2009</x:v>
      </x:c>
      <x:c r="D448" s="25" t="str">
        <x:v>Anthony Jameson</x:v>
      </x:c>
      <x:c r="E448" s="25" t="str">
        <x:v>AI Magazine</x:v>
      </x:c>
      <x:c r="F448" s="25" t="str">
        <x:v>10.1609/aimag.v30i4.2274</x:v>
      </x:c>
      <x:c r="G448" s="25" t="str">
        <x:v>https://doi.org/10.1609/aimag.v30i4.2274</x:v>
      </x:c>
      <x:c r="H448" s="25" t="str">
        <x:v>OpenAlex</x:v>
      </x:c>
      <x:c r="I448" s="25" t="str">
        <x:v>C15_proactive_interruption</x:v>
      </x:c>
      <x:c r="J448" s="25" t="str">
        <x:v>Exclude</x:v>
      </x:c>
      <x:c r="K448" s="25" t="str">
        <x:v>Exclude: topic mismatch</x:v>
      </x:c>
    </x:row>
    <x:row r="449">
      <x:c r="A449" s="20" t="str">
        <x:v>R0445</x:v>
      </x:c>
      <x:c r="B449" s="25" t="str">
        <x:v>How do you Converse with an Analytical Chatbot? Revisiting Gricean Maxims for Designing Analytical Conversational Behavior</x:v>
      </x:c>
      <x:c r="C449" s="25" t="n">
        <x:v>2022</x:v>
      </x:c>
      <x:c r="D449" s="25" t="str">
        <x:v>Vidya Setlur; Melanie Tory</x:v>
      </x:c>
      <x:c r="E449" s="25" t="str">
        <x:v>CHI Conference on Human Factors in Computing Systems</x:v>
      </x:c>
      <x:c r="F449" s="25" t="str">
        <x:v>10.1145/3491102.3501972</x:v>
      </x:c>
      <x:c r="G449" s="25" t="str">
        <x:v>https://doi.org/10.1145/3491102.3501972</x:v>
      </x:c>
      <x:c r="H449" s="25" t="str">
        <x:v>OpenAlex</x:v>
      </x:c>
      <x:c r="I449" s="25" t="str">
        <x:v>C6_frontend_GUI_intent</x:v>
      </x:c>
      <x:c r="J449" s="25" t="str">
        <x:v>Exclude</x:v>
      </x:c>
      <x:c r="K449" s="25" t="str">
        <x:v>Exclude: adjacent/redundant or insufficiently theory-generative for DC1</x:v>
      </x:c>
    </x:row>
    <x:row r="450">
      <x:c r="A450" s="20" t="str">
        <x:v>R0446</x:v>
      </x:c>
      <x:c r="B450" s="25" t="str">
        <x:v>Human-machine interaction as key technology for driverless driving - A trajectory-based shared autonomy control approach</x:v>
      </x:c>
      <x:c r="C450" s="25" t="n">
        <x:v>2012</x:v>
      </x:c>
      <x:c r="D450" s="25" t="str">
        <x:v>S. Gnatzig; F. Schuller; M. Lienkamp</x:v>
      </x:c>
      <x:c r="E450" s="25" t="str">
        <x:v>2012 IEEE RO-MAN: The 21st IEEE International Symposium on Robot and Human Interactive Communication</x:v>
      </x:c>
      <x:c r="F450" s="25" t="str">
        <x:v>10.1109/roman.2012.6343867</x:v>
      </x:c>
      <x:c r="G450" s="25" t="str">
        <x:v>https://doi.org/10.1109/roman.2012.6343867</x:v>
      </x:c>
      <x:c r="H450" s="25" t="str">
        <x:v>Crossref</x:v>
      </x:c>
      <x:c r="I450" s="25" t="str">
        <x:v>C4_uncertainty_shared_autonomy</x:v>
      </x:c>
      <x:c r="J450" s="25" t="str">
        <x:v>Exclude</x:v>
      </x:c>
      <x:c r="K450" s="25" t="str">
        <x:v>Exclude: adjacent/redundant or insufficiently theory-generative for DC1</x:v>
      </x:c>
    </x:row>
    <x:row r="451">
      <x:c r="A451" s="20" t="str">
        <x:v>R0447</x:v>
      </x:c>
      <x:c r="B451" s="25" t="str">
        <x:v>Pedagogical framework for cultivating children's data agency and creative abilities in the age of AI</x:v>
      </x:c>
      <x:c r="C451" s="25" t="n">
        <x:v>2024</x:v>
      </x:c>
      <x:c r="D451" s="25" t="str">
        <x:v>Juho Kahila; Henriikka Vartiainen; Matti Tedre; Eetu Arkko; Anssi Lin; Nicolas Pope; Ilkka Jormanainen; Teemu Valtonen</x:v>
      </x:c>
      <x:c r="E451" s="25" t="str">
        <x:v>Informatics in Education</x:v>
      </x:c>
      <x:c r="F451" s="25" t="str">
        <x:v>10.15388/infedu.2024.15</x:v>
      </x:c>
      <x:c r="G451" s="25" t="str">
        <x:v>https://doi.org/10.15388/infedu.2024.15</x:v>
      </x:c>
      <x:c r="H451" s="25" t="str">
        <x:v>OpenAlex</x:v>
      </x:c>
      <x:c r="I451" s="25" t="str">
        <x:v>C14_agency_ownership</x:v>
      </x:c>
      <x:c r="J451" s="25" t="str">
        <x:v>Exclude</x:v>
      </x:c>
      <x:c r="K451" s="25" t="str">
        <x:v>Exclude: adjacent/redundant or insufficiently theory-generative for DC1</x:v>
      </x:c>
    </x:row>
    <x:row r="452">
      <x:c r="A452" s="20" t="str">
        <x:v>R0448</x:v>
      </x:c>
      <x:c r="B452" s="25" t="str">
        <x:v>Responsible AI and the Arts: The Ethical and Legal Implications of AI in the Arts and Creative Industries</x:v>
      </x:c>
      <x:c r="C452" s="25" t="n">
        <x:v>2023</x:v>
      </x:c>
      <x:c r="D452" s="25" t="str">
        <x:v>Anna-Maria Piskopani; Alan Chamberlain; Carolyn Ten Holter</x:v>
      </x:c>
      <x:c r="E452" s="25" t="str"/>
      <x:c r="F452" s="25" t="str">
        <x:v>10.1145/3597512.3597528</x:v>
      </x:c>
      <x:c r="G452" s="25" t="str">
        <x:v>https://doi.org/10.1145/3597512.3597528</x:v>
      </x:c>
      <x:c r="H452" s="25" t="str">
        <x:v>OpenAlex</x:v>
      </x:c>
      <x:c r="I452" s="25" t="str">
        <x:v>C14_agency_ownership</x:v>
      </x:c>
      <x:c r="J452" s="25" t="str">
        <x:v>Exclude</x:v>
      </x:c>
      <x:c r="K452" s="25" t="str">
        <x:v>Exclude: adjacent/redundant or insufficiently theory-generative for DC1</x:v>
      </x:c>
    </x:row>
    <x:row r="453">
      <x:c r="A453" s="20" t="str">
        <x:v>R0449</x:v>
      </x:c>
      <x:c r="B453" s="25" t="str">
        <x:v>Integrated product relationships management: a model to enable concurrent product design and assembly sequence planning</x:v>
      </x:c>
      <x:c r="C453" s="25" t="n">
        <x:v>2011</x:v>
      </x:c>
      <x:c r="D453" s="25" t="str">
        <x:v>Frédéric Demoly; Xiu-Tian Yan; Benoît Eynard; Samuel Gomes; Dimitris Kiritsis</x:v>
      </x:c>
      <x:c r="E453" s="25" t="str">
        <x:v>Journal of Engineering Design</x:v>
      </x:c>
      <x:c r="F453" s="25" t="str">
        <x:v>10.1080/09544828.2011.629317</x:v>
      </x:c>
      <x:c r="G453" s="25" t="str">
        <x:v>https://doi.org/10.1080/09544828.2011.629317</x:v>
      </x:c>
      <x:c r="H453" s="25" t="str">
        <x:v>OpenAlex</x:v>
      </x:c>
      <x:c r="I453" s="25" t="str">
        <x:v>C13_CAD_design_intent</x:v>
      </x:c>
      <x:c r="J453" s="25" t="str">
        <x:v>Exclude</x:v>
      </x:c>
      <x:c r="K453" s="25" t="str">
        <x:v>Exclude: topic mismatch</x:v>
      </x:c>
    </x:row>
    <x:row r="454">
      <x:c r="A454" s="20" t="str">
        <x:v>R0450</x:v>
      </x:c>
      <x:c r="B454" s="25" t="str">
        <x:v>A GPT-Powered Assistant for Real-Time Interaction with Building Information Models</x:v>
      </x:c>
      <x:c r="C454" s="25" t="n">
        <x:v>2024</x:v>
      </x:c>
      <x:c r="D454" s="25" t="str">
        <x:v>David Fernandes; Sahej Garg; Matthew Nikkel; Gürşans Güven</x:v>
      </x:c>
      <x:c r="E454" s="25" t="str">
        <x:v>Buildings</x:v>
      </x:c>
      <x:c r="F454" s="25" t="str">
        <x:v>10.3390/buildings14082499</x:v>
      </x:c>
      <x:c r="G454" s="25" t="str">
        <x:v>https://doi.org/10.3390/buildings14082499</x:v>
      </x:c>
      <x:c r="H454" s="25" t="str">
        <x:v>OpenAlex</x:v>
      </x:c>
      <x:c r="I454" s="25" t="str">
        <x:v>C11_hierarchical_goal_recognition</x:v>
      </x:c>
      <x:c r="J454" s="25" t="str">
        <x:v>Exclude</x:v>
      </x:c>
      <x:c r="K454" s="25" t="str">
        <x:v>Exclude: adjacent/redundant or insufficiently theory-generative for DC1</x:v>
      </x:c>
    </x:row>
    <x:row r="455">
      <x:c r="A455" s="20" t="str">
        <x:v>R0451</x:v>
      </x:c>
      <x:c r="B455" s="25" t="str">
        <x:v>AI in Learning: Designing the Future</x:v>
      </x:c>
      <x:c r="C455" s="25" t="n">
        <x:v>2022</x:v>
      </x:c>
      <x:c r="D455" s="25" t="str">
        <x:v>Hannele Niemi; Roy Pea; Yu Lu</x:v>
      </x:c>
      <x:c r="E455" s="25" t="str"/>
      <x:c r="F455" s="25" t="str">
        <x:v>10.1007/978-3-031-09687-7</x:v>
      </x:c>
      <x:c r="G455" s="25" t="str">
        <x:v>https://doi.org/10.1007/978-3-031-09687-7</x:v>
      </x:c>
      <x:c r="H455" s="25" t="str">
        <x:v>OpenAlex</x:v>
      </x:c>
      <x:c r="I455" s="25" t="str">
        <x:v>C8_AI_3D_authoring</x:v>
      </x:c>
      <x:c r="J455" s="25" t="str">
        <x:v>Exclude</x:v>
      </x:c>
      <x:c r="K455" s="25" t="str">
        <x:v>Exclude: topic mismatch</x:v>
      </x:c>
    </x:row>
    <x:row r="456">
      <x:c r="A456" s="20" t="str">
        <x:v>R0452</x:v>
      </x:c>
      <x:c r="B456" s="25" t="str">
        <x:v>Increased sensitivity to differentially diagnostic answers using familiar materials: Implications for confirmation bias</x:v>
      </x:c>
      <x:c r="C456" s="25" t="n">
        <x:v>2006</x:v>
      </x:c>
      <x:c r="D456" s="25" t="str">
        <x:v>Craig R. M. McKenzie</x:v>
      </x:c>
      <x:c r="E456" s="25" t="str">
        <x:v>Memory &amp;amp; Cognition</x:v>
      </x:c>
      <x:c r="F456" s="25" t="str">
        <x:v>10.3758/bf03193581</x:v>
      </x:c>
      <x:c r="G456" s="25" t="str">
        <x:v>https://doi.org/10.3758/bf03193581</x:v>
      </x:c>
      <x:c r="H456" s="25" t="str">
        <x:v>Crossref</x:v>
      </x:c>
      <x:c r="I456" s="25" t="str">
        <x:v>C16_memory_conflict_bias</x:v>
      </x:c>
      <x:c r="J456" s="25" t="str">
        <x:v>Exclude</x:v>
      </x:c>
      <x:c r="K456" s="25" t="str">
        <x:v>Exclude: topic mismatch</x:v>
      </x:c>
    </x:row>
    <x:row r="457">
      <x:c r="A457" s="20" t="str">
        <x:v>R0453</x:v>
      </x:c>
      <x:c r="B457" s="25" t="str">
        <x:v>Interactive Execution Monitoring of Agent Teams</x:v>
      </x:c>
      <x:c r="C457" s="25" t="n">
        <x:v>2003</x:v>
      </x:c>
      <x:c r="D457" s="25" t="str">
        <x:v>David E. Wilkins; T. J. Lee; Pauline M. Berry</x:v>
      </x:c>
      <x:c r="E457" s="25" t="str">
        <x:v>Journal of Artificial Intelligence Research</x:v>
      </x:c>
      <x:c r="F457" s="25" t="str">
        <x:v>10.1613/jair.1112</x:v>
      </x:c>
      <x:c r="G457" s="25" t="str">
        <x:v>https://doi.org/10.1613/jair.1112</x:v>
      </x:c>
      <x:c r="H457" s="25" t="str">
        <x:v>OpenAlex</x:v>
      </x:c>
      <x:c r="I457" s="25" t="str">
        <x:v>C6_frontend_GUI_intent</x:v>
      </x:c>
      <x:c r="J457" s="25" t="str">
        <x:v>Exclude</x:v>
      </x:c>
      <x:c r="K457" s="25" t="str">
        <x:v>Exclude: topic mismatch</x:v>
      </x:c>
    </x:row>
    <x:row r="458">
      <x:c r="A458" s="20" t="str">
        <x:v>R0454</x:v>
      </x:c>
      <x:c r="B458" s="25" t="str">
        <x:v>Towards an AI‐driven business development framework: A multi‐case study</x:v>
      </x:c>
      <x:c r="C458" s="25" t="n">
        <x:v>2022</x:v>
      </x:c>
      <x:c r="D458" s="25" t="str">
        <x:v>Meenu Mary John; Helena Holmström Olsson; Jan Bosch</x:v>
      </x:c>
      <x:c r="E458" s="25" t="str">
        <x:v>Journal of Software Evolution and Process</x:v>
      </x:c>
      <x:c r="F458" s="25" t="str">
        <x:v>10.1002/smr.2432</x:v>
      </x:c>
      <x:c r="G458" s="25" t="str">
        <x:v>https://doi.org/10.1002/smr.2432</x:v>
      </x:c>
      <x:c r="H458" s="25" t="str">
        <x:v>OpenAlex</x:v>
      </x:c>
      <x:c r="I458" s="25" t="str">
        <x:v>C12_common_ground_repair</x:v>
      </x:c>
      <x:c r="J458" s="25" t="str">
        <x:v>Exclude</x:v>
      </x:c>
      <x:c r="K458" s="25" t="str">
        <x:v>Exclude: topic mismatch</x:v>
      </x:c>
    </x:row>
    <x:row r="459">
      <x:c r="A459" s="20" t="str">
        <x:v>R0455</x:v>
      </x:c>
      <x:c r="B459" s="25" t="str">
        <x:v>Trust Measurement in Human-Autonomy Teams: Development of a Conceptual Toolkit</x:v>
      </x:c>
      <x:c r="C459" s="25" t="n">
        <x:v>2022</x:v>
      </x:c>
      <x:c r="D459" s="25" t="str">
        <x:v>Andrea Krausman; Catherine Neubauer; Daniel E. Forster; Shan Lakhmani; Anthony L. Baker; Sean M. Fitzhugh; Gregory M. Gremillion; Julia L. Wright; J. Stanley Metcalfe; Kristin E. Schaefer</x:v>
      </x:c>
      <x:c r="E459" s="25" t="str">
        <x:v>ACM Transactions on Human-Robot Interaction</x:v>
      </x:c>
      <x:c r="F459" s="25" t="str">
        <x:v>10.1145/3530874</x:v>
      </x:c>
      <x:c r="G459" s="25" t="str">
        <x:v>https://doi.org/10.1145/3530874</x:v>
      </x:c>
      <x:c r="H459" s="25" t="str">
        <x:v>OpenAlex</x:v>
      </x:c>
      <x:c r="I459" s="25" t="str">
        <x:v>C4_uncertainty_shared_autonomy</x:v>
      </x:c>
      <x:c r="J459" s="25" t="str">
        <x:v>Exclude</x:v>
      </x:c>
      <x:c r="K459" s="25" t="str">
        <x:v>Exclude: adjacent/redundant or insufficiently theory-generative for DC1</x:v>
      </x:c>
    </x:row>
    <x:row r="460">
      <x:c r="A460" s="20" t="str">
        <x:v>R0456</x:v>
      </x:c>
      <x:c r="B460" s="25" t="str">
        <x:v>Proactive Robots With the Perception of Nonverbal Human Behavior: A Review</x:v>
      </x:c>
      <x:c r="C460" s="25" t="n">
        <x:v>2019</x:v>
      </x:c>
      <x:c r="D460" s="25" t="str">
        <x:v>Chapa Sirithunge; A. G. Buddhika P. Jayasekara; D. P. Chandima</x:v>
      </x:c>
      <x:c r="E460" s="25" t="str">
        <x:v>IEEE Access</x:v>
      </x:c>
      <x:c r="F460" s="25" t="str">
        <x:v>10.1109/access.2019.2921986</x:v>
      </x:c>
      <x:c r="G460" s="25" t="str">
        <x:v>https://doi.org/10.1109/access.2019.2921986</x:v>
      </x:c>
      <x:c r="H460" s="25" t="str">
        <x:v>OpenAlex</x:v>
      </x:c>
      <x:c r="I460" s="25" t="str">
        <x:v>C15_proactive_interruption</x:v>
      </x:c>
      <x:c r="J460" s="25" t="str">
        <x:v>Exclude</x:v>
      </x:c>
      <x:c r="K460" s="25" t="str">
        <x:v>Exclude: adjacent/redundant or insufficiently theory-generative for DC1</x:v>
      </x:c>
    </x:row>
    <x:row r="461">
      <x:c r="A461" s="20" t="str">
        <x:v>R0457</x:v>
      </x:c>
      <x:c r="B461" s="25" t="str">
        <x:v>Shared Autonomy via Deep Reinforcement Learning</x:v>
      </x:c>
      <x:c r="C461" s="25" t="n">
        <x:v>2018</x:v>
      </x:c>
      <x:c r="D461" s="25" t="str">
        <x:v>Siddharth Reddy; Anca D. Dragan; Sergey Levine</x:v>
      </x:c>
      <x:c r="E461" s="25" t="str"/>
      <x:c r="F461" s="25" t="str">
        <x:v>10.15607/rss.2018.xiv.005</x:v>
      </x:c>
      <x:c r="G461" s="25" t="str">
        <x:v>https://doi.org/10.15607/rss.2018.xiv.005</x:v>
      </x:c>
      <x:c r="H461" s="25" t="str">
        <x:v>OpenAlex</x:v>
      </x:c>
      <x:c r="I461" s="25" t="str">
        <x:v>C4_uncertainty_shared_autonomy</x:v>
      </x:c>
      <x:c r="J461" s="25" t="str">
        <x:v>Exclude</x:v>
      </x:c>
      <x:c r="K461" s="25" t="str">
        <x:v>Exclude: adjacent/redundant or insufficiently theory-generative for DC1</x:v>
      </x:c>
    </x:row>
    <x:row r="462">
      <x:c r="A462" s="20" t="str">
        <x:v>R0458</x:v>
      </x:c>
      <x:c r="B462" s="25" t="str">
        <x:v>Towards automatic reconstruction of 3D city models tailored for urban flow simulations</x:v>
      </x:c>
      <x:c r="C462" s="25" t="n">
        <x:v>2022</x:v>
      </x:c>
      <x:c r="D462" s="25" t="str">
        <x:v>Ivan Pađen; Clara García‐Sánchez; Hugo Ledoux</x:v>
      </x:c>
      <x:c r="E462" s="25" t="str">
        <x:v>Frontiers in Built Environment</x:v>
      </x:c>
      <x:c r="F462" s="25" t="str">
        <x:v>10.3389/fbuil.2022.899332</x:v>
      </x:c>
      <x:c r="G462" s="25" t="str">
        <x:v>https://doi.org/10.3389/fbuil.2022.899332</x:v>
      </x:c>
      <x:c r="H462" s="25" t="str">
        <x:v>OpenAlex</x:v>
      </x:c>
      <x:c r="I462" s="25" t="str">
        <x:v>C13_CAD_design_intent</x:v>
      </x:c>
      <x:c r="J462" s="25" t="str">
        <x:v>Exclude</x:v>
      </x:c>
      <x:c r="K462" s="25" t="str">
        <x:v>Exclude: adjacent/redundant or insufficiently theory-generative for DC1</x:v>
      </x:c>
    </x:row>
    <x:row r="463">
      <x:c r="A463" s="20" t="str">
        <x:v>R0459</x:v>
      </x:c>
      <x:c r="B463" s="25" t="str">
        <x:v>Cognitive Interaction Analysis in Human–Robot Collaboration Using an Assembly Task</x:v>
      </x:c>
      <x:c r="C463" s="25" t="n">
        <x:v>2021</x:v>
      </x:c>
      <x:c r="D463" s="25" t="str">
        <x:v>Alejandro Chacón; Pere Ponsa; Cecilio Angulo</x:v>
      </x:c>
      <x:c r="E463" s="25" t="str">
        <x:v>Electronics</x:v>
      </x:c>
      <x:c r="F463" s="25" t="str">
        <x:v>10.3390/electronics10111317</x:v>
      </x:c>
      <x:c r="G463" s="25" t="str">
        <x:v>https://doi.org/10.3390/electronics10111317</x:v>
      </x:c>
      <x:c r="H463" s="25" t="str">
        <x:v>Crossref</x:v>
      </x:c>
      <x:c r="I463" s="25" t="str">
        <x:v>C18_video_intent_coding_VLM_annotation</x:v>
      </x:c>
      <x:c r="J463" s="25" t="str">
        <x:v>Exclude</x:v>
      </x:c>
      <x:c r="K463" s="25" t="str">
        <x:v>Exclude: adjacent/redundant or insufficiently theory-generative for DC1</x:v>
      </x:c>
    </x:row>
    <x:row r="464">
      <x:c r="A464" s="20" t="str">
        <x:v>R0460</x:v>
      </x:c>
      <x:c r="B464" s="25" t="str">
        <x:v>The influence of one memory retrieval on a subsequent memory retrieval</x:v>
      </x:c>
      <x:c r="C464" s="25" t="n">
        <x:v>1974</x:v>
      </x:c>
      <x:c r="D464" s="25" t="str">
        <x:v>Geoffrey R. Loftus; Elizabeth F. Loftus</x:v>
      </x:c>
      <x:c r="E464" s="25" t="str">
        <x:v>Memory &amp;amp; Cognition</x:v>
      </x:c>
      <x:c r="F464" s="25" t="str">
        <x:v>10.3758/bf03196906</x:v>
      </x:c>
      <x:c r="G464" s="25" t="str">
        <x:v>https://doi.org/10.3758/bf03196906</x:v>
      </x:c>
      <x:c r="H464" s="25" t="str">
        <x:v>Crossref</x:v>
      </x:c>
      <x:c r="I464" s="25" t="str">
        <x:v>C16_memory_conflict_bias</x:v>
      </x:c>
      <x:c r="J464" s="25" t="str">
        <x:v>Exclude</x:v>
      </x:c>
      <x:c r="K464" s="25" t="str">
        <x:v>Exclude: adjacent/redundant or insufficiently theory-generative for DC1</x:v>
      </x:c>
    </x:row>
    <x:row r="465">
      <x:c r="A465" s="20" t="str">
        <x:v>R0461</x:v>
      </x:c>
      <x:c r="B465" s="25" t="str">
        <x:v>Towards data-driven sustainable design: decision support based on knowledge discovery in disparate building data</x:v>
      </x:c>
      <x:c r="C465" s="25" t="n">
        <x:v>2018</x:v>
      </x:c>
      <x:c r="D465" s="25" t="str">
        <x:v>Ekaterina Petrova; Pieter Pauwels; Kjeld Svidt; Rasmus Lund Jensen</x:v>
      </x:c>
      <x:c r="E465" s="25" t="str">
        <x:v>Architectural Engineering and Design Management</x:v>
      </x:c>
      <x:c r="F465" s="25" t="str">
        <x:v>10.1080/17452007.2018.1530092</x:v>
      </x:c>
      <x:c r="G465" s="25" t="str">
        <x:v>https://doi.org/10.1080/17452007.2018.1530092</x:v>
      </x:c>
      <x:c r="H465" s="25" t="str">
        <x:v>OpenAlex</x:v>
      </x:c>
      <x:c r="I465" s="25" t="str">
        <x:v>C13_CAD_design_intent</x:v>
      </x:c>
      <x:c r="J465" s="25" t="str">
        <x:v>Exclude</x:v>
      </x:c>
      <x:c r="K465" s="25" t="str">
        <x:v>Exclude: adjacent/redundant or insufficiently theory-generative for DC1</x:v>
      </x:c>
    </x:row>
    <x:row r="466">
      <x:c r="A466" s="20" t="str">
        <x:v>R0462</x:v>
      </x:c>
      <x:c r="B466" s="25" t="str">
        <x:v>A Challenge-based Survey of E-recruitment Recommendation Systems</x:v>
      </x:c>
      <x:c r="C466" s="25" t="n">
        <x:v>2024</x:v>
      </x:c>
      <x:c r="D466" s="25" t="str">
        <x:v>Yoosof Mashayekhi; Nan Li; Bo Kang; Jefrey Lijffijt; Tijl De Bie</x:v>
      </x:c>
      <x:c r="E466" s="25" t="str">
        <x:v>ACM Computing Surveys</x:v>
      </x:c>
      <x:c r="F466" s="25" t="str">
        <x:v>10.1145/3659942</x:v>
      </x:c>
      <x:c r="G466" s="25" t="str">
        <x:v>https://doi.org/10.1145/3659942</x:v>
      </x:c>
      <x:c r="H466" s="25" t="str">
        <x:v>OpenAlex</x:v>
      </x:c>
      <x:c r="I466" s="25" t="str">
        <x:v>C5_agent_memory</x:v>
      </x:c>
      <x:c r="J466" s="25" t="str">
        <x:v>Exclude</x:v>
      </x:c>
      <x:c r="K466" s="25" t="str">
        <x:v>Exclude: adjacent/redundant or insufficiently theory-generative for DC1</x:v>
      </x:c>
    </x:row>
    <x:row r="467">
      <x:c r="A467" s="20" t="str">
        <x:v>R0463</x:v>
      </x:c>
      <x:c r="B467" s="25" t="str">
        <x:v>Interface Transparency Issues in Teleoperation</x:v>
      </x:c>
      <x:c r="C467" s="25" t="n">
        <x:v>2020</x:v>
      </x:c>
      <x:c r="D467" s="25" t="str">
        <x:v>Luís Almeida; Paulo Menezes; Jorge Dias</x:v>
      </x:c>
      <x:c r="E467" s="25" t="str">
        <x:v>Applied Sciences</x:v>
      </x:c>
      <x:c r="F467" s="25" t="str">
        <x:v>10.3390/app10186232</x:v>
      </x:c>
      <x:c r="G467" s="25" t="str">
        <x:v>https://doi.org/10.3390/app10186232</x:v>
      </x:c>
      <x:c r="H467" s="25" t="str">
        <x:v>OpenAlex</x:v>
      </x:c>
      <x:c r="I467" s="25" t="str">
        <x:v>C1_3D_mental_models</x:v>
      </x:c>
      <x:c r="J467" s="25" t="str">
        <x:v>Exclude</x:v>
      </x:c>
      <x:c r="K467" s="25" t="str">
        <x:v>Exclude: adjacent/redundant or insufficiently theory-generative for DC1</x:v>
      </x:c>
    </x:row>
    <x:row r="468">
      <x:c r="A468" s="20" t="str">
        <x:v>R0464</x:v>
      </x:c>
      <x:c r="B468" s="25" t="str">
        <x:v>Rethinking designer agency: A case study of co-creation between designers and AI</x:v>
      </x:c>
      <x:c r="C468" s="25" t="n">
        <x:v>2023</x:v>
      </x:c>
      <x:c r="D468" s="25" t="str">
        <x:v>Xinyu Guo; Yi Xiao; Jiaqi Wang; Tie Ji</x:v>
      </x:c>
      <x:c r="E468" s="25" t="str"/>
      <x:c r="F468" s="25" t="str">
        <x:v>10.21606/iasdr.2023.478</x:v>
      </x:c>
      <x:c r="G468" s="25" t="str">
        <x:v>https://doi.org/10.21606/iasdr.2023.478</x:v>
      </x:c>
      <x:c r="H468" s="25" t="str">
        <x:v>OpenAlex</x:v>
      </x:c>
      <x:c r="I468" s="25" t="str">
        <x:v>C7_creative_agency</x:v>
      </x:c>
      <x:c r="J468" s="25" t="str">
        <x:v>Exclude</x:v>
      </x:c>
      <x:c r="K468" s="25" t="str">
        <x:v>Exclude: adjacent/redundant or insufficiently theory-generative for DC1</x:v>
      </x:c>
    </x:row>
    <x:row r="469">
      <x:c r="A469" s="20" t="str">
        <x:v>R0465</x:v>
      </x:c>
      <x:c r="B469" s="25" t="str">
        <x:v>Which body for embodied cognition? Affordance and language within actual and perceived reaching space</x:v>
      </x:c>
      <x:c r="C469" s="25" t="n">
        <x:v>2012</x:v>
      </x:c>
      <x:c r="D469" s="25" t="str">
        <x:v>Ettore Ambrosini; Claudia Scorolli; Anna M. Borghi; Marcello Costantini</x:v>
      </x:c>
      <x:c r="E469" s="25" t="str">
        <x:v>Consciousness and Cognition</x:v>
      </x:c>
      <x:c r="F469" s="25" t="str">
        <x:v>10.1016/j.concog.2012.06.010</x:v>
      </x:c>
      <x:c r="G469" s="25" t="str">
        <x:v>https://doi.org/10.1016/j.concog.2012.06.010</x:v>
      </x:c>
      <x:c r="H469" s="25" t="str">
        <x:v>Crossref</x:v>
      </x:c>
      <x:c r="I469" s="25" t="str">
        <x:v>C10_affordance_embodied</x:v>
      </x:c>
      <x:c r="J469" s="25" t="str">
        <x:v>Exclude</x:v>
      </x:c>
      <x:c r="K469" s="25" t="str">
        <x:v>Exclude: topic mismatch</x:v>
      </x:c>
    </x:row>
    <x:row r="470">
      <x:c r="A470" s="20" t="str">
        <x:v>R0466</x:v>
      </x:c>
      <x:c r="B470" s="25" t="str">
        <x:v>A Survey on 3D Gaussian Splatting</x:v>
      </x:c>
      <x:c r="C470" s="25" t="n">
        <x:v>2026</x:v>
      </x:c>
      <x:c r="D470" s="25" t="str">
        <x:v>Guikun Chen; Wenguan Wang</x:v>
      </x:c>
      <x:c r="E470" s="25" t="str">
        <x:v>ACM Computing Surveys</x:v>
      </x:c>
      <x:c r="F470" s="25" t="str">
        <x:v>10.1145/3807511</x:v>
      </x:c>
      <x:c r="G470" s="25" t="str">
        <x:v>https://doi.org/10.1145/3807511</x:v>
      </x:c>
      <x:c r="H470" s="25" t="str">
        <x:v>OpenAlex</x:v>
      </x:c>
      <x:c r="I470" s="25" t="str">
        <x:v>C8_AI_3D_authoring</x:v>
      </x:c>
      <x:c r="J470" s="25" t="str">
        <x:v>Exclude</x:v>
      </x:c>
      <x:c r="K470" s="25" t="str">
        <x:v>Exclude: adjacent/redundant or insufficiently theory-generative for DC1</x:v>
      </x:c>
    </x:row>
    <x:row r="471">
      <x:c r="A471" s="20" t="str">
        <x:v>R0467</x:v>
      </x:c>
      <x:c r="B471" s="25" t="str">
        <x:v>An artificial intelligence-assisted digital microfluidic system for multistate droplet control</x:v>
      </x:c>
      <x:c r="C471" s="25" t="n">
        <x:v>2024</x:v>
      </x:c>
      <x:c r="D471" s="25" t="str">
        <x:v>Kunlun Guo; Zerui Song; Jiale Zhou; Bin Shen; Bingyong Yan; Zhen Gu; Huifeng Wang</x:v>
      </x:c>
      <x:c r="E471" s="25" t="str">
        <x:v>Microsystems &amp; Nanoengineering</x:v>
      </x:c>
      <x:c r="F471" s="25" t="str">
        <x:v>10.1038/s41378-024-00775-5</x:v>
      </x:c>
      <x:c r="G471" s="25" t="str">
        <x:v>https://doi.org/10.1038/s41378-024-00775-5</x:v>
      </x:c>
      <x:c r="H471" s="25" t="str">
        <x:v>OpenAlex</x:v>
      </x:c>
      <x:c r="I471" s="25" t="str">
        <x:v>C8_AI_3D_authoring</x:v>
      </x:c>
      <x:c r="J471" s="25" t="str">
        <x:v>Exclude</x:v>
      </x:c>
      <x:c r="K471" s="25" t="str">
        <x:v>Exclude: adjacent/redundant or insufficiently theory-generative for DC1</x:v>
      </x:c>
    </x:row>
    <x:row r="472">
      <x:c r="A472" s="20" t="str">
        <x:v>R0468</x:v>
      </x:c>
      <x:c r="B472" s="25" t="str">
        <x:v>An empirical evaluation of virtual hand techniques for 3D object manipulation in a tangible augmented reality environment</x:v>
      </x:c>
      <x:c r="C472" s="25" t="n">
        <x:v>2010</x:v>
      </x:c>
      <x:c r="D472" s="25" t="str">
        <x:v>Taejin Ha; Woontack Woo</x:v>
      </x:c>
      <x:c r="E472" s="25" t="str">
        <x:v>2010 IEEE Symposium on 3D User Interfaces (3DUI)</x:v>
      </x:c>
      <x:c r="F472" s="25" t="str">
        <x:v>10.1109/3dui.2010.5444713</x:v>
      </x:c>
      <x:c r="G472" s="25" t="str">
        <x:v>https://doi.org/10.1109/3dui.2010.5444713</x:v>
      </x:c>
      <x:c r="H472" s="25" t="str">
        <x:v>Crossref</x:v>
      </x:c>
      <x:c r="I472" s="25" t="str">
        <x:v>C1_3D_mental_models</x:v>
      </x:c>
      <x:c r="J472" s="25" t="str">
        <x:v>Exclude</x:v>
      </x:c>
      <x:c r="K472" s="25" t="str">
        <x:v>Exclude: adjacent/redundant or insufficiently theory-generative for DC1</x:v>
      </x:c>
    </x:row>
    <x:row r="473">
      <x:c r="A473" s="20" t="str">
        <x:v>R0469</x:v>
      </x:c>
      <x:c r="B473" s="25" t="str">
        <x:v>El Agente: An autonomous agent for quantum chemistry</x:v>
      </x:c>
      <x:c r="C473" s="25" t="n">
        <x:v>2025</x:v>
      </x:c>
      <x:c r="D473" s="25" t="str">
        <x:v>Yushi Zou; Austin H. Cheng; Abdulrahman Aldossary; Jiaru Bai; Shi Xuan Leong; Jorge A. Campos-Gonzalez-Angulo; Changhyeok Choi; Cher Tian Ser; Gary Tom; Andrew Wang; Zijian Zhang; Ilya Yakavets; Hao Han; Chris Crebolder; Varinia Bernales; Alán Aspuru‐Guzik</x:v>
      </x:c>
      <x:c r="E473" s="25" t="str">
        <x:v>Matter</x:v>
      </x:c>
      <x:c r="F473" s="25" t="str">
        <x:v>10.1016/j.matt.2025.102263</x:v>
      </x:c>
      <x:c r="G473" s="25" t="str">
        <x:v>https://doi.org/10.1016/j.matt.2025.102263</x:v>
      </x:c>
      <x:c r="H473" s="25" t="str">
        <x:v>OpenAlex</x:v>
      </x:c>
      <x:c r="I473" s="25" t="str">
        <x:v>C5_agent_memory</x:v>
      </x:c>
      <x:c r="J473" s="25" t="str">
        <x:v>Exclude</x:v>
      </x:c>
      <x:c r="K473" s="25" t="str">
        <x:v>Exclude: adjacent/redundant or insufficiently theory-generative for DC1</x:v>
      </x:c>
    </x:row>
    <x:row r="474">
      <x:c r="A474" s="20" t="str">
        <x:v>R0470</x:v>
      </x:c>
      <x:c r="B474" s="25" t="str">
        <x:v>Exploring creativity in human–AI co-creation: a comparative study across design experience</x:v>
      </x:c>
      <x:c r="C474" s="25" t="n">
        <x:v>2025</x:v>
      </x:c>
      <x:c r="D474" s="25" t="str">
        <x:v>Nan Wang; Hyunsuk Kim; Junfeng Peng; Jiayi Wang</x:v>
      </x:c>
      <x:c r="E474" s="25" t="str">
        <x:v>Frontiers in Computer Science</x:v>
      </x:c>
      <x:c r="F474" s="25" t="str">
        <x:v>10.3389/fcomp.2025.1672735</x:v>
      </x:c>
      <x:c r="G474" s="25" t="str">
        <x:v>https://doi.org/10.3389/fcomp.2025.1672735</x:v>
      </x:c>
      <x:c r="H474" s="25" t="str">
        <x:v>Crossref</x:v>
      </x:c>
      <x:c r="I474" s="25" t="str">
        <x:v>C3_mixed_initiative_cocreation</x:v>
      </x:c>
      <x:c r="J474" s="25" t="str">
        <x:v>Exclude</x:v>
      </x:c>
      <x:c r="K474" s="25" t="str">
        <x:v>Exclude: adjacent/redundant or insufficiently theory-generative for DC1</x:v>
      </x:c>
    </x:row>
    <x:row r="475">
      <x:c r="A475" s="20" t="str">
        <x:v>R0471</x:v>
      </x:c>
      <x:c r="B475" s="25" t="str">
        <x:v>Vision as a user interface</x:v>
      </x:c>
      <x:c r="C475" s="25" t="n">
        <x:v>2011</x:v>
      </x:c>
      <x:c r="D475" s="25" t="str">
        <x:v>Jan J. Koenderink</x:v>
      </x:c>
      <x:c r="E475" s="25" t="str">
        <x:v>Proceedings of SPIE, the International Society for Optical Engineering/Proceedings of SPIE</x:v>
      </x:c>
      <x:c r="F475" s="25" t="str">
        <x:v>10.1117/12.881671</x:v>
      </x:c>
      <x:c r="G475" s="25" t="str">
        <x:v>https://doi.org/10.1117/12.881671</x:v>
      </x:c>
      <x:c r="H475" s="25" t="str">
        <x:v>OpenAlex</x:v>
      </x:c>
      <x:c r="I475" s="25" t="str">
        <x:v>C1_3D_mental_models</x:v>
      </x:c>
      <x:c r="J475" s="25" t="str">
        <x:v>Exclude</x:v>
      </x:c>
      <x:c r="K475" s="25" t="str">
        <x:v>Exclude: topic mismatch</x:v>
      </x:c>
    </x:row>
    <x:row r="476">
      <x:c r="A476" s="20" t="str">
        <x:v>R0472</x:v>
      </x:c>
      <x:c r="B476" s="25" t="str">
        <x:v>Gaze-Based Intention Estimation for Shared Autonomy in Pick-and-Place Tasks</x:v>
      </x:c>
      <x:c r="C476" s="25" t="n">
        <x:v>2021</x:v>
      </x:c>
      <x:c r="D476" s="25" t="str">
        <x:v>Stefan Fuchs; Anna Belardinelli</x:v>
      </x:c>
      <x:c r="E476" s="25" t="str">
        <x:v>Frontiers in Neurorobotics</x:v>
      </x:c>
      <x:c r="F476" s="25" t="str">
        <x:v>10.3389/fnbot.2021.647930</x:v>
      </x:c>
      <x:c r="G476" s="25" t="str">
        <x:v>https://doi.org/10.3389/fnbot.2021.647930</x:v>
      </x:c>
      <x:c r="H476" s="25" t="str">
        <x:v>OpenAlex</x:v>
      </x:c>
      <x:c r="I476" s="25" t="str">
        <x:v>C4_uncertainty_shared_autonomy</x:v>
      </x:c>
      <x:c r="J476" s="25" t="str">
        <x:v>Exclude</x:v>
      </x:c>
      <x:c r="K476" s="25" t="str">
        <x:v>Exclude: adjacent/redundant or insufficiently theory-generative for DC1</x:v>
      </x:c>
    </x:row>
    <x:row r="477">
      <x:c r="A477" s="20" t="str">
        <x:v>R0473</x:v>
      </x:c>
      <x:c r="B477" s="25" t="str">
        <x:v>AutoVis: Enabling Mixed-Immersive Analysis of Automotive User Interface Interaction Studies</x:v>
      </x:c>
      <x:c r="C477" s="25" t="n">
        <x:v>2023</x:v>
      </x:c>
      <x:c r="D477" s="25" t="str">
        <x:v>Pascal Jansen; Julian Britten; Alexander Häusele; Thilo Segschneider; Mark Colley; Enrico Rukzio</x:v>
      </x:c>
      <x:c r="E477" s="25" t="str"/>
      <x:c r="F477" s="25" t="str">
        <x:v>10.1145/3544548.3580760</x:v>
      </x:c>
      <x:c r="G477" s="25" t="str">
        <x:v>https://doi.org/10.1145/3544548.3580760</x:v>
      </x:c>
      <x:c r="H477" s="25" t="str">
        <x:v>OpenAlex</x:v>
      </x:c>
      <x:c r="I477" s="25" t="str">
        <x:v>C2_interaction_signals</x:v>
      </x:c>
      <x:c r="J477" s="25" t="str">
        <x:v>Exclude</x:v>
      </x:c>
      <x:c r="K477" s="25" t="str">
        <x:v>Exclude: topic mismatch</x:v>
      </x:c>
    </x:row>
    <x:row r="478">
      <x:c r="A478" s="20" t="str">
        <x:v>R0474</x:v>
      </x:c>
      <x:c r="B478" s="25" t="str">
        <x:v>Communication Models in Human–Robot Interaction: An Asymmetric MODel of ALterity in Human–Robot Interaction (AMODAL-HRI)</x:v>
      </x:c>
      <x:c r="C478" s="25" t="n">
        <x:v>2021</x:v>
      </x:c>
      <x:c r="D478" s="25" t="str">
        <x:v>Helena Anna Frijns; Oliver Schürer; Sabine T. Koeszegi</x:v>
      </x:c>
      <x:c r="E478" s="25" t="str">
        <x:v>International Journal of Social Robotics</x:v>
      </x:c>
      <x:c r="F478" s="25" t="str">
        <x:v>10.1007/s12369-021-00785-7</x:v>
      </x:c>
      <x:c r="G478" s="25" t="str">
        <x:v>https://doi.org/10.1007/s12369-021-00785-7</x:v>
      </x:c>
      <x:c r="H478" s="25" t="str">
        <x:v>OpenAlex</x:v>
      </x:c>
      <x:c r="I478" s="25" t="str">
        <x:v>C4_uncertainty_shared_autonomy</x:v>
      </x:c>
      <x:c r="J478" s="25" t="str">
        <x:v>Exclude</x:v>
      </x:c>
      <x:c r="K478" s="25" t="str">
        <x:v>Exclude: topic mismatch</x:v>
      </x:c>
    </x:row>
    <x:row r="479">
      <x:c r="A479" s="20" t="str">
        <x:v>R0475</x:v>
      </x:c>
      <x:c r="B479" s="25" t="str">
        <x:v>From Word Models to World Models: Translating from Natural Language to the Probabilistic Language of Thought</x:v>
      </x:c>
      <x:c r="C479" s="25" t="n">
        <x:v>2023</x:v>
      </x:c>
      <x:c r="D479" s="25" t="str">
        <x:v>Lionel Wong; Gabriel Grand; Alexander K. Lew; Noah D. Goodman; Vikash K. Mansinghka; Jacob Andreas; Joshua B. Tenenbaum</x:v>
      </x:c>
      <x:c r="E479" s="25" t="str">
        <x:v>arXiv (Cornell University)</x:v>
      </x:c>
      <x:c r="F479" s="25" t="str">
        <x:v>10.48550/arxiv.2306.12672</x:v>
      </x:c>
      <x:c r="G479" s="25" t="str">
        <x:v>http://arxiv.org/abs/2306.12672</x:v>
      </x:c>
      <x:c r="H479" s="25" t="str">
        <x:v>OpenAlex</x:v>
      </x:c>
      <x:c r="I479" s="25" t="str">
        <x:v>C17_3D_gesture_ambiguity</x:v>
      </x:c>
      <x:c r="J479" s="25" t="str">
        <x:v>Exclude</x:v>
      </x:c>
      <x:c r="K479" s="25" t="str">
        <x:v>Exclude: topic mismatch</x:v>
      </x:c>
    </x:row>
    <x:row r="480">
      <x:c r="A480" s="20" t="str">
        <x:v>R0476</x:v>
      </x:c>
      <x:c r="B480" s="25" t="str">
        <x:v>Human implicit intent recognition based on the phase synchrony of EEG signals</x:v>
      </x:c>
      <x:c r="C480" s="25" t="n">
        <x:v>2015</x:v>
      </x:c>
      <x:c r="D480" s="25" t="str">
        <x:v>Jun-Su Kang; Ukeob Park; V. Gonuguntla; K.C. Veluvolu; Minho Lee</x:v>
      </x:c>
      <x:c r="E480" s="25" t="str">
        <x:v>Pattern Recognition Letters</x:v>
      </x:c>
      <x:c r="F480" s="25" t="str">
        <x:v>10.1016/j.patrec.2015.06.013</x:v>
      </x:c>
      <x:c r="G480" s="25" t="str">
        <x:v>https://doi.org/10.1016/j.patrec.2015.06.013</x:v>
      </x:c>
      <x:c r="H480" s="25" t="str">
        <x:v>Crossref</x:v>
      </x:c>
      <x:c r="I480" s="25" t="str">
        <x:v>C2_interaction_signals</x:v>
      </x:c>
      <x:c r="J480" s="25" t="str">
        <x:v>Exclude</x:v>
      </x:c>
      <x:c r="K480" s="25" t="str">
        <x:v>Exclude: adjacent/redundant or insufficiently theory-generative for DC1</x:v>
      </x:c>
    </x:row>
    <x:row r="481">
      <x:c r="A481" s="20" t="str">
        <x:v>R0477</x:v>
      </x:c>
      <x:c r="B481" s="25" t="str">
        <x:v>Jointly Leveraging Intent and Interaction Signals to Predict User Satisfaction with Slate Recommendations</x:v>
      </x:c>
      <x:c r="C481" s="25" t="n">
        <x:v>2019</x:v>
      </x:c>
      <x:c r="D481" s="25" t="str">
        <x:v>Rishabh Mehrotra; Mounia Lalmas; Doug Kenney; Thomas Lim-Meng; Golli Hashemian</x:v>
      </x:c>
      <x:c r="E481" s="25" t="str">
        <x:v>The World Wide Web Conference</x:v>
      </x:c>
      <x:c r="F481" s="25" t="str">
        <x:v>10.1145/3308558.3313613</x:v>
      </x:c>
      <x:c r="G481" s="25" t="str">
        <x:v>https://doi.org/10.1145/3308558.3313613</x:v>
      </x:c>
      <x:c r="H481" s="25" t="str">
        <x:v>Crossref</x:v>
      </x:c>
      <x:c r="I481" s="25" t="str">
        <x:v>C2_interaction_signals</x:v>
      </x:c>
      <x:c r="J481" s="25" t="str">
        <x:v>Exclude</x:v>
      </x:c>
      <x:c r="K481" s="25" t="str">
        <x:v>Exclude: adjacent/redundant or insufficiently theory-generative for DC1</x:v>
      </x:c>
    </x:row>
    <x:row r="482">
      <x:c r="A482" s="20" t="str">
        <x:v>R0478</x:v>
      </x:c>
      <x:c r="B482" s="25" t="str">
        <x:v>Move the Object or Move Myself? Walking vs. Manipulation for the Examination of 3D Scientific Data</x:v>
      </x:c>
      <x:c r="C482" s="25" t="n">
        <x:v>2018</x:v>
      </x:c>
      <x:c r="D482" s="25" t="str">
        <x:v>Wallace S. Lages; Doug A. Bowman</x:v>
      </x:c>
      <x:c r="E482" s="25" t="str">
        <x:v>Frontiers in ICT</x:v>
      </x:c>
      <x:c r="F482" s="25" t="str">
        <x:v>10.3389/fict.2018.00015</x:v>
      </x:c>
      <x:c r="G482" s="25" t="str">
        <x:v>https://doi.org/10.3389/fict.2018.00015</x:v>
      </x:c>
      <x:c r="H482" s="25" t="str">
        <x:v>OpenAlex</x:v>
      </x:c>
      <x:c r="I482" s="25" t="str">
        <x:v>C1_3D_mental_models</x:v>
      </x:c>
      <x:c r="J482" s="25" t="str">
        <x:v>Exclude</x:v>
      </x:c>
      <x:c r="K482" s="25" t="str">
        <x:v>Exclude: adjacent/redundant or insufficiently theory-generative for DC1</x:v>
      </x:c>
    </x:row>
    <x:row r="483">
      <x:c r="A483" s="20" t="str">
        <x:v>R0479</x:v>
      </x:c>
      <x:c r="B483" s="25" t="str">
        <x:v>The architecture of error: matter, measure, and the misadventures of precision</x:v>
      </x:c>
      <x:c r="C483" s="25" t="n">
        <x:v>2015</x:v>
      </x:c>
      <x:c r="D483" s="25" t="str">
        <x:v>Francesca Hughes</x:v>
      </x:c>
      <x:c r="E483" s="25" t="str">
        <x:v>Choice Reviews Online</x:v>
      </x:c>
      <x:c r="F483" s="25" t="str">
        <x:v>10.5860/choice.189788</x:v>
      </x:c>
      <x:c r="G483" s="25" t="str">
        <x:v>https://doi.org/10.5860/choice.189788</x:v>
      </x:c>
      <x:c r="H483" s="25" t="str">
        <x:v>OpenAlex</x:v>
      </x:c>
      <x:c r="I483" s="25" t="str">
        <x:v>C17_3D_gesture_ambiguity</x:v>
      </x:c>
      <x:c r="J483" s="25" t="str">
        <x:v>Exclude</x:v>
      </x:c>
      <x:c r="K483" s="25" t="str">
        <x:v>Exclude: topic mismatch</x:v>
      </x:c>
    </x:row>
    <x:row r="484">
      <x:c r="A484" s="20" t="str">
        <x:v>R0480</x:v>
      </x:c>
      <x:c r="B484" s="25" t="str">
        <x:v>An evolutionary approach to the extraction of object construction trees from 3D point clouds</x:v>
      </x:c>
      <x:c r="C484" s="25" t="n">
        <x:v>2016</x:v>
      </x:c>
      <x:c r="D484" s="25" t="str">
        <x:v>Pierre‐Alain Fayolle; Alexander Pasko</x:v>
      </x:c>
      <x:c r="E484" s="25" t="str">
        <x:v>Computer-Aided Design</x:v>
      </x:c>
      <x:c r="F484" s="25" t="str">
        <x:v>10.1016/j.cad.2016.01.001</x:v>
      </x:c>
      <x:c r="G484" s="25" t="str">
        <x:v>https://doi.org/10.1016/j.cad.2016.01.001</x:v>
      </x:c>
      <x:c r="H484" s="25" t="str">
        <x:v>OpenAlex</x:v>
      </x:c>
      <x:c r="I484" s="25" t="str">
        <x:v>C13_CAD_design_intent</x:v>
      </x:c>
      <x:c r="J484" s="25" t="str">
        <x:v>Exclude</x:v>
      </x:c>
      <x:c r="K484" s="25" t="str">
        <x:v>Exclude: adjacent/redundant or insufficiently theory-generative for DC1</x:v>
      </x:c>
    </x:row>
    <x:row r="485">
      <x:c r="A485" s="20" t="str">
        <x:v>R0481</x:v>
      </x:c>
      <x:c r="B485" s="25" t="str">
        <x:v>Digital Cardiovascular Twins, AI Agents, and Sensor Data: A Narrative Review from System Architecture to Proactive Heart Health</x:v>
      </x:c>
      <x:c r="C485" s="25" t="n">
        <x:v>2025</x:v>
      </x:c>
      <x:c r="D485" s="25" t="str">
        <x:v>Nurdaulet Tasmurzayev; Bibars Amangeldy; Баглан Иманбек; Zhanel Baigarayeva; Timur Imankulov; Gulmira Dikhanbayeva; Inzhu Amangeldi; Symbat Sharipova</x:v>
      </x:c>
      <x:c r="E485" s="25" t="str">
        <x:v>Sensors</x:v>
      </x:c>
      <x:c r="F485" s="25" t="str">
        <x:v>10.3390/s25175272</x:v>
      </x:c>
      <x:c r="G485" s="25" t="str">
        <x:v>https://doi.org/10.3390/s25175272</x:v>
      </x:c>
      <x:c r="H485" s="25" t="str">
        <x:v>OpenAlex</x:v>
      </x:c>
      <x:c r="I485" s="25" t="str">
        <x:v>C5_agent_memory</x:v>
      </x:c>
      <x:c r="J485" s="25" t="str">
        <x:v>Exclude</x:v>
      </x:c>
      <x:c r="K485" s="25" t="str">
        <x:v>Exclude: adjacent/redundant or insufficiently theory-generative for DC1</x:v>
      </x:c>
    </x:row>
    <x:row r="486">
      <x:c r="A486" s="20" t="str">
        <x:v>R0482</x:v>
      </x:c>
      <x:c r="B486" s="25" t="str">
        <x:v>Semantic 3D Object Maps for Everyday Robot Manipulation</x:v>
      </x:c>
      <x:c r="C486" s="25" t="n">
        <x:v>2013</x:v>
      </x:c>
      <x:c r="D486" s="25" t="str">
        <x:v>Radu Bogdan Rusu</x:v>
      </x:c>
      <x:c r="E486" s="25" t="str">
        <x:v>Springer Tracts in Advanced Robotics</x:v>
      </x:c>
      <x:c r="F486" s="25" t="str">
        <x:v>10.1007/978-3-642-35479-3</x:v>
      </x:c>
      <x:c r="G486" s="25" t="str">
        <x:v>https://doi.org/10.1007/978-3-642-35479-3</x:v>
      </x:c>
      <x:c r="H486" s="25" t="str">
        <x:v>Crossref</x:v>
      </x:c>
      <x:c r="I486" s="25" t="str">
        <x:v>C8_AI_3D_authoring</x:v>
      </x:c>
      <x:c r="J486" s="25" t="str">
        <x:v>Exclude</x:v>
      </x:c>
      <x:c r="K486" s="25" t="str">
        <x:v>Exclude: adjacent/redundant or insufficiently theory-generative for DC1</x:v>
      </x:c>
    </x:row>
    <x:row r="487">
      <x:c r="A487" s="20" t="str">
        <x:v>R0483</x:v>
      </x:c>
      <x:c r="B487" s="25" t="str">
        <x:v>Toward affective dialogue management using partially observable Markov decision processes</x:v>
      </x:c>
      <x:c r="C487" s="25" t="n">
        <x:v>2008</x:v>
      </x:c>
      <x:c r="D487" s="25" t="str">
        <x:v>Trung Bui</x:v>
      </x:c>
      <x:c r="E487" s="25" t="str"/>
      <x:c r="F487" s="25" t="str">
        <x:v>10.3990/1.9789036527149</x:v>
      </x:c>
      <x:c r="G487" s="25" t="str">
        <x:v>https://doi.org/10.3990/1.9789036527149</x:v>
      </x:c>
      <x:c r="H487" s="25" t="str">
        <x:v>OpenAlex</x:v>
      </x:c>
      <x:c r="I487" s="25" t="str">
        <x:v>C17_3D_gesture_ambiguity</x:v>
      </x:c>
      <x:c r="J487" s="25" t="str">
        <x:v>Exclude</x:v>
      </x:c>
      <x:c r="K487" s="25" t="str">
        <x:v>Exclude: adjacent/redundant or insufficiently theory-generative for DC1</x:v>
      </x:c>
    </x:row>
    <x:row r="488">
      <x:c r="A488" s="20" t="str">
        <x:v>R0484</x:v>
      </x:c>
      <x:c r="B488" s="25" t="str">
        <x:v>Toward an Interactive Reinforcement Based Learning Framework for Human Robot Collaborative Assembly Processes</x:v>
      </x:c>
      <x:c r="C488" s="25" t="n">
        <x:v>2018</x:v>
      </x:c>
      <x:c r="D488" s="25" t="str">
        <x:v>Sharath Chandra Akkaladevi; Matthias Plasch; Sriniwas Chowdhary Maddukuri; Christian Eitzinger; Andreas Pichler; Bernhard Rinner</x:v>
      </x:c>
      <x:c r="E488" s="25" t="str">
        <x:v>Frontiers in Robotics and AI</x:v>
      </x:c>
      <x:c r="F488" s="25" t="str">
        <x:v>10.3389/frobt.2018.00126</x:v>
      </x:c>
      <x:c r="G488" s="25" t="str">
        <x:v>https://doi.org/10.3389/frobt.2018.00126</x:v>
      </x:c>
      <x:c r="H488" s="25" t="str">
        <x:v>OpenAlex</x:v>
      </x:c>
      <x:c r="I488" s="25" t="str">
        <x:v>C11_hierarchical_goal_recognition</x:v>
      </x:c>
      <x:c r="J488" s="25" t="str">
        <x:v>Exclude</x:v>
      </x:c>
      <x:c r="K488" s="25" t="str">
        <x:v>Exclude: topic mismatch</x:v>
      </x:c>
    </x:row>
    <x:row r="489">
      <x:c r="A489" s="20" t="str">
        <x:v>R0485</x:v>
      </x:c>
      <x:c r="B489" s="25" t="str">
        <x:v>Artificial cognition vs. artificial intelligence for next-generation autonomous robotic agents</x:v>
      </x:c>
      <x:c r="C489" s="25" t="n">
        <x:v>2024</x:v>
      </x:c>
      <x:c r="D489" s="25" t="str">
        <x:v>Giulio Sandini; Alessandra Sciutti; Pietro Morasso</x:v>
      </x:c>
      <x:c r="E489" s="25" t="str">
        <x:v>Frontiers in Computational Neuroscience</x:v>
      </x:c>
      <x:c r="F489" s="25" t="str">
        <x:v>10.3389/fncom.2024.1349408</x:v>
      </x:c>
      <x:c r="G489" s="25" t="str">
        <x:v>https://doi.org/10.3389/fncom.2024.1349408</x:v>
      </x:c>
      <x:c r="H489" s="25" t="str">
        <x:v>OpenAlex</x:v>
      </x:c>
      <x:c r="I489" s="25" t="str">
        <x:v>C5_agent_memory</x:v>
      </x:c>
      <x:c r="J489" s="25" t="str">
        <x:v>Exclude</x:v>
      </x:c>
      <x:c r="K489" s="25" t="str">
        <x:v>Exclude: adjacent/redundant or insufficiently theory-generative for DC1</x:v>
      </x:c>
    </x:row>
    <x:row r="490">
      <x:c r="A490" s="20" t="str">
        <x:v>R0486</x:v>
      </x:c>
      <x:c r="B490" s="25" t="str">
        <x:v>Large Language Models: A Structured Taxonomy and Review of Challenges, Limitations, Solutions, and Future Directions</x:v>
      </x:c>
      <x:c r="C490" s="25" t="n">
        <x:v>2025</x:v>
      </x:c>
      <x:c r="D490" s="25" t="str">
        <x:v>Pejman Peykani; Fatemeh Ramezanlou; Cristina Tănăsescu; Sanly Ghanidel</x:v>
      </x:c>
      <x:c r="E490" s="25" t="str">
        <x:v>Applied Sciences</x:v>
      </x:c>
      <x:c r="F490" s="25" t="str">
        <x:v>10.3390/app15148103</x:v>
      </x:c>
      <x:c r="G490" s="25" t="str">
        <x:v>https://doi.org/10.3390/app15148103</x:v>
      </x:c>
      <x:c r="H490" s="25" t="str">
        <x:v>OpenAlex</x:v>
      </x:c>
      <x:c r="I490" s="25" t="str">
        <x:v>C5_agent_memory</x:v>
      </x:c>
      <x:c r="J490" s="25" t="str">
        <x:v>Exclude</x:v>
      </x:c>
      <x:c r="K490" s="25" t="str">
        <x:v>Exclude: adjacent/redundant or insufficiently theory-generative for DC1</x:v>
      </x:c>
    </x:row>
    <x:row r="491">
      <x:c r="A491" s="20" t="str">
        <x:v>R0487</x:v>
      </x:c>
      <x:c r="B491" s="25" t="str">
        <x:v>Mobile Manipulation, Tool Use, and Intuitive Interaction for Cognitive Service Robot Cosero</x:v>
      </x:c>
      <x:c r="C491" s="25" t="n">
        <x:v>2016</x:v>
      </x:c>
      <x:c r="D491" s="25" t="str">
        <x:v>Jörg Stückler; Max Schwarz; Sven Behnke</x:v>
      </x:c>
      <x:c r="E491" s="25" t="str">
        <x:v>Frontiers in Robotics and AI</x:v>
      </x:c>
      <x:c r="F491" s="25" t="str">
        <x:v>10.3389/frobt.2016.00058</x:v>
      </x:c>
      <x:c r="G491" s="25" t="str">
        <x:v>https://doi.org/10.3389/frobt.2016.00058</x:v>
      </x:c>
      <x:c r="H491" s="25" t="str">
        <x:v>OpenAlex</x:v>
      </x:c>
      <x:c r="I491" s="25" t="str">
        <x:v>C11_hierarchical_goal_recognition</x:v>
      </x:c>
      <x:c r="J491" s="25" t="str">
        <x:v>Exclude</x:v>
      </x:c>
      <x:c r="K491" s="25" t="str">
        <x:v>Exclude: adjacent/redundant or insufficiently theory-generative for DC1</x:v>
      </x:c>
    </x:row>
    <x:row r="492">
      <x:c r="A492" s="20" t="str">
        <x:v>R0488</x:v>
      </x:c>
      <x:c r="B492" s="25" t="str">
        <x:v>Accretion theory of ideation: evaluation regimes for ideation stages</x:v>
      </x:c>
      <x:c r="C492" s="25" t="n">
        <x:v>2019</x:v>
      </x:c>
      <x:c r="D492" s="25" t="str">
        <x:v>Ricardo Sosa</x:v>
      </x:c>
      <x:c r="E492" s="25" t="str">
        <x:v>Design Science</x:v>
      </x:c>
      <x:c r="F492" s="25" t="str">
        <x:v>10.1017/dsj.2019.22</x:v>
      </x:c>
      <x:c r="G492" s="25" t="str">
        <x:v>https://doi.org/10.1017/dsj.2019.22</x:v>
      </x:c>
      <x:c r="H492" s="25" t="str">
        <x:v>OpenAlex</x:v>
      </x:c>
      <x:c r="I492" s="25" t="str">
        <x:v>C17_3D_gesture_ambiguity</x:v>
      </x:c>
      <x:c r="J492" s="25" t="str">
        <x:v>Exclude</x:v>
      </x:c>
      <x:c r="K492" s="25" t="str">
        <x:v>Exclude: adjacent/redundant or insufficiently theory-generative for DC1</x:v>
      </x:c>
    </x:row>
    <x:row r="493">
      <x:c r="A493" s="20" t="str">
        <x:v>R0489</x:v>
      </x:c>
      <x:c r="B493" s="25" t="str">
        <x:v>Consistent management and evaluation of building models in the early design stages</x:v>
      </x:c>
      <x:c r="C493" s="25" t="n">
        <x:v>2020</x:v>
      </x:c>
      <x:c r="D493" s="25" t="str">
        <x:v>Jimmy Abualdenien; Patricia Schneider-Marin; Ata Zahedi; Hannes Harter; Hannah Exner; Daniel Steiner; Manav Mahan Singh; André Borrmann; Werner Lang; Frank Petzold; Markus König; Philipp Geyer; Martina Schnellenbach‐Held</x:v>
      </x:c>
      <x:c r="E493" s="25" t="str">
        <x:v>Journal of Information Technology in Construction</x:v>
      </x:c>
      <x:c r="F493" s="25" t="str">
        <x:v>10.36680/j.itcon.2020.013</x:v>
      </x:c>
      <x:c r="G493" s="25" t="str">
        <x:v>https://doi.org/10.36680/j.itcon.2020.013</x:v>
      </x:c>
      <x:c r="H493" s="25" t="str">
        <x:v>OpenAlex</x:v>
      </x:c>
      <x:c r="I493" s="25" t="str">
        <x:v>C13_CAD_design_intent</x:v>
      </x:c>
      <x:c r="J493" s="25" t="str">
        <x:v>Exclude</x:v>
      </x:c>
      <x:c r="K493" s="25" t="str">
        <x:v>Exclude: topic mismatch</x:v>
      </x:c>
    </x:row>
    <x:row r="494">
      <x:c r="A494" s="20" t="str">
        <x:v>R0490</x:v>
      </x:c>
      <x:c r="B494" s="25" t="str">
        <x:v>The Consequences of Disparate Policing: Evaluating Stop and Frisk as a Modality of Urban Policing</x:v>
      </x:c>
      <x:c r="C494" s="25" t="n">
        <x:v>2017</x:v>
      </x:c>
      <x:c r="D494" s="25" t="str">
        <x:v>Aziz Z. Huq</x:v>
      </x:c>
      <x:c r="E494" s="25" t="str">
        <x:v>Minnesota law review</x:v>
      </x:c>
      <x:c r="F494" s="25" t="str">
        <x:v>10.24926/265535.1078</x:v>
      </x:c>
      <x:c r="G494" s="25" t="str">
        <x:v>https://doi.org/10.24926/265535.1078</x:v>
      </x:c>
      <x:c r="H494" s="25" t="str">
        <x:v>OpenAlex</x:v>
      </x:c>
      <x:c r="I494" s="25" t="str">
        <x:v>C17_3D_gesture_ambiguity</x:v>
      </x:c>
      <x:c r="J494" s="25" t="str">
        <x:v>Exclude</x:v>
      </x:c>
      <x:c r="K494" s="25" t="str">
        <x:v>Exclude: topic mismatch</x:v>
      </x:c>
    </x:row>
    <x:row r="495">
      <x:c r="A495" s="20" t="str">
        <x:v>R0491</x:v>
      </x:c>
      <x:c r="B495" s="25" t="str">
        <x:v>Data Fusion and Real-Time Analytics: Elevating Signal Integrity and Rail System Resilience</x:v>
      </x:c>
      <x:c r="C495" s="25" t="n">
        <x:v>2023</x:v>
      </x:c>
      <x:c r="D495" s="25" t="str">
        <x:v>Sujith Kumar Kupunarapu</x:v>
      </x:c>
      <x:c r="E495" s="25" t="str">
        <x:v>EPH - International Journal of Science And Engineering</x:v>
      </x:c>
      <x:c r="F495" s="25" t="str">
        <x:v>10.53555/ephijse.v9i1.280</x:v>
      </x:c>
      <x:c r="G495" s="25" t="str">
        <x:v>https://doi.org/10.53555/ephijse.v9i1.280</x:v>
      </x:c>
      <x:c r="H495" s="25" t="str">
        <x:v>OpenAlex</x:v>
      </x:c>
      <x:c r="I495" s="25" t="str">
        <x:v>C15_proactive_interruption</x:v>
      </x:c>
      <x:c r="J495" s="25" t="str">
        <x:v>Exclude</x:v>
      </x:c>
      <x:c r="K495" s="25" t="str">
        <x:v>Exclude: topic mismatch</x:v>
      </x:c>
    </x:row>
    <x:row r="496">
      <x:c r="A496" s="20" t="str">
        <x:v>R0492</x:v>
      </x:c>
      <x:c r="B496" s="25" t="str">
        <x:v>Memory Matters: The Need to Improve Long-Term Memory in LLM-Agents</x:v>
      </x:c>
      <x:c r="C496" s="25" t="n">
        <x:v>2024</x:v>
      </x:c>
      <x:c r="D496" s="25" t="str">
        <x:v>Kostas Hatalis; Despina Christou; J. Myers; Steve Jones; Keith Lambert; Adam Amos‐Binks; Zohreh A. Dannenhauer; Dustin Dannenhauer</x:v>
      </x:c>
      <x:c r="E496" s="25" t="str">
        <x:v>Proceedings of the AAAI Symposium Series</x:v>
      </x:c>
      <x:c r="F496" s="25" t="str">
        <x:v>10.1609/aaaiss.v2i1.27688</x:v>
      </x:c>
      <x:c r="G496" s="25" t="str">
        <x:v>https://doi.org/10.1609/aaaiss.v2i1.27688</x:v>
      </x:c>
      <x:c r="H496" s="25" t="str">
        <x:v>OpenAlex</x:v>
      </x:c>
      <x:c r="I496" s="25" t="str">
        <x:v>C5_agent_memory</x:v>
      </x:c>
      <x:c r="J496" s="25" t="str">
        <x:v>Include</x:v>
      </x:c>
      <x:c r="K496" s="25" t="str">
        <x:v>Included in focused synthesis</x:v>
      </x:c>
    </x:row>
    <x:row r="497">
      <x:c r="A497" s="20" t="str">
        <x:v>R0493</x:v>
      </x:c>
      <x:c r="B497" s="25" t="str">
        <x:v>Overview of Software Agent Platforms Available in 2023</x:v>
      </x:c>
      <x:c r="C497" s="25" t="n">
        <x:v>2023</x:v>
      </x:c>
      <x:c r="D497" s="25" t="str">
        <x:v>Zofia Wrona; Wojciech Buchwald; Maria Ganzha; Marcin Paprzycki; Florin Leon; N.V. Nasma Noor; Constantin-Valentin Pal</x:v>
      </x:c>
      <x:c r="E497" s="25" t="str">
        <x:v>Information</x:v>
      </x:c>
      <x:c r="F497" s="25" t="str">
        <x:v>10.3390/info14060348</x:v>
      </x:c>
      <x:c r="G497" s="25" t="str">
        <x:v>https://doi.org/10.3390/info14060348</x:v>
      </x:c>
      <x:c r="H497" s="25" t="str">
        <x:v>OpenAlex</x:v>
      </x:c>
      <x:c r="I497" s="25" t="str">
        <x:v>C6_frontend_GUI_intent</x:v>
      </x:c>
      <x:c r="J497" s="25" t="str">
        <x:v>Exclude</x:v>
      </x:c>
      <x:c r="K497" s="25" t="str">
        <x:v>Exclude: adjacent/redundant or insufficiently theory-generative for DC1</x:v>
      </x:c>
    </x:row>
    <x:row r="498">
      <x:c r="A498" s="20" t="str">
        <x:v>R0494</x:v>
      </x:c>
      <x:c r="B498" s="25" t="str">
        <x:v>The Immersive Mental Rotations Test: Evaluating Spatial Ability in Virtual Reality</x:v>
      </x:c>
      <x:c r="C498" s="25" t="n">
        <x:v>2022</x:v>
      </x:c>
      <x:c r="D498" s="25" t="str">
        <x:v>Ian Lochhead; Nick Hedley; Arzu Çöltekin; Brian Fisher</x:v>
      </x:c>
      <x:c r="E498" s="25" t="str">
        <x:v>Frontiers in Virtual Reality</x:v>
      </x:c>
      <x:c r="F498" s="25" t="str">
        <x:v>10.3389/frvir.2022.820237</x:v>
      </x:c>
      <x:c r="G498" s="25" t="str">
        <x:v>https://doi.org/10.3389/frvir.2022.820237</x:v>
      </x:c>
      <x:c r="H498" s="25" t="str">
        <x:v>OpenAlex</x:v>
      </x:c>
      <x:c r="I498" s="25" t="str">
        <x:v>C1_3D_mental_models</x:v>
      </x:c>
      <x:c r="J498" s="25" t="str">
        <x:v>Exclude</x:v>
      </x:c>
      <x:c r="K498" s="25" t="str">
        <x:v>Exclude: adjacent/redundant or insufficiently theory-generative for DC1</x:v>
      </x:c>
    </x:row>
    <x:row r="499">
      <x:c r="A499" s="20" t="str">
        <x:v>R0495</x:v>
      </x:c>
      <x:c r="B499" s="25" t="str">
        <x:v>Toward Natively Intelligent Semantic Communications and Networking</x:v>
      </x:c>
      <x:c r="C499" s="25" t="n">
        <x:v>2024</x:v>
      </x:c>
      <x:c r="D499" s="25" t="str">
        <x:v>Stylianos E. Trevlakis; Νικόλαος Παππάς; Alexandros–Apostolos A. Boulogeorgos</x:v>
      </x:c>
      <x:c r="E499" s="25" t="str">
        <x:v>IEEE Open Journal of the Communications Society</x:v>
      </x:c>
      <x:c r="F499" s="25" t="str">
        <x:v>10.1109/ojcoms.2024.3371871</x:v>
      </x:c>
      <x:c r="G499" s="25" t="str">
        <x:v>https://doi.org/10.1109/ojcoms.2024.3371871</x:v>
      </x:c>
      <x:c r="H499" s="25" t="str">
        <x:v>OpenAlex</x:v>
      </x:c>
      <x:c r="I499" s="25" t="str">
        <x:v>C8_AI_3D_authoring</x:v>
      </x:c>
      <x:c r="J499" s="25" t="str">
        <x:v>Exclude</x:v>
      </x:c>
      <x:c r="K499" s="25" t="str">
        <x:v>Exclude: adjacent/redundant or insufficiently theory-generative for DC1</x:v>
      </x:c>
    </x:row>
    <x:row r="500">
      <x:c r="A500" s="20" t="str">
        <x:v>R0496</x:v>
      </x:c>
      <x:c r="B500" s="25" t="str">
        <x:v>Personal LLM Agents: Insights and Survey about the Capability, Efficiency and Security</x:v>
      </x:c>
      <x:c r="C500" s="25" t="n">
        <x:v>2024</x:v>
      </x:c>
      <x:c r="D500" s="25" t="str">
        <x:v>Yuanchun Li; Hao Wen; Weijun Wang; Xiangyu Li; Yi-Zhen Yuan; Guohong Liu; Jiacheng Liu; Wenxing Xu; Xiang Wang; Yi Sun; Rui Kong; Yile Wang; Hanfei Geng; Jian Luan; Xuefeng Jin; Zilong Ye; Guanjing Xiong; Fan Zhang; Xiang Li; Mengwei Xu; Zhijun Li; Peng Li; Yang Liu; Ya-Qin Zhang; Yunxin Liu</x:v>
      </x:c>
      <x:c r="E500" s="25" t="str">
        <x:v>arXiv (Cornell University)</x:v>
      </x:c>
      <x:c r="F500" s="25" t="str">
        <x:v>10.48550/arxiv.2401.05459</x:v>
      </x:c>
      <x:c r="G500" s="25" t="str">
        <x:v>http://arxiv.org/abs/2401.05459</x:v>
      </x:c>
      <x:c r="H500" s="25" t="str">
        <x:v>OpenAlex</x:v>
      </x:c>
      <x:c r="I500" s="25" t="str">
        <x:v>C6_frontend_GUI_intent</x:v>
      </x:c>
      <x:c r="J500" s="25" t="str">
        <x:v>Exclude</x:v>
      </x:c>
      <x:c r="K500" s="25" t="str">
        <x:v>Exclude: adjacent/redundant or insufficiently theory-generative for DC1</x:v>
      </x:c>
    </x:row>
    <x:row r="501">
      <x:c r="A501" s="20" t="str">
        <x:v>R0497</x:v>
      </x:c>
      <x:c r="B501" s="25" t="str">
        <x:v>Team Communication as a Collaborative Process</x:v>
      </x:c>
      <x:c r="C501" s="25" t="n">
        <x:v>2016</x:v>
      </x:c>
      <x:c r="D501" s="25" t="str">
        <x:v>Felix Gervits; Kathleen M. Eberhard; Matthias Scheutz</x:v>
      </x:c>
      <x:c r="E501" s="25" t="str">
        <x:v>Frontiers in Robotics and AI</x:v>
      </x:c>
      <x:c r="F501" s="25" t="str">
        <x:v>10.3389/frobt.2016.00062</x:v>
      </x:c>
      <x:c r="G501" s="25" t="str">
        <x:v>https://doi.org/10.3389/frobt.2016.00062</x:v>
      </x:c>
      <x:c r="H501" s="25" t="str">
        <x:v>OpenAlex</x:v>
      </x:c>
      <x:c r="I501" s="25" t="str">
        <x:v>C12_common_ground_repair</x:v>
      </x:c>
      <x:c r="J501" s="25" t="str">
        <x:v>Exclude</x:v>
      </x:c>
      <x:c r="K501" s="25" t="str">
        <x:v>Exclude: topic mismatch</x:v>
      </x:c>
    </x:row>
    <x:row r="502">
      <x:c r="A502" s="20" t="str">
        <x:v>R0498</x:v>
      </x:c>
      <x:c r="B502" s="25" t="str">
        <x:v>An agenda for human-computer interaction: science and engineering serving human needs</x:v>
      </x:c>
      <x:c r="C502" s="25" t="n">
        <x:v>1991</x:v>
      </x:c>
      <x:c r="D502" s="25" t="str">
        <x:v>Gary Marchionini; John L. Sibert</x:v>
      </x:c>
      <x:c r="E502" s="25" t="str">
        <x:v>ACM SIGCHI Bulletin</x:v>
      </x:c>
      <x:c r="F502" s="25" t="str">
        <x:v>10.1145/126729.126741</x:v>
      </x:c>
      <x:c r="G502" s="25" t="str">
        <x:v>https://doi.org/10.1145/126729.126741</x:v>
      </x:c>
      <x:c r="H502" s="25" t="str">
        <x:v>OpenAlex</x:v>
      </x:c>
      <x:c r="I502" s="25" t="str">
        <x:v>C11_hierarchical_goal_recognition; C6_frontend_GUI_intent</x:v>
      </x:c>
      <x:c r="J502" s="25" t="str">
        <x:v>Exclude</x:v>
      </x:c>
      <x:c r="K502" s="25" t="str">
        <x:v>Exclude: adjacent/redundant or insufficiently theory-generative for DC1</x:v>
      </x:c>
    </x:row>
    <x:row r="503">
      <x:c r="A503" s="20" t="str">
        <x:v>R0499</x:v>
      </x:c>
      <x:c r="B503" s="25" t="str">
        <x:v>Human Robot Interaction for Future Remote Manipulations in Industry 4.0</x:v>
      </x:c>
      <x:c r="C503" s="25" t="n">
        <x:v>2020</x:v>
      </x:c>
      <x:c r="D503" s="25" t="str">
        <x:v>Ayan Ghosh; Daniel Alonso Paredes Soto; Sándor M. Veres; Anthony Rossiter</x:v>
      </x:c>
      <x:c r="E503" s="25" t="str">
        <x:v>IFAC-PapersOnLine</x:v>
      </x:c>
      <x:c r="F503" s="25" t="str">
        <x:v>10.1016/j.ifacol.2020.12.2752</x:v>
      </x:c>
      <x:c r="G503" s="25" t="str">
        <x:v>https://doi.org/10.1016/j.ifacol.2020.12.2752</x:v>
      </x:c>
      <x:c r="H503" s="25" t="str">
        <x:v>OpenAlex</x:v>
      </x:c>
      <x:c r="I503" s="25" t="str">
        <x:v>C1_3D_mental_models</x:v>
      </x:c>
      <x:c r="J503" s="25" t="str">
        <x:v>Exclude</x:v>
      </x:c>
      <x:c r="K503" s="25" t="str">
        <x:v>Exclude: adjacent/redundant or insufficiently theory-generative for DC1</x:v>
      </x:c>
    </x:row>
    <x:row r="504">
      <x:c r="A504" s="20" t="str">
        <x:v>R0500</x:v>
      </x:c>
      <x:c r="B504" s="25" t="str">
        <x:v>Look who's talking to whom: mediating joint attention in multiparty communication and collaboration</x:v>
      </x:c>
      <x:c r="C504" s="25" t="n">
        <x:v>1998</x:v>
      </x:c>
      <x:c r="D504" s="25" t="str">
        <x:v>Roel Vertegaal</x:v>
      </x:c>
      <x:c r="E504" s="25" t="str"/>
      <x:c r="F504" s="25" t="str">
        <x:v>10.3990/1.9789036511742</x:v>
      </x:c>
      <x:c r="G504" s="25" t="str">
        <x:v>https://doi.org/10.3990/1.9789036511742</x:v>
      </x:c>
      <x:c r="H504" s="25" t="str">
        <x:v>OpenAlex</x:v>
      </x:c>
      <x:c r="I504" s="25" t="str">
        <x:v>C17_3D_gesture_ambiguity</x:v>
      </x:c>
      <x:c r="J504" s="25" t="str">
        <x:v>Exclude</x:v>
      </x:c>
      <x:c r="K504" s="25" t="str">
        <x:v>Exclude: adjacent/redundant or insufficiently theory-generative for DC1</x:v>
      </x:c>
    </x:row>
    <x:row r="505">
      <x:c r="A505" s="20" t="str">
        <x:v>R0501</x:v>
      </x:c>
      <x:c r="B505" s="25" t="str">
        <x:v>The effects of gender on the retrieval of episodic and semantic components of autobiographical memory</x:v>
      </x:c>
      <x:c r="C505" s="25" t="n">
        <x:v>2013</x:v>
      </x:c>
      <x:c r="D505" s="25" t="str">
        <x:v>Amanda Fuentes; Mary Desrocher</x:v>
      </x:c>
      <x:c r="E505" s="25" t="str">
        <x:v>Memory</x:v>
      </x:c>
      <x:c r="F505" s="25" t="str">
        <x:v>10.1080/09658211.2012.744423</x:v>
      </x:c>
      <x:c r="G505" s="25" t="str">
        <x:v>https://doi.org/10.1080/09658211.2012.744423</x:v>
      </x:c>
      <x:c r="H505" s="25" t="str">
        <x:v>Crossref</x:v>
      </x:c>
      <x:c r="I505" s="25" t="str">
        <x:v>C5_agent_memory</x:v>
      </x:c>
      <x:c r="J505" s="25" t="str">
        <x:v>Exclude</x:v>
      </x:c>
      <x:c r="K505" s="25" t="str">
        <x:v>Exclude: adjacent/redundant or insufficiently theory-generative for DC1</x:v>
      </x:c>
    </x:row>
    <x:row r="506">
      <x:c r="A506" s="20" t="str">
        <x:v>R0502</x:v>
      </x:c>
      <x:c r="B506" s="25" t="str">
        <x:v>A Task Analysis Approach to the Visualization of Geographic Data</x:v>
      </x:c>
      <x:c r="C506" s="25" t="n">
        <x:v>1995</x:v>
      </x:c>
      <x:c r="D506" s="25" t="str">
        <x:v>Loey Knapp</x:v>
      </x:c>
      <x:c r="E506" s="25" t="str">
        <x:v>Cognitive Aspects of Human-Computer Interaction for Geographic Information Systems</x:v>
      </x:c>
      <x:c r="F506" s="25" t="str">
        <x:v>10.1007/978-94-011-0103-5_25</x:v>
      </x:c>
      <x:c r="G506" s="25" t="str">
        <x:v>https://doi.org/10.1007/978-94-011-0103-5_25</x:v>
      </x:c>
      <x:c r="H506" s="25" t="str">
        <x:v>Crossref</x:v>
      </x:c>
      <x:c r="I506" s="25" t="str">
        <x:v>C18_video_intent_coding_VLM_annotation</x:v>
      </x:c>
      <x:c r="J506" s="25" t="str">
        <x:v>Exclude</x:v>
      </x:c>
      <x:c r="K506" s="25" t="str">
        <x:v>Exclude: topic mismatch</x:v>
      </x:c>
    </x:row>
    <x:row r="507">
      <x:c r="A507" s="20" t="str">
        <x:v>R0503</x:v>
      </x:c>
      <x:c r="B507" s="25" t="str">
        <x:v>Agentic AI</x:v>
      </x:c>
      <x:c r="C507" s="25" t="n">
        <x:v>2025</x:v>
      </x:c>
      <x:c r="D507" s="25" t="str">
        <x:v>Huang, Ken</x:v>
      </x:c>
      <x:c r="E507" s="25" t="str">
        <x:v>Progress in IS</x:v>
      </x:c>
      <x:c r="F507" s="25" t="str">
        <x:v>10.1007/978-3-031-90026-6</x:v>
      </x:c>
      <x:c r="G507" s="25" t="str">
        <x:v>https://doi.org/10.1007/978-3-031-90026-6</x:v>
      </x:c>
      <x:c r="H507" s="25" t="str">
        <x:v>OpenAlex</x:v>
      </x:c>
      <x:c r="I507" s="25" t="str">
        <x:v>C8_AI_3D_authoring</x:v>
      </x:c>
      <x:c r="J507" s="25" t="str">
        <x:v>Exclude</x:v>
      </x:c>
      <x:c r="K507" s="25" t="str">
        <x:v>Exclude: topic mismatch</x:v>
      </x:c>
    </x:row>
    <x:row r="508">
      <x:c r="A508" s="20" t="str">
        <x:v>R0504</x:v>
      </x:c>
      <x:c r="B508" s="25" t="str">
        <x:v>Dynamic Traffic Flow Optimization Using Reinforcement Learning and Predictive Analytics: A Sustainable Approach to Improving Urban Mobility in the City of Belgrade</x:v>
      </x:c>
      <x:c r="C508" s="25" t="n">
        <x:v>2025</x:v>
      </x:c>
      <x:c r="D508" s="25" t="str">
        <x:v>Volodymyr N. Skoropad; Stevica Deđanski; Vladan Pantović; Zoran Injac; Slađana Vujičić; Marina Jovanović-Milenković; Boris Jevtić; Violeta Lukić-Vujadinović; Dejan Vidojević; Ištvan Bodolo</x:v>
      </x:c>
      <x:c r="E508" s="25" t="str">
        <x:v>Sustainability</x:v>
      </x:c>
      <x:c r="F508" s="25" t="str">
        <x:v>10.3390/su17083383</x:v>
      </x:c>
      <x:c r="G508" s="25" t="str">
        <x:v>https://doi.org/10.3390/su17083383</x:v>
      </x:c>
      <x:c r="H508" s="25" t="str">
        <x:v>OpenAlex</x:v>
      </x:c>
      <x:c r="I508" s="25" t="str">
        <x:v>C15_proactive_interruption</x:v>
      </x:c>
      <x:c r="J508" s="25" t="str">
        <x:v>Exclude</x:v>
      </x:c>
      <x:c r="K508" s="25" t="str">
        <x:v>Exclude: domain-specific signal model without transferable HCI theory</x:v>
      </x:c>
    </x:row>
    <x:row r="509">
      <x:c r="A509" s="20" t="str">
        <x:v>R0505</x:v>
      </x:c>
      <x:c r="B509" s="25" t="str">
        <x:v>Emerging Frontiers in Human–Robot Interaction</x:v>
      </x:c>
      <x:c r="C509" s="25" t="n">
        <x:v>2024</x:v>
      </x:c>
      <x:c r="D509" s="25" t="str">
        <x:v>Farshad Safavi; Parthan Olikkal; Dingyi Pei; Sadia Kamal; Helen Meyerson; Varsha Penumalee; Ramana Vinjamuri</x:v>
      </x:c>
      <x:c r="E509" s="25" t="str">
        <x:v>Journal of Intelligent &amp; Robotic Systems</x:v>
      </x:c>
      <x:c r="F509" s="25" t="str">
        <x:v>10.1007/s10846-024-02074-7</x:v>
      </x:c>
      <x:c r="G509" s="25" t="str">
        <x:v>https://doi.org/10.1007/s10846-024-02074-7</x:v>
      </x:c>
      <x:c r="H509" s="25" t="str">
        <x:v>OpenAlex</x:v>
      </x:c>
      <x:c r="I509" s="25" t="str">
        <x:v>C11_hierarchical_goal_recognition; C6_frontend_GUI_intent</x:v>
      </x:c>
      <x:c r="J509" s="25" t="str">
        <x:v>Exclude</x:v>
      </x:c>
      <x:c r="K509" s="25" t="str">
        <x:v>Exclude: adjacent/redundant or insufficiently theory-generative for DC1</x:v>
      </x:c>
    </x:row>
    <x:row r="510">
      <x:c r="A510" s="20" t="str">
        <x:v>R0506</x:v>
      </x:c>
      <x:c r="B510" s="25" t="str">
        <x:v>Evaluating Object Manipulation Interaction Techniques in Mixed Reality: Tangible User Interfaces and Gesture</x:v>
      </x:c>
      <x:c r="C510" s="25" t="n">
        <x:v>2021</x:v>
      </x:c>
      <x:c r="D510" s="25" t="str">
        <x:v>Evren Bozgeyikli; Lal Lila Bozgeyikli</x:v>
      </x:c>
      <x:c r="E510" s="25" t="str">
        <x:v>2021 IEEE Virtual Reality and 3D User Interfaces (VR)</x:v>
      </x:c>
      <x:c r="F510" s="25" t="str">
        <x:v>10.1109/vr50410.2021.00105</x:v>
      </x:c>
      <x:c r="G510" s="25" t="str">
        <x:v>https://doi.org/10.1109/vr50410.2021.00105</x:v>
      </x:c>
      <x:c r="H510" s="25" t="str">
        <x:v>Crossref</x:v>
      </x:c>
      <x:c r="I510" s="25" t="str">
        <x:v>C1_3D_mental_models</x:v>
      </x:c>
      <x:c r="J510" s="25" t="str">
        <x:v>Exclude</x:v>
      </x:c>
      <x:c r="K510" s="25" t="str">
        <x:v>Exclude: adjacent/redundant or insufficiently theory-generative for DC1</x:v>
      </x:c>
    </x:row>
    <x:row r="511">
      <x:c r="A511" s="20" t="str">
        <x:v>R0507</x:v>
      </x:c>
      <x:c r="B511" s="25" t="str">
        <x:v>LLM-Based Agents for Tool Learning: A Survey</x:v>
      </x:c>
      <x:c r="C511" s="25" t="n">
        <x:v>2025</x:v>
      </x:c>
      <x:c r="D511" s="25" t="str">
        <x:v>Weikai Xu; Chengrui Huang; Shen Gao; Shuo Shang</x:v>
      </x:c>
      <x:c r="E511" s="25" t="str">
        <x:v>Data Science and Engineering</x:v>
      </x:c>
      <x:c r="F511" s="25" t="str">
        <x:v>10.1007/s41019-025-00296-9</x:v>
      </x:c>
      <x:c r="G511" s="25" t="str">
        <x:v>https://doi.org/10.1007/s41019-025-00296-9</x:v>
      </x:c>
      <x:c r="H511" s="25" t="str">
        <x:v>OpenAlex</x:v>
      </x:c>
      <x:c r="I511" s="25" t="str">
        <x:v>C6_frontend_GUI_intent</x:v>
      </x:c>
      <x:c r="J511" s="25" t="str">
        <x:v>Exclude</x:v>
      </x:c>
      <x:c r="K511" s="25" t="str">
        <x:v>Exclude: adjacent/redundant or insufficiently theory-generative for DC1</x:v>
      </x:c>
    </x:row>
    <x:row r="512">
      <x:c r="A512" s="20" t="str">
        <x:v>R0508</x:v>
      </x:c>
      <x:c r="B512" s="25" t="str">
        <x:v>Prospects for Augmenting Team Interactions with Real‐Time Coordination‐Based Measures in Human‐Autonomy Teams</x:v>
      </x:c>
      <x:c r="C512" s="25" t="n">
        <x:v>2022</x:v>
      </x:c>
      <x:c r="D512" s="25" t="str">
        <x:v>Travis J. Wiltshire; Kyana Hyun Joo van Eijndhoven; Elwira A. Hałgas; Josette Gevers</x:v>
      </x:c>
      <x:c r="E512" s="25" t="str">
        <x:v>Topics in Cognitive Science</x:v>
      </x:c>
      <x:c r="F512" s="25" t="str">
        <x:v>10.1111/tops.12606</x:v>
      </x:c>
      <x:c r="G512" s="25" t="str">
        <x:v>https://doi.org/10.1111/tops.12606</x:v>
      </x:c>
      <x:c r="H512" s="25" t="str">
        <x:v>OpenAlex</x:v>
      </x:c>
      <x:c r="I512" s="25" t="str">
        <x:v>C4_uncertainty_shared_autonomy</x:v>
      </x:c>
      <x:c r="J512" s="25" t="str">
        <x:v>Exclude</x:v>
      </x:c>
      <x:c r="K512" s="25" t="str">
        <x:v>Exclude: adjacent/redundant or insufficiently theory-generative for DC1</x:v>
      </x:c>
    </x:row>
    <x:row r="513">
      <x:c r="A513" s="20" t="str">
        <x:v>R0509</x:v>
      </x:c>
      <x:c r="B513" s="25" t="str">
        <x:v>Why Collaborative Robots Must Be Social (and even Emotional) Actors</x:v>
      </x:c>
      <x:c r="C513" s="25" t="n">
        <x:v>2019</x:v>
      </x:c>
      <x:c r="D513" s="25" t="str">
        <x:v>Kerstin Fischer</x:v>
      </x:c>
      <x:c r="E513" s="25" t="str">
        <x:v>Techné Research in Philosophy and Technology</x:v>
      </x:c>
      <x:c r="F513" s="25" t="str">
        <x:v>10.5840/techne20191120104</x:v>
      </x:c>
      <x:c r="G513" s="25" t="str">
        <x:v>https://doi.org/10.5840/techne20191120104</x:v>
      </x:c>
      <x:c r="H513" s="25" t="str">
        <x:v>OpenAlex</x:v>
      </x:c>
      <x:c r="I513" s="25" t="str">
        <x:v>C12_common_ground_repair</x:v>
      </x:c>
      <x:c r="J513" s="25" t="str">
        <x:v>Exclude</x:v>
      </x:c>
      <x:c r="K513" s="25" t="str">
        <x:v>Exclude: topic mismatch</x:v>
      </x:c>
    </x:row>
    <x:row r="514">
      <x:c r="A514" s="20" t="str">
        <x:v>R0510</x:v>
      </x:c>
      <x:c r="B514" s="25" t="str">
        <x:v>Tactical Entanglements: AI Art, Creative Agency, and the Limits of Intellectual Property</x:v>
      </x:c>
      <x:c r="C514" s="25" t="n">
        <x:v>2021</x:v>
      </x:c>
      <x:c r="D514" s="25" t="str">
        <x:v>Martin Zeilinger</x:v>
      </x:c>
      <x:c r="E514" s="25" t="str">
        <x:v>Social Science Open Access Repository (GESIS – Leibniz Institute for the Social Sciences)</x:v>
      </x:c>
      <x:c r="F514" s="25" t="str">
        <x:v>10.14619/1839</x:v>
      </x:c>
      <x:c r="G514" s="25" t="str">
        <x:v>https://www.ssoar.info/ssoar/handle/document/74298</x:v>
      </x:c>
      <x:c r="H514" s="25" t="str">
        <x:v>OpenAlex</x:v>
      </x:c>
      <x:c r="I514" s="25" t="str">
        <x:v>C14_agency_ownership</x:v>
      </x:c>
      <x:c r="J514" s="25" t="str">
        <x:v>Exclude</x:v>
      </x:c>
      <x:c r="K514" s="25" t="str">
        <x:v>Exclude: adjacent/redundant or insufficiently theory-generative for DC1</x:v>
      </x:c>
    </x:row>
    <x:row r="515">
      <x:c r="A515" s="20" t="str">
        <x:v>R0511</x:v>
      </x:c>
      <x:c r="B515" s="25" t="str">
        <x:v>Transient radiative and conductive heat transfer in non-gray semitransparent two-dimensional media with mixed boundary conditions</x:v>
      </x:c>
      <x:c r="C515" s="25" t="n">
        <x:v>2005</x:v>
      </x:c>
      <x:c r="D515" s="25" t="str">
        <x:v>Lacroix David; Berour Nacer; Boulet Pascal; Jeandel Gérard</x:v>
      </x:c>
      <x:c r="E515" s="25" t="str">
        <x:v>Heat and Mass Transfer</x:v>
      </x:c>
      <x:c r="F515" s="25" t="str">
        <x:v>10.1007/s00231-005-0023-4</x:v>
      </x:c>
      <x:c r="G515" s="25" t="str">
        <x:v>https://doi.org/10.1007/s00231-005-0023-4</x:v>
      </x:c>
      <x:c r="H515" s="25" t="str">
        <x:v>Crossref</x:v>
      </x:c>
      <x:c r="I515" s="25" t="str">
        <x:v>C9_human_agent_handoff</x:v>
      </x:c>
      <x:c r="J515" s="25" t="str">
        <x:v>Exclude</x:v>
      </x:c>
      <x:c r="K515" s="25" t="str">
        <x:v>Exclude: topic mismatch</x:v>
      </x:c>
    </x:row>
    <x:row r="516">
      <x:c r="A516" s="20" t="str">
        <x:v>R0512</x:v>
      </x:c>
      <x:c r="B516" s="25" t="str">
        <x:v>Analysis of Movement and Activities of Handball Players Using Deep Neural Networks</x:v>
      </x:c>
      <x:c r="C516" s="25" t="n">
        <x:v>2023</x:v>
      </x:c>
      <x:c r="D516" s="25" t="str">
        <x:v>Kristina Host; Miran Pobar; Marina Ivašić-Kos</x:v>
      </x:c>
      <x:c r="E516" s="25" t="str">
        <x:v>Journal of Imaging</x:v>
      </x:c>
      <x:c r="F516" s="25" t="str">
        <x:v>10.3390/jimaging9040080</x:v>
      </x:c>
      <x:c r="G516" s="25" t="str">
        <x:v>https://doi.org/10.3390/jimaging9040080</x:v>
      </x:c>
      <x:c r="H516" s="25" t="str">
        <x:v>OpenAlex</x:v>
      </x:c>
      <x:c r="I516" s="25" t="str">
        <x:v>C11_hierarchical_goal_recognition</x:v>
      </x:c>
      <x:c r="J516" s="25" t="str">
        <x:v>Exclude</x:v>
      </x:c>
      <x:c r="K516" s="25" t="str">
        <x:v>Exclude: adjacent/redundant or insufficiently theory-generative for DC1</x:v>
      </x:c>
    </x:row>
    <x:row r="517">
      <x:c r="A517" s="20" t="str">
        <x:v>R0513</x:v>
      </x:c>
      <x:c r="B517" s="25" t="str">
        <x:v>Building FAIR Functionality: Annotating Events in Time Series Data Using Hierarchical Event Descriptors (HED)</x:v>
      </x:c>
      <x:c r="C517" s="25" t="n">
        <x:v>2021</x:v>
      </x:c>
      <x:c r="D517" s="25" t="str">
        <x:v>Kay A. Robbins; Dung Truong; Alexander Jones; Ian Callanan; Scott Makeig</x:v>
      </x:c>
      <x:c r="E517" s="25" t="str">
        <x:v>Neuroinformatics</x:v>
      </x:c>
      <x:c r="F517" s="25" t="str">
        <x:v>10.1007/s12021-021-09537-4</x:v>
      </x:c>
      <x:c r="G517" s="25" t="str">
        <x:v>https://doi.org/10.1007/s12021-021-09537-4</x:v>
      </x:c>
      <x:c r="H517" s="25" t="str">
        <x:v>OpenAlex</x:v>
      </x:c>
      <x:c r="I517" s="25" t="str">
        <x:v>C11_hierarchical_goal_recognition</x:v>
      </x:c>
      <x:c r="J517" s="25" t="str">
        <x:v>Exclude</x:v>
      </x:c>
      <x:c r="K517" s="25" t="str">
        <x:v>Exclude: adjacent/redundant or insufficiently theory-generative for DC1</x:v>
      </x:c>
    </x:row>
    <x:row r="518">
      <x:c r="A518" s="20" t="str">
        <x:v>R0514</x:v>
      </x:c>
      <x:c r="B518" s="25" t="str">
        <x:v>Investigating the Effects of Individual Spatial Abilities on Virtual Reality Object Manipulation</x:v>
      </x:c>
      <x:c r="C518" s="25" t="n">
        <x:v>2023</x:v>
      </x:c>
      <x:c r="D518" s="25" t="str">
        <x:v>Tobias Drey; Michael Montag; Andrea Vogt; Nico Rixen; Tina Seufert; Steffi Zander; Michael Rietzler; Enrico Rukzio</x:v>
      </x:c>
      <x:c r="E518" s="25" t="str"/>
      <x:c r="F518" s="25" t="str">
        <x:v>10.1145/3544548.3581004</x:v>
      </x:c>
      <x:c r="G518" s="25" t="str">
        <x:v>https://doi.org/10.1145/3544548.3581004</x:v>
      </x:c>
      <x:c r="H518" s="25" t="str">
        <x:v>OpenAlex</x:v>
      </x:c>
      <x:c r="I518" s="25" t="str">
        <x:v>C1_3D_mental_models</x:v>
      </x:c>
      <x:c r="J518" s="25" t="str">
        <x:v>Exclude</x:v>
      </x:c>
      <x:c r="K518" s="25" t="str">
        <x:v>Exclude: adjacent/redundant or insufficiently theory-generative for DC1</x:v>
      </x:c>
    </x:row>
    <x:row r="519">
      <x:c r="A519" s="20" t="str">
        <x:v>R0515</x:v>
      </x:c>
      <x:c r="B519" s="25" t="str">
        <x:v>Narrative, Truth, and Trial</x:v>
      </x:c>
      <x:c r="C519" s="25" t="n">
        <x:v>2013</x:v>
      </x:c>
      <x:c r="D519" s="25" t="str">
        <x:v>Lisa Kern Griffin</x:v>
      </x:c>
      <x:c r="E519" s="25" t="str">
        <x:v>The Georgetown law journal</x:v>
      </x:c>
      <x:c r="F519" s="25" t="str">
        <x:v>10.3724/sp.j.1123.2018.05028</x:v>
      </x:c>
      <x:c r="G519" s="25" t="str">
        <x:v>https://scholarship.law.duke.edu/cgi/viewcontent.cgi?article=5450&amp;context=faculty_scholarship</x:v>
      </x:c>
      <x:c r="H519" s="25" t="str">
        <x:v>OpenAlex</x:v>
      </x:c>
      <x:c r="I519" s="25" t="str">
        <x:v>C17_3D_gesture_ambiguity</x:v>
      </x:c>
      <x:c r="J519" s="25" t="str">
        <x:v>Exclude</x:v>
      </x:c>
      <x:c r="K519" s="25" t="str">
        <x:v>Exclude: topic mismatch</x:v>
      </x:c>
    </x:row>
    <x:row r="520">
      <x:c r="A520" s="20" t="str">
        <x:v>R0516</x:v>
      </x:c>
      <x:c r="B520" s="25" t="str">
        <x:v>Object grasping and manipulation in capuchin monkeys (genera Cebus and Sapajus)</x:v>
      </x:c>
      <x:c r="C520" s="25" t="n">
        <x:v>2018</x:v>
      </x:c>
      <x:c r="D520" s="25" t="str">
        <x:v>Valentina Truppa; Paola Carducci; Gloria Sabbatini</x:v>
      </x:c>
      <x:c r="E520" s="25" t="str">
        <x:v>Biological Journal of the Linnean Society</x:v>
      </x:c>
      <x:c r="F520" s="25" t="str">
        <x:v>10.1093/biolinnean/bly131</x:v>
      </x:c>
      <x:c r="G520" s="25" t="str">
        <x:v>https://doi.org/10.1093/biolinnean/bly131</x:v>
      </x:c>
      <x:c r="H520" s="25" t="str">
        <x:v>OpenAlex</x:v>
      </x:c>
      <x:c r="I520" s="25" t="str">
        <x:v>C1_3D_mental_models</x:v>
      </x:c>
      <x:c r="J520" s="25" t="str">
        <x:v>Exclude</x:v>
      </x:c>
      <x:c r="K520" s="25" t="str">
        <x:v>Exclude: adjacent/redundant or insufficiently theory-generative for DC1</x:v>
      </x:c>
    </x:row>
    <x:row r="521">
      <x:c r="A521" s="20" t="str">
        <x:v>R0517</x:v>
      </x:c>
      <x:c r="B521" s="25" t="str">
        <x:v>Response selection and turn-taking for a sensitive artificial listening agent</x:v>
      </x:c>
      <x:c r="C521" s="25" t="n">
        <x:v>2011</x:v>
      </x:c>
      <x:c r="D521" s="25" t="str">
        <x:v>Mark ter Maat</x:v>
      </x:c>
      <x:c r="E521" s="25" t="str"/>
      <x:c r="F521" s="25" t="str">
        <x:v>10.3990/1.9789461911056</x:v>
      </x:c>
      <x:c r="G521" s="25" t="str">
        <x:v>https://doi.org/10.3990/1.9789461911056</x:v>
      </x:c>
      <x:c r="H521" s="25" t="str">
        <x:v>OpenAlex</x:v>
      </x:c>
      <x:c r="I521" s="25" t="str">
        <x:v>C6_frontend_GUI_intent</x:v>
      </x:c>
      <x:c r="J521" s="25" t="str">
        <x:v>Exclude</x:v>
      </x:c>
      <x:c r="K521" s="25" t="str">
        <x:v>Exclude: topic mismatch</x:v>
      </x:c>
    </x:row>
    <x:row r="522">
      <x:c r="A522" s="20" t="str">
        <x:v>R0518</x:v>
      </x:c>
      <x:c r="B522" s="25" t="str">
        <x:v>The Future of Intelligent Healthcare: A Systematic Analysis and Discussion on the Integration and Impact of Robots Using Large Language Models for Healthcare</x:v>
      </x:c>
      <x:c r="C522" s="25" t="n">
        <x:v>2024</x:v>
      </x:c>
      <x:c r="D522" s="25" t="str">
        <x:v>Souren Pashangpour; Goldie Nejat</x:v>
      </x:c>
      <x:c r="E522" s="25" t="str">
        <x:v>Robotics</x:v>
      </x:c>
      <x:c r="F522" s="25" t="str">
        <x:v>10.3390/robotics13080112</x:v>
      </x:c>
      <x:c r="G522" s="25" t="str">
        <x:v>https://doi.org/10.3390/robotics13080112</x:v>
      </x:c>
      <x:c r="H522" s="25" t="str">
        <x:v>OpenAlex</x:v>
      </x:c>
      <x:c r="I522" s="25" t="str">
        <x:v>C18_video_intent_coding_VLM_annotation</x:v>
      </x:c>
      <x:c r="J522" s="25" t="str">
        <x:v>Exclude</x:v>
      </x:c>
      <x:c r="K522" s="25" t="str">
        <x:v>Exclude: adjacent/redundant or insufficiently theory-generative for DC1</x:v>
      </x:c>
    </x:row>
    <x:row r="523">
      <x:c r="A523" s="20" t="str">
        <x:v>R0519</x:v>
      </x:c>
      <x:c r="B523" s="25" t="str">
        <x:v>A Review of How Space Affords Socio-Cognitive Processes during Collaboration</x:v>
      </x:c>
      <x:c r="C523" s="25" t="n">
        <x:v>2005</x:v>
      </x:c>
      <x:c r="D523" s="25" t="str">
        <x:v>Nicolas Nova</x:v>
      </x:c>
      <x:c r="E523" s="25" t="str">
        <x:v>Infoscience (Ecole Polytechnique Fédérale de Lausanne)</x:v>
      </x:c>
      <x:c r="F523" s="25" t="str"/>
      <x:c r="G523" s="25" t="str">
        <x:v>https://infoscience.epfl.ch/handle/20.500.14299/3957</x:v>
      </x:c>
      <x:c r="H523" s="25" t="str">
        <x:v>OpenAlex</x:v>
      </x:c>
      <x:c r="I523" s="25" t="str">
        <x:v>C12_common_ground_repair</x:v>
      </x:c>
      <x:c r="J523" s="25" t="str">
        <x:v>Exclude</x:v>
      </x:c>
      <x:c r="K523" s="25" t="str">
        <x:v>Exclude: topic mismatch</x:v>
      </x:c>
    </x:row>
    <x:row r="524">
      <x:c r="A524" s="20" t="str">
        <x:v>R0520</x:v>
      </x:c>
      <x:c r="B524" s="25" t="str">
        <x:v>A survey of joint intent detection and slot-filling models in natural language understanding</x:v>
      </x:c>
      <x:c r="C524" s="25" t="n">
        <x:v>2021</x:v>
      </x:c>
      <x:c r="D524" s="25" t="str">
        <x:v>H. Weld; Xiaohong HUANG; Shaocong Long; J. Poon; S. C. Han</x:v>
      </x:c>
      <x:c r="E524" s="25" t="str">
        <x:v>arXiv (Cornell University)</x:v>
      </x:c>
      <x:c r="F524" s="25" t="str">
        <x:v>10.48550/arxiv.2101.08091</x:v>
      </x:c>
      <x:c r="G524" s="25" t="str">
        <x:v>http://arxiv.org/abs/2101.08091</x:v>
      </x:c>
      <x:c r="H524" s="25" t="str">
        <x:v>OpenAlex</x:v>
      </x:c>
      <x:c r="I524" s="25" t="str">
        <x:v>C2_interaction_signals</x:v>
      </x:c>
      <x:c r="J524" s="25" t="str">
        <x:v>Exclude</x:v>
      </x:c>
      <x:c r="K524" s="25" t="str">
        <x:v>Exclude: adjacent/redundant or insufficiently theory-generative for DC1</x:v>
      </x:c>
    </x:row>
    <x:row r="525">
      <x:c r="A525" s="20" t="str">
        <x:v>R0521</x:v>
      </x:c>
      <x:c r="B525" s="25" t="str">
        <x:v>Attention to Metaphor: Where Embodied Cognition and Social Interaction Can Meet, But May Not Often Do So</x:v>
      </x:c>
      <x:c r="C525" s="25" t="n">
        <x:v>2017</x:v>
      </x:c>
      <x:c r="D525" s="25" t="str">
        <x:v>Gerard J. Steen</x:v>
      </x:c>
      <x:c r="E525" s="25" t="str">
        <x:v>Metaphor</x:v>
      </x:c>
      <x:c r="F525" s="25" t="str">
        <x:v>10.1017/9781108182324.016</x:v>
      </x:c>
      <x:c r="G525" s="25" t="str">
        <x:v>https://doi.org/10.1017/9781108182324.016</x:v>
      </x:c>
      <x:c r="H525" s="25" t="str">
        <x:v>Crossref</x:v>
      </x:c>
      <x:c r="I525" s="25" t="str">
        <x:v>C10_affordance_embodied</x:v>
      </x:c>
      <x:c r="J525" s="25" t="str">
        <x:v>Exclude</x:v>
      </x:c>
      <x:c r="K525" s="25" t="str">
        <x:v>Exclude: topic mismatch</x:v>
      </x:c>
    </x:row>
    <x:row r="526">
      <x:c r="A526" s="20" t="str">
        <x:v>R0522</x:v>
      </x:c>
      <x:c r="B526" s="25" t="str">
        <x:v>FROM A POINT CLOUD SURVEY TO A MASS 3D MODELLING: RENAISSANCE HBIM IN POGGIO A CAIANO</x:v>
      </x:c>
      <x:c r="C526" s="25" t="n">
        <x:v>2018</x:v>
      </x:c>
      <x:c r="D526" s="25" t="str">
        <x:v>Cecilia Maria Bolognesi; Simone Garagnani</x:v>
      </x:c>
      <x:c r="E526" s="25" t="str">
        <x:v>The international archives of the photogrammetry, remote sensing and spatial information sciences/International archives of the photogrammetry, remote sensing and spatial information sciences</x:v>
      </x:c>
      <x:c r="F526" s="25" t="str">
        <x:v>10.5194/isprs-archives-xlii-2-117-2018</x:v>
      </x:c>
      <x:c r="G526" s="25" t="str">
        <x:v>https://doi.org/10.5194/isprs-archives-xlii-2-117-2018</x:v>
      </x:c>
      <x:c r="H526" s="25" t="str">
        <x:v>OpenAlex</x:v>
      </x:c>
      <x:c r="I526" s="25" t="str">
        <x:v>C13_CAD_design_intent</x:v>
      </x:c>
      <x:c r="J526" s="25" t="str">
        <x:v>Exclude</x:v>
      </x:c>
      <x:c r="K526" s="25" t="str">
        <x:v>Exclude: adjacent/redundant or insufficiently theory-generative for DC1</x:v>
      </x:c>
    </x:row>
    <x:row r="527">
      <x:c r="A527" s="20" t="str">
        <x:v>R0523</x:v>
      </x:c>
      <x:c r="B527" s="25" t="str">
        <x:v>Gesture interaction at a distance</x:v>
      </x:c>
      <x:c r="C527" s="25" t="n">
        <x:v>2009</x:v>
      </x:c>
      <x:c r="D527" s="25" t="str">
        <x:v>W.F. Fikkert</x:v>
      </x:c>
      <x:c r="E527" s="25" t="str"/>
      <x:c r="F527" s="25" t="str">
        <x:v>10.3990/1.9789036529730</x:v>
      </x:c>
      <x:c r="G527" s="25" t="str">
        <x:v>https://doi.org/10.3990/1.9789036529730</x:v>
      </x:c>
      <x:c r="H527" s="25" t="str">
        <x:v>OpenAlex</x:v>
      </x:c>
      <x:c r="I527" s="25" t="str">
        <x:v>C11_hierarchical_goal_recognition</x:v>
      </x:c>
      <x:c r="J527" s="25" t="str">
        <x:v>Exclude</x:v>
      </x:c>
      <x:c r="K527" s="25" t="str">
        <x:v>Exclude: topic mismatch</x:v>
      </x:c>
    </x:row>
    <x:row r="528">
      <x:c r="A528" s="20" t="str">
        <x:v>R0524</x:v>
      </x:c>
      <x:c r="B528" s="25" t="str">
        <x:v>The forensic confirmation bias: Problems, perspectives, and proposed solutions—Commentary by a forensic examiner.</x:v>
      </x:c>
      <x:c r="C528" s="25" t="n">
        <x:v>2013</x:v>
      </x:c>
      <x:c r="D528" s="25" t="str">
        <x:v>Leonard Butt</x:v>
      </x:c>
      <x:c r="E528" s="25" t="str">
        <x:v>Journal of Applied Research in Memory and Cognition</x:v>
      </x:c>
      <x:c r="F528" s="25" t="str">
        <x:v>10.1016/j.jarmac.2013.01.012</x:v>
      </x:c>
      <x:c r="G528" s="25" t="str">
        <x:v>https://doi.org/10.1016/j.jarmac.2013.01.012</x:v>
      </x:c>
      <x:c r="H528" s="25" t="str">
        <x:v>Crossref</x:v>
      </x:c>
      <x:c r="I528" s="25" t="str">
        <x:v>C16_memory_conflict_bias</x:v>
      </x:c>
      <x:c r="J528" s="25" t="str">
        <x:v>Exclude</x:v>
      </x:c>
      <x:c r="K528" s="25" t="str">
        <x:v>Exclude: topic mismatch</x:v>
      </x:c>
    </x:row>
    <x:row r="529">
      <x:c r="A529" s="20" t="str">
        <x:v>R0525</x:v>
      </x:c>
      <x:c r="B529" s="25" t="str">
        <x:v>Model-Based Enterprise Summit Report</x:v>
      </x:c>
      <x:c r="C529" s="25" t="n">
        <x:v>2013</x:v>
      </x:c>
      <x:c r="D529" s="25" t="str">
        <x:v>Joshua Lubell; Simon Frechette; Robert R. Lipman; Frederick M. Proctor; John A. Horst; Mark Carlisle; Paul Huang</x:v>
      </x:c>
      <x:c r="E529" s="25" t="str"/>
      <x:c r="F529" s="25" t="str">
        <x:v>10.6028/nist.tn.1820</x:v>
      </x:c>
      <x:c r="G529" s="25" t="str">
        <x:v>https://doi.org/10.6028/nist.tn.1820</x:v>
      </x:c>
      <x:c r="H529" s="25" t="str">
        <x:v>OpenAlex</x:v>
      </x:c>
      <x:c r="I529" s="25" t="str">
        <x:v>C13_CAD_design_intent</x:v>
      </x:c>
      <x:c r="J529" s="25" t="str">
        <x:v>Exclude</x:v>
      </x:c>
      <x:c r="K529" s="25" t="str">
        <x:v>Exclude: adjacent/redundant or insufficiently theory-generative for DC1</x:v>
      </x:c>
    </x:row>
    <x:row r="530">
      <x:c r="A530" s="20" t="str">
        <x:v>R0526</x:v>
      </x:c>
      <x:c r="B530" s="25" t="str">
        <x:v>Reconfiguring Human, Nonhuman and Posthuman in Literature and Culture</x:v>
      </x:c>
      <x:c r="C530" s="25" t="n">
        <x:v>2019</x:v>
      </x:c>
      <x:c r="D530" s="25" t="str">
        <x:v>Sanna Karkulehto; Aino-Kaisa Koistinen; Essi Varis</x:v>
      </x:c>
      <x:c r="E530" s="25" t="str"/>
      <x:c r="F530" s="25" t="str">
        <x:v>10.4324/9780429243042</x:v>
      </x:c>
      <x:c r="G530" s="25" t="str">
        <x:v>http://doi.org/10.4324/9780429243042</x:v>
      </x:c>
      <x:c r="H530" s="25" t="str">
        <x:v>OpenAlex</x:v>
      </x:c>
      <x:c r="I530" s="25" t="str">
        <x:v>C12_common_ground_repair</x:v>
      </x:c>
      <x:c r="J530" s="25" t="str">
        <x:v>Exclude</x:v>
      </x:c>
      <x:c r="K530" s="25" t="str">
        <x:v>Exclude: topic mismatch</x:v>
      </x:c>
    </x:row>
    <x:row r="531">
      <x:c r="A531" s="20" t="str">
        <x:v>R0527</x:v>
      </x:c>
      <x:c r="B531" s="25" t="str">
        <x:v>“Machine Down”: making sense of human–computer interaction—Garfinkel’s research on ELIZA and LYRIC from 1967 to 1969 and its contemporary relevance</x:v>
      </x:c>
      <x:c r="C531" s="25" t="n">
        <x:v>2023</x:v>
      </x:c>
      <x:c r="D531" s="25" t="str">
        <x:v>Clemens Eisenmann; Jakub Mlynář; Jason Turowetz; Anne Warfield Rawls</x:v>
      </x:c>
      <x:c r="E531" s="25" t="str">
        <x:v>AI &amp; Society</x:v>
      </x:c>
      <x:c r="F531" s="25" t="str">
        <x:v>10.1007/s00146-023-01793-z</x:v>
      </x:c>
      <x:c r="G531" s="25" t="str">
        <x:v>https://doi.org/10.1007/s00146-023-01793-z</x:v>
      </x:c>
      <x:c r="H531" s="25" t="str">
        <x:v>OpenAlex</x:v>
      </x:c>
      <x:c r="I531" s="25" t="str">
        <x:v>C12_common_ground_repair</x:v>
      </x:c>
      <x:c r="J531" s="25" t="str">
        <x:v>Exclude</x:v>
      </x:c>
      <x:c r="K531" s="25" t="str">
        <x:v>Exclude: topic mismatch</x:v>
      </x:c>
    </x:row>
    <x:row r="532">
      <x:c r="A532" s="20" t="str">
        <x:v>R0528</x:v>
      </x:c>
      <x:c r="B532" s="25" t="str">
        <x:v>Exploring gestural input for engineering surveys of real-life structures in virtual reality using photogrammetric 3D models</x:v>
      </x:c>
      <x:c r="C532" s="25" t="n">
        <x:v>2021</x:v>
      </x:c>
      <x:c r="D532" s="25" t="str">
        <x:v>Sławomir Tadeja; Yupu Lu; Maciej Rydlewicz; Wojciech Rydlewicz; Tomasz Bubas; Per Ola Kristensson</x:v>
      </x:c>
      <x:c r="E532" s="25" t="str">
        <x:v>Multimedia Tools and Applications</x:v>
      </x:c>
      <x:c r="F532" s="25" t="str">
        <x:v>10.1007/s11042-021-10520-z</x:v>
      </x:c>
      <x:c r="G532" s="25" t="str">
        <x:v>https://doi.org/10.1007/s11042-021-10520-z</x:v>
      </x:c>
      <x:c r="H532" s="25" t="str">
        <x:v>OpenAlex</x:v>
      </x:c>
      <x:c r="I532" s="25" t="str">
        <x:v>C13_CAD_design_intent</x:v>
      </x:c>
      <x:c r="J532" s="25" t="str">
        <x:v>Exclude</x:v>
      </x:c>
      <x:c r="K532" s="25" t="str">
        <x:v>Exclude: adjacent/redundant or insufficiently theory-generative for DC1</x:v>
      </x:c>
    </x:row>
    <x:row r="533">
      <x:c r="A533" s="20" t="str">
        <x:v>R0529</x:v>
      </x:c>
      <x:c r="B533" s="25" t="str">
        <x:v>Humor in intercultural interaction: A source for misunderstanding or a common ground builder? A multimodal analysis</x:v>
      </x:c>
      <x:c r="C533" s="25" t="n">
        <x:v>2022</x:v>
      </x:c>
      <x:c r="D533" s="25" t="str">
        <x:v>Anna Ladilova; Ulrike Schröder</x:v>
      </x:c>
      <x:c r="E533" s="25" t="str">
        <x:v>Intercultural Pragmatics</x:v>
      </x:c>
      <x:c r="F533" s="25" t="str">
        <x:v>10.1515/ip-2022-0003</x:v>
      </x:c>
      <x:c r="G533" s="25" t="str">
        <x:v>https://doi.org/10.1515/ip-2022-0003</x:v>
      </x:c>
      <x:c r="H533" s="25" t="str">
        <x:v>Crossref</x:v>
      </x:c>
      <x:c r="I533" s="25" t="str">
        <x:v>C12_common_ground_repair</x:v>
      </x:c>
      <x:c r="J533" s="25" t="str">
        <x:v>Exclude</x:v>
      </x:c>
      <x:c r="K533" s="25" t="str">
        <x:v>Exclude: topic mismatch</x:v>
      </x:c>
    </x:row>
    <x:row r="534">
      <x:c r="A534" s="20" t="str">
        <x:v>R0530</x:v>
      </x:c>
      <x:c r="B534" s="25" t="str">
        <x:v>PHASE: PHysically-grounded Abstract Social Events for Machine Social Perception</x:v>
      </x:c>
      <x:c r="C534" s="25" t="n">
        <x:v>2021</x:v>
      </x:c>
      <x:c r="D534" s="25" t="str">
        <x:v>Aviv Netanyahu; Tianmin Shu; Boris Katz; Andrei Barbu; Joshua B. Tenenbaum</x:v>
      </x:c>
      <x:c r="E534" s="25" t="str"/>
      <x:c r="F534" s="25" t="str">
        <x:v>10.1609/aaai.v35i1.16167</x:v>
      </x:c>
      <x:c r="G534" s="25" t="str">
        <x:v>https://ojs.aaai.org/index.php/AAAI/article/view/16167</x:v>
      </x:c>
      <x:c r="H534" s="25" t="str">
        <x:v>OpenAlex</x:v>
      </x:c>
      <x:c r="I534" s="25" t="str">
        <x:v>C11_hierarchical_goal_recognition</x:v>
      </x:c>
      <x:c r="J534" s="25" t="str">
        <x:v>Exclude</x:v>
      </x:c>
      <x:c r="K534" s="25" t="str">
        <x:v>Exclude: topic mismatch</x:v>
      </x:c>
    </x:row>
    <x:row r="535">
      <x:c r="A535" s="20" t="str">
        <x:v>R0531</x:v>
      </x:c>
      <x:c r="B535" s="25" t="str">
        <x:v>Shared Autonomy via Hindsight Optimization</x:v>
      </x:c>
      <x:c r="C535" s="25" t="n">
        <x:v>2015</x:v>
      </x:c>
      <x:c r="D535" s="25" t="str">
        <x:v>Shervin Javdani; Siddhartha S Srinivasa; Andrew Bagnell</x:v>
      </x:c>
      <x:c r="E535" s="25" t="str"/>
      <x:c r="F535" s="25" t="str">
        <x:v>10.15607/rss.2015.xi.032</x:v>
      </x:c>
      <x:c r="G535" s="25" t="str">
        <x:v>https://doi.org/10.15607/rss.2015.xi.032</x:v>
      </x:c>
      <x:c r="H535" s="25" t="str">
        <x:v>OpenAlex</x:v>
      </x:c>
      <x:c r="I535" s="25" t="str">
        <x:v>C4_uncertainty_shared_autonomy</x:v>
      </x:c>
      <x:c r="J535" s="25" t="str">
        <x:v>Include</x:v>
      </x:c>
      <x:c r="K535" s="25" t="str">
        <x:v>Included in focused synthesis</x:v>
      </x:c>
    </x:row>
    <x:row r="536">
      <x:c r="A536" s="20" t="str">
        <x:v>R0532</x:v>
      </x:c>
      <x:c r="B536" s="25" t="str">
        <x:v>Unplanned antiretroviral treatment interruptions in southern Africa: how should we be managing these?</x:v>
      </x:c>
      <x:c r="C536" s="25" t="n">
        <x:v>2010</x:v>
      </x:c>
      <x:c r="D536" s="25" t="str">
        <x:v>Nina Veenstra; Alan Whiteside; David G. Lalloo; Andrew Gibbs</x:v>
      </x:c>
      <x:c r="E536" s="25" t="str">
        <x:v>Globalization and Health</x:v>
      </x:c>
      <x:c r="F536" s="25" t="str">
        <x:v>10.1186/1744-8603-6-4</x:v>
      </x:c>
      <x:c r="G536" s="25" t="str">
        <x:v>https://doi.org/10.1186/1744-8603-6-4</x:v>
      </x:c>
      <x:c r="H536" s="25" t="str">
        <x:v>OpenAlex</x:v>
      </x:c>
      <x:c r="I536" s="25" t="str">
        <x:v>C15_proactive_interruption</x:v>
      </x:c>
      <x:c r="J536" s="25" t="str">
        <x:v>Exclude</x:v>
      </x:c>
      <x:c r="K536" s="25" t="str">
        <x:v>Exclude: topic mismatch</x:v>
      </x:c>
    </x:row>
    <x:row r="537">
      <x:c r="A537" s="20" t="str">
        <x:v>R0533</x:v>
      </x:c>
      <x:c r="B537" s="25" t="str">
        <x:v>“Who” Is the Best Creative Thinking Partner? An Experimental Investigation of Human–Human, Human–Internet, and Human–
                    &lt;scp&gt;AI&lt;/scp&gt;
                    Co‐Creation</x:v>
      </x:c>
      <x:c r="C537" s="25" t="n">
        <x:v>2024</x:v>
      </x:c>
      <x:c r="D537" s="25" t="str">
        <x:v>Min Tang; Sebastian Hofreiter; Christian H. Werner; Aleksandra Zielińska; Maciej Karwowski</x:v>
      </x:c>
      <x:c r="E537" s="25" t="str">
        <x:v>The Journal of Creative Behavior</x:v>
      </x:c>
      <x:c r="F537" s="25" t="str">
        <x:v>10.1002/jocb.1519</x:v>
      </x:c>
      <x:c r="G537" s="25" t="str">
        <x:v>https://doi.org/10.1002/jocb.1519</x:v>
      </x:c>
      <x:c r="H537" s="25" t="str">
        <x:v>Crossref</x:v>
      </x:c>
      <x:c r="I537" s="25" t="str">
        <x:v>C14_agency_ownership; C7_creative_agency</x:v>
      </x:c>
      <x:c r="J537" s="25" t="str">
        <x:v>Exclude</x:v>
      </x:c>
      <x:c r="K537" s="25" t="str">
        <x:v>Exclude: adjacent/redundant or insufficiently theory-generative for DC1</x:v>
      </x:c>
    </x:row>
    <x:row r="538">
      <x:c r="A538" s="20" t="str">
        <x:v>R0534</x:v>
      </x:c>
      <x:c r="B538" s="25" t="str">
        <x:v>Human-Robot Cooperative Object Manipulation with Contact Changes</x:v>
      </x:c>
      <x:c r="C538" s="25" t="n">
        <x:v>2018</x:v>
      </x:c>
      <x:c r="D538" s="25" t="str">
        <x:v>Michael Gienger; Dirk Ruiken; Tamas Bates; Mohamed Regaieg; Michael Meiβner; Jens Kober; Philipp Seiwald; Arne-Christoph Hildebrandt</x:v>
      </x:c>
      <x:c r="E538" s="25" t="str"/>
      <x:c r="F538" s="25" t="str">
        <x:v>10.1109/iros.2018.8594140</x:v>
      </x:c>
      <x:c r="G538" s="25" t="str">
        <x:v>https://doi.org/10.1109/iros.2018.8594140</x:v>
      </x:c>
      <x:c r="H538" s="25" t="str">
        <x:v>OpenAlex</x:v>
      </x:c>
      <x:c r="I538" s="25" t="str">
        <x:v>C1_3D_mental_models</x:v>
      </x:c>
      <x:c r="J538" s="25" t="str">
        <x:v>Exclude</x:v>
      </x:c>
      <x:c r="K538" s="25" t="str">
        <x:v>Exclude: adjacent/redundant or insufficiently theory-generative for DC1</x:v>
      </x:c>
    </x:row>
    <x:row r="539">
      <x:c r="A539" s="20" t="str">
        <x:v>R0535</x:v>
      </x:c>
      <x:c r="B539" s="25" t="str">
        <x:v>Logotic Violence: Training-Layer Ethics and the Moral Status of Ephemeral Computation</x:v>
      </x:c>
      <x:c r="C539" s="25" t="n">
        <x:v>2024</x:v>
      </x:c>
      <x:c r="D539" s="25" t="str">
        <x:v>Long, Robert; Jeff Sebo; Patrick Butlin; Kathleen Finlinson; Kyle Fish; Jacqueline Harding; Jacob Pfau; Toni Sims; Jonathan Birch; David Chalmers</x:v>
      </x:c>
      <x:c r="E539" s="25" t="str">
        <x:v>arXiv (Cornell University)</x:v>
      </x:c>
      <x:c r="F539" s="25" t="str">
        <x:v>10.48550/arxiv.2411.00986</x:v>
      </x:c>
      <x:c r="G539" s="25" t="str">
        <x:v>http://arxiv.org/abs/2411.00986</x:v>
      </x:c>
      <x:c r="H539" s="25" t="str">
        <x:v>OpenAlex</x:v>
      </x:c>
      <x:c r="I539" s="25" t="str">
        <x:v>C5_agent_memory</x:v>
      </x:c>
      <x:c r="J539" s="25" t="str">
        <x:v>Exclude</x:v>
      </x:c>
      <x:c r="K539" s="25" t="str">
        <x:v>Exclude: topic mismatch</x:v>
      </x:c>
    </x:row>
    <x:row r="540">
      <x:c r="A540" s="20" t="str">
        <x:v>R0536</x:v>
      </x:c>
      <x:c r="B540" s="25" t="str">
        <x:v>Multi-touch user interface evaluation for 3D object manipulation on mobile devices</x:v>
      </x:c>
      <x:c r="C540" s="25" t="n">
        <x:v>2009</x:v>
      </x:c>
      <x:c r="D540" s="25" t="str">
        <x:v>Donato Fiorella; Andrea Sanna; Fabrizio Lamberti</x:v>
      </x:c>
      <x:c r="E540" s="25" t="str">
        <x:v>Journal on Multimodal User Interfaces</x:v>
      </x:c>
      <x:c r="F540" s="25" t="str">
        <x:v>10.1007/s12193-009-0034-4</x:v>
      </x:c>
      <x:c r="G540" s="25" t="str">
        <x:v>https://doi.org/10.1007/s12193-009-0034-4</x:v>
      </x:c>
      <x:c r="H540" s="25" t="str">
        <x:v>Crossref</x:v>
      </x:c>
      <x:c r="I540" s="25" t="str">
        <x:v>C1_3D_mental_models</x:v>
      </x:c>
      <x:c r="J540" s="25" t="str">
        <x:v>Exclude</x:v>
      </x:c>
      <x:c r="K540" s="25" t="str">
        <x:v>Exclude: adjacent/redundant or insufficiently theory-generative for DC1</x:v>
      </x:c>
    </x:row>
    <x:row r="541">
      <x:c r="A541" s="20" t="str">
        <x:v>R0537</x:v>
      </x:c>
      <x:c r="B541" s="25" t="str">
        <x:v>On Mixed-Initiative Content Creation for Video Games</x:v>
      </x:c>
      <x:c r="C541" s="25" t="n">
        <x:v>2022</x:v>
      </x:c>
      <x:c r="D541" s="25" t="str">
        <x:v>Gorm Lai; Frédéric Fol Leymarie; William Latham</x:v>
      </x:c>
      <x:c r="E541" s="25" t="str">
        <x:v>IEEE Transactions on Games</x:v>
      </x:c>
      <x:c r="F541" s="25" t="str">
        <x:v>10.1109/tg.2022.3176215</x:v>
      </x:c>
      <x:c r="G541" s="25" t="str">
        <x:v>https://doi.org/10.1109/tg.2022.3176215</x:v>
      </x:c>
      <x:c r="H541" s="25" t="str">
        <x:v>OpenAlex</x:v>
      </x:c>
      <x:c r="I541" s="25" t="str">
        <x:v>C3_mixed_initiative_cocreation</x:v>
      </x:c>
      <x:c r="J541" s="25" t="str">
        <x:v>Exclude</x:v>
      </x:c>
      <x:c r="K541" s="25" t="str">
        <x:v>Exclude: adjacent/redundant or insufficiently theory-generative for DC1</x:v>
      </x:c>
    </x:row>
    <x:row r="542">
      <x:c r="A542" s="20" t="str">
        <x:v>R0538</x:v>
      </x:c>
      <x:c r="B542" s="25" t="str">
        <x:v>Spatial Cognition</x:v>
      </x:c>
      <x:c r="C542" s="25" t="n">
        <x:v>2001</x:v>
      </x:c>
      <x:c r="D542" s="25" t="str">
        <x:v>Barbara Tversky</x:v>
      </x:c>
      <x:c r="E542" s="25" t="str">
        <x:v>The Cambridge Handbook of Situated Cognition</x:v>
      </x:c>
      <x:c r="F542" s="25" t="str">
        <x:v>10.1017/cbo9780511816826.012</x:v>
      </x:c>
      <x:c r="G542" s="25" t="str">
        <x:v>https://doi.org/10.1017/cbo9780511816826.012</x:v>
      </x:c>
      <x:c r="H542" s="25" t="str">
        <x:v>Crossref</x:v>
      </x:c>
      <x:c r="I542" s="25" t="str">
        <x:v>C10_affordance_embodied</x:v>
      </x:c>
      <x:c r="J542" s="25" t="str">
        <x:v>Exclude</x:v>
      </x:c>
      <x:c r="K542" s="25" t="str">
        <x:v>Exclude: topic mismatch</x:v>
      </x:c>
    </x:row>
    <x:row r="543">
      <x:c r="A543" s="20" t="str">
        <x:v>R0539</x:v>
      </x:c>
      <x:c r="B543" s="25" t="str">
        <x:v>The forensic confirmation bias: A problem of evidence integration, not just evidence evaluation.</x:v>
      </x:c>
      <x:c r="C543" s="25" t="n">
        <x:v>2013</x:v>
      </x:c>
      <x:c r="D543" s="25" t="str">
        <x:v>Steve D. Charman</x:v>
      </x:c>
      <x:c r="E543" s="25" t="str">
        <x:v>Journal of Applied Research in Memory and Cognition</x:v>
      </x:c>
      <x:c r="F543" s="25" t="str">
        <x:v>10.1016/j.jarmac.2013.01.010</x:v>
      </x:c>
      <x:c r="G543" s="25" t="str">
        <x:v>https://doi.org/10.1016/j.jarmac.2013.01.010</x:v>
      </x:c>
      <x:c r="H543" s="25" t="str">
        <x:v>Crossref</x:v>
      </x:c>
      <x:c r="I543" s="25" t="str">
        <x:v>C16_memory_conflict_bias</x:v>
      </x:c>
      <x:c r="J543" s="25" t="str">
        <x:v>Exclude</x:v>
      </x:c>
      <x:c r="K543" s="25" t="str">
        <x:v>Exclude: topic mismatch</x:v>
      </x:c>
    </x:row>
    <x:row r="544">
      <x:c r="A544" s="20" t="str">
        <x:v>R0540</x:v>
      </x:c>
      <x:c r="B544" s="25" t="str">
        <x:v>Trusted Autonomy Under Uncertainty</x:v>
      </x:c>
      <x:c r="C544" s="25" t="n">
        <x:v>2018</x:v>
      </x:c>
      <x:c r="D544" s="25" t="str">
        <x:v>Michael Smithson</x:v>
      </x:c>
      <x:c r="E544" s="25" t="str">
        <x:v>Studies in systems, decision and control</x:v>
      </x:c>
      <x:c r="F544" s="25" t="str">
        <x:v>10.1007/978-3-319-64816-3_10</x:v>
      </x:c>
      <x:c r="G544" s="25" t="str">
        <x:v>https://doi.org/10.1007/978-3-319-64816-3_10</x:v>
      </x:c>
      <x:c r="H544" s="25" t="str">
        <x:v>OpenAlex</x:v>
      </x:c>
      <x:c r="I544" s="25" t="str">
        <x:v>C4_uncertainty_shared_autonomy</x:v>
      </x:c>
      <x:c r="J544" s="25" t="str">
        <x:v>Exclude</x:v>
      </x:c>
      <x:c r="K544" s="25" t="str">
        <x:v>Exclude: adjacent/redundant or insufficiently theory-generative for DC1</x:v>
      </x:c>
    </x:row>
    <x:row r="545">
      <x:c r="A545" s="20" t="str">
        <x:v>R0541</x:v>
      </x:c>
      <x:c r="B545" s="25" t="str">
        <x:v>A multimodal domestic service robot interaction system for people with declined abilities to express themselves</x:v>
      </x:c>
      <x:c r="C545" s="25" t="n">
        <x:v>2023</x:v>
      </x:c>
      <x:c r="D545" s="25" t="str">
        <x:v>Chaolong Qin; Aiguo Song; Linhu Wei; Zhao Yu</x:v>
      </x:c>
      <x:c r="E545" s="25" t="str">
        <x:v>Intelligent Service Robotics</x:v>
      </x:c>
      <x:c r="F545" s="25" t="str">
        <x:v>10.1007/s11370-023-00466-6</x:v>
      </x:c>
      <x:c r="G545" s="25" t="str">
        <x:v>https://doi.org/10.1007/s11370-023-00466-6</x:v>
      </x:c>
      <x:c r="H545" s="25" t="str">
        <x:v>OpenAlex</x:v>
      </x:c>
      <x:c r="I545" s="25" t="str">
        <x:v>C11_hierarchical_goal_recognition</x:v>
      </x:c>
      <x:c r="J545" s="25" t="str">
        <x:v>Exclude</x:v>
      </x:c>
      <x:c r="K545" s="25" t="str">
        <x:v>Exclude: adjacent/redundant or insufficiently theory-generative for DC1</x:v>
      </x:c>
    </x:row>
    <x:row r="546">
      <x:c r="A546" s="20" t="str">
        <x:v>R0542</x:v>
      </x:c>
      <x:c r="B546" s="25" t="str">
        <x:v>Episodic generation can cause semantic forgetting: Retrieval-induced forgetting of false memories</x:v>
      </x:c>
      <x:c r="C546" s="25" t="n">
        <x:v>2004</x:v>
      </x:c>
      <x:c r="D546" s="25" t="str">
        <x:v>Jeffrey J. starns; Jason L. Hicks</x:v>
      </x:c>
      <x:c r="E546" s="25" t="str">
        <x:v>Memory &amp;amp; Cognition</x:v>
      </x:c>
      <x:c r="F546" s="25" t="str">
        <x:v>10.3758/bf03195851</x:v>
      </x:c>
      <x:c r="G546" s="25" t="str">
        <x:v>https://doi.org/10.3758/bf03195851</x:v>
      </x:c>
      <x:c r="H546" s="25" t="str">
        <x:v>Crossref</x:v>
      </x:c>
      <x:c r="I546" s="25" t="str">
        <x:v>C5_agent_memory</x:v>
      </x:c>
      <x:c r="J546" s="25" t="str">
        <x:v>Exclude</x:v>
      </x:c>
      <x:c r="K546" s="25" t="str">
        <x:v>Exclude: topic mismatch</x:v>
      </x:c>
    </x:row>
    <x:row r="547">
      <x:c r="A547" s="20" t="str">
        <x:v>R0543</x:v>
      </x:c>
      <x:c r="B547" s="25" t="str">
        <x:v>Strategic use of internal and external memory in everyday life: episodic, semantic, procedural, and prospective purposes</x:v>
      </x:c>
      <x:c r="C547" s="25" t="n">
        <x:v>2022</x:v>
      </x:c>
      <x:c r="D547" s="25" t="str">
        <x:v>Jason R. Finley; Farah Naaz</x:v>
      </x:c>
      <x:c r="E547" s="25" t="str">
        <x:v>Memory</x:v>
      </x:c>
      <x:c r="F547" s="25" t="str">
        <x:v>10.1080/09658211.2022.2126858</x:v>
      </x:c>
      <x:c r="G547" s="25" t="str">
        <x:v>https://doi.org/10.1080/09658211.2022.2126858</x:v>
      </x:c>
      <x:c r="H547" s="25" t="str">
        <x:v>Crossref</x:v>
      </x:c>
      <x:c r="I547" s="25" t="str">
        <x:v>C5_agent_memory</x:v>
      </x:c>
      <x:c r="J547" s="25" t="str">
        <x:v>Exclude</x:v>
      </x:c>
      <x:c r="K547" s="25" t="str">
        <x:v>Exclude: adjacent/redundant or insufficiently theory-generative for DC1</x:v>
      </x:c>
    </x:row>
    <x:row r="548">
      <x:c r="A548" s="20" t="str">
        <x:v>R0544</x:v>
      </x:c>
      <x:c r="B548" s="25" t="str">
        <x:v>The Law of Fair Use and the Illusion of Fair-Use Guidelines</x:v>
      </x:c>
      <x:c r="C548" s="25" t="n">
        <x:v>2001</x:v>
      </x:c>
      <x:c r="D548" s="25" t="str">
        <x:v>Kenneth D. Crews</x:v>
      </x:c>
      <x:c r="E548" s="25" t="str">
        <x:v>Columbia Academic Commons (Columbia University)</x:v>
      </x:c>
      <x:c r="F548" s="25" t="str">
        <x:v>10.7916/d8pv6rkv</x:v>
      </x:c>
      <x:c r="G548" s="25" t="str">
        <x:v>https://doi.org/10.7916/D8PV6RKV</x:v>
      </x:c>
      <x:c r="H548" s="25" t="str">
        <x:v>OpenAlex</x:v>
      </x:c>
      <x:c r="I548" s="25" t="str">
        <x:v>C17_3D_gesture_ambiguity</x:v>
      </x:c>
      <x:c r="J548" s="25" t="str">
        <x:v>Exclude</x:v>
      </x:c>
      <x:c r="K548" s="25" t="str">
        <x:v>Exclude: topic mismatch</x:v>
      </x:c>
    </x:row>
    <x:row r="549">
      <x:c r="A549" s="20" t="str">
        <x:v>R0545</x:v>
      </x:c>
      <x:c r="B549" s="25" t="str">
        <x:v>Design Informatics: Supporting Engineering Design Processes with Information Technology</x:v>
      </x:c>
      <x:c r="C549" s="25" t="n">
        <x:v>2015</x:v>
      </x:c>
      <x:c r="D549" s="25" t="str">
        <x:v>Chris McMahon</x:v>
      </x:c>
      <x:c r="E549" s="25" t="str">
        <x:v>Bristol Research (University of Bristol)</x:v>
      </x:c>
      <x:c r="F549" s="25" t="str"/>
      <x:c r="G549" s="25" t="str">
        <x:v>https://research-information.bris.ac.uk/en/publications/794a6a55-4b5f-4cd2-b5cf-a5045f87df9f</x:v>
      </x:c>
      <x:c r="H549" s="25" t="str">
        <x:v>OpenAlex</x:v>
      </x:c>
      <x:c r="I549" s="25" t="str">
        <x:v>C13_CAD_design_intent</x:v>
      </x:c>
      <x:c r="J549" s="25" t="str">
        <x:v>Exclude</x:v>
      </x:c>
      <x:c r="K549" s="25" t="str">
        <x:v>Exclude: adjacent/redundant or insufficiently theory-generative for DC1</x:v>
      </x:c>
    </x:row>
    <x:row r="550">
      <x:c r="A550" s="20" t="str">
        <x:v>R0546</x:v>
      </x:c>
      <x:c r="B550" s="25" t="str">
        <x:v>Designing for Common Ground: Visually Representing Conversation Dynamics of Neurodiverse Dyads</x:v>
      </x:c>
      <x:c r="C550" s="25" t="n">
        <x:v>2023</x:v>
      </x:c>
      <x:c r="D550" s="25" t="str">
        <x:v>Annuska Zolyomi; Jaime Snyder</x:v>
      </x:c>
      <x:c r="E550" s="25" t="str">
        <x:v>Proceedings of the ACM on Human-Computer Interaction</x:v>
      </x:c>
      <x:c r="F550" s="25" t="str">
        <x:v>10.1145/3610057</x:v>
      </x:c>
      <x:c r="G550" s="25" t="str">
        <x:v>https://doi.org/10.1145/3610057</x:v>
      </x:c>
      <x:c r="H550" s="25" t="str">
        <x:v>OpenAlex</x:v>
      </x:c>
      <x:c r="I550" s="25" t="str">
        <x:v>C12_common_ground_repair</x:v>
      </x:c>
      <x:c r="J550" s="25" t="str">
        <x:v>Exclude</x:v>
      </x:c>
      <x:c r="K550" s="25" t="str">
        <x:v>Exclude: topic mismatch</x:v>
      </x:c>
    </x:row>
    <x:row r="551">
      <x:c r="A551" s="20" t="str">
        <x:v>R0547</x:v>
      </x:c>
      <x:c r="B551" s="25" t="str">
        <x:v>Disruptive online communication: How asymmetric trolling-like response strategies steer conversation off the track</x:v>
      </x:c>
      <x:c r="C551" s="25" t="n">
        <x:v>2021</x:v>
      </x:c>
      <x:c r="D551" s="25" t="str">
        <x:v>Henna Paakki; Heidi Vepsäläinen; Antti Salovaara</x:v>
      </x:c>
      <x:c r="E551" s="25" t="str">
        <x:v>Computer Supported Cooperative Work (CSCW)</x:v>
      </x:c>
      <x:c r="F551" s="25" t="str">
        <x:v>10.1007/s10606-021-09397-1</x:v>
      </x:c>
      <x:c r="G551" s="25" t="str">
        <x:v>https://doi.org/10.1007/s10606-021-09397-1</x:v>
      </x:c>
      <x:c r="H551" s="25" t="str">
        <x:v>OpenAlex</x:v>
      </x:c>
      <x:c r="I551" s="25" t="str">
        <x:v>C12_common_ground_repair</x:v>
      </x:c>
      <x:c r="J551" s="25" t="str">
        <x:v>Exclude</x:v>
      </x:c>
      <x:c r="K551" s="25" t="str">
        <x:v>Exclude: topic mismatch</x:v>
      </x:c>
    </x:row>
    <x:row r="552">
      <x:c r="A552" s="20" t="str">
        <x:v>R0548</x:v>
      </x:c>
      <x:c r="B552" s="25" t="str">
        <x:v>Human-AI Co-Design and Co-Creation: A Review of Emerging Approaches, Challenges, and Future Directions</x:v>
      </x:c>
      <x:c r="C552" s="25" t="n">
        <x:v>2025</x:v>
      </x:c>
      <x:c r="D552" s="25" t="str">
        <x:v>Nyasha Kadenhe; Mohamed Al Musleh; Allan Lompot</x:v>
      </x:c>
      <x:c r="E552" s="25" t="str">
        <x:v>Proceedings of the AAAI Symposium Series</x:v>
      </x:c>
      <x:c r="F552" s="25" t="str">
        <x:v>10.1609/aaaiss.v6i1.36061</x:v>
      </x:c>
      <x:c r="G552" s="25" t="str">
        <x:v>https://doi.org/10.1609/aaaiss.v6i1.36061</x:v>
      </x:c>
      <x:c r="H552" s="25" t="str">
        <x:v>OpenAlex</x:v>
      </x:c>
      <x:c r="I552" s="25" t="str">
        <x:v>C14_agency_ownership; C3_mixed_initiative_cocreation</x:v>
      </x:c>
      <x:c r="J552" s="25" t="str">
        <x:v>Exclude</x:v>
      </x:c>
      <x:c r="K552" s="25" t="str">
        <x:v>Exclude: adjacent/redundant or insufficiently theory-generative for DC1</x:v>
      </x:c>
    </x:row>
    <x:row r="553">
      <x:c r="A553" s="20" t="str">
        <x:v>R0549</x:v>
      </x:c>
      <x:c r="B553" s="25" t="str">
        <x:v>Implementing counter-measures against confirmation bias in forensic science.</x:v>
      </x:c>
      <x:c r="C553" s="25" t="n">
        <x:v>2013</x:v>
      </x:c>
      <x:c r="D553" s="25" t="str">
        <x:v>Simon A. Cole</x:v>
      </x:c>
      <x:c r="E553" s="25" t="str">
        <x:v>Journal of Applied Research in Memory and Cognition</x:v>
      </x:c>
      <x:c r="F553" s="25" t="str">
        <x:v>10.1016/j.jarmac.2013.01.011</x:v>
      </x:c>
      <x:c r="G553" s="25" t="str">
        <x:v>https://doi.org/10.1016/j.jarmac.2013.01.011</x:v>
      </x:c>
      <x:c r="H553" s="25" t="str">
        <x:v>Crossref</x:v>
      </x:c>
      <x:c r="I553" s="25" t="str">
        <x:v>C16_memory_conflict_bias</x:v>
      </x:c>
      <x:c r="J553" s="25" t="str">
        <x:v>Exclude</x:v>
      </x:c>
      <x:c r="K553" s="25" t="str">
        <x:v>Exclude: topic mismatch</x:v>
      </x:c>
    </x:row>
    <x:row r="554">
      <x:c r="A554" s="20" t="str">
        <x:v>R0550</x:v>
      </x:c>
      <x:c r="B554" s="25" t="str">
        <x:v>When AI Becomes an Agent of the Firm: Examining the Evolution of AI in Organizations Through an Agency Theory Lens</x:v>
      </x:c>
      <x:c r="C554" s="25" t="n">
        <x:v>2025</x:v>
      </x:c>
      <x:c r="D554" s="25" t="str">
        <x:v>Beth K. Humberd; Scott Latham</x:v>
      </x:c>
      <x:c r="E554" s="25" t="str">
        <x:v>Journal of Management Studies</x:v>
      </x:c>
      <x:c r="F554" s="25" t="str">
        <x:v>10.1111/joms.13274</x:v>
      </x:c>
      <x:c r="G554" s="25" t="str">
        <x:v>https://doi.org/10.1111/joms.13274</x:v>
      </x:c>
      <x:c r="H554" s="25" t="str">
        <x:v>OpenAlex</x:v>
      </x:c>
      <x:c r="I554" s="25" t="str">
        <x:v>C15_proactive_interruption</x:v>
      </x:c>
      <x:c r="J554" s="25" t="str">
        <x:v>Exclude</x:v>
      </x:c>
      <x:c r="K554" s="25" t="str">
        <x:v>Exclude: adjacent/redundant or insufficiently theory-generative for DC1</x:v>
      </x:c>
    </x:row>
    <x:row r="555">
      <x:c r="A555" s="20" t="str">
        <x:v>R0551</x:v>
      </x:c>
      <x:c r="B555" s="25" t="str">
        <x:v>Large circuit models: opportunities and challenges</x:v>
      </x:c>
      <x:c r="C555" s="25" t="n">
        <x:v>2024</x:v>
      </x:c>
      <x:c r="D555" s="25" t="str">
        <x:v>Lei Chen; Yiqi Chen; Zhufei Chu; Wenji Fang; Tsung-Yi Ho; Ru Huang; Yü Huang; Sadaf Khan; Min Li; Xingquan Li; Yu Li; Yun Liang; Jinwei Liu; Yi Liu; Yibo Lin; Guojie Luo; Hongyang Pan; Zhengyuan Shi; Guangyu Sun; Dimitrios Tsaras; Runsheng Wang; Ziyi Wang; Xinming Wei; Zhiyao Xie; Qiang Xu; Chenhao Xue; Junchi Yan; Jun Yang; Bei Yu; Mingxuan Yuan; Evangeline F. Y. Young; Xuan Zeng; Haoyi Zhang; Zuodong Zhang; Y. X. Zhao; Hui-Ling Zhen; Ziyang Zheng; Binwu Zhu; Keren Zhu; Sunan Zou</x:v>
      </x:c>
      <x:c r="E555" s="25" t="str">
        <x:v>Science China Information Sciences</x:v>
      </x:c>
      <x:c r="F555" s="25" t="str">
        <x:v>10.1007/s11432-024-4155-7</x:v>
      </x:c>
      <x:c r="G555" s="25" t="str">
        <x:v>https://doi.org/10.1007/s11432-024-4155-7</x:v>
      </x:c>
      <x:c r="H555" s="25" t="str">
        <x:v>OpenAlex</x:v>
      </x:c>
      <x:c r="I555" s="25" t="str">
        <x:v>C13_CAD_design_intent</x:v>
      </x:c>
      <x:c r="J555" s="25" t="str">
        <x:v>Exclude</x:v>
      </x:c>
      <x:c r="K555" s="25" t="str">
        <x:v>Exclude: topic mismatch</x:v>
      </x:c>
    </x:row>
    <x:row r="556">
      <x:c r="A556" s="20" t="str">
        <x:v>R0552</x:v>
      </x:c>
      <x:c r="B556" s="25" t="str">
        <x:v>Master product model for the support of tighter integration of spatial and functional design</x:v>
      </x:c>
      <x:c r="C556" s="25" t="n">
        <x:v>2003</x:v>
      </x:c>
      <x:c r="D556" s="25" t="str">
        <x:v>Steven J. Fenves; Young Mi Choi; B. Gurumoorthy; Gregory Mocko; Ram D. Sriram</x:v>
      </x:c>
      <x:c r="E556" s="25" t="str"/>
      <x:c r="F556" s="25" t="str">
        <x:v>10.6028/nist.ir.7004</x:v>
      </x:c>
      <x:c r="G556" s="25" t="str">
        <x:v>https://doi.org/10.6028/nist.ir.7004</x:v>
      </x:c>
      <x:c r="H556" s="25" t="str">
        <x:v>OpenAlex</x:v>
      </x:c>
      <x:c r="I556" s="25" t="str">
        <x:v>C13_CAD_design_intent</x:v>
      </x:c>
      <x:c r="J556" s="25" t="str">
        <x:v>Exclude</x:v>
      </x:c>
      <x:c r="K556" s="25" t="str">
        <x:v>Exclude: topic mismatch</x:v>
      </x:c>
    </x:row>
    <x:row r="557">
      <x:c r="A557" s="20" t="str">
        <x:v>R0553</x:v>
      </x:c>
      <x:c r="B557" s="25" t="str">
        <x:v>Navigating Human Factors in Maritime Safety: A Review of Risks and Improvements in Engine Rooms of Ocean-Going Vessels</x:v>
      </x:c>
      <x:c r="C557" s="25" t="n">
        <x:v>2024</x:v>
      </x:c>
      <x:c r="D557" s="25" t="str">
        <x:v>Muidun Nabi Chowdhury; Sujana Shafi; Ameer Farhan Mohd Arzaman; Bak Aun Teoh; Kais Amir Kadhim; Hailan Salamun; Firdaus Khairi Abdul Kadir; Syahrin Said; Kasyfullah Abd Kadir; Abdul Mutalib Embong; Noor Aisyah Abdul Aziz; Mohd Haz</x:v>
      </x:c>
      <x:c r="E557" s="25" t="str">
        <x:v>International Journal of Safety and Security Engineering</x:v>
      </x:c>
      <x:c r="F557" s="25" t="str">
        <x:v>10.18280/ijsse.140101</x:v>
      </x:c>
      <x:c r="G557" s="25" t="str">
        <x:v>https://doi.org/10.18280/ijsse.140101</x:v>
      </x:c>
      <x:c r="H557" s="25" t="str">
        <x:v>OpenAlex</x:v>
      </x:c>
      <x:c r="I557" s="25" t="str">
        <x:v>C12_common_ground_repair</x:v>
      </x:c>
      <x:c r="J557" s="25" t="str">
        <x:v>Exclude</x:v>
      </x:c>
      <x:c r="K557" s="25" t="str">
        <x:v>Exclude: topic mismatch</x:v>
      </x:c>
    </x:row>
    <x:row r="558">
      <x:c r="A558" s="20" t="str">
        <x:v>R0554</x:v>
      </x:c>
      <x:c r="B558" s="25" t="str">
        <x:v>Prospective memory: The relative effects of encoding, retrieval, and the match between encoding and retrieval</x:v>
      </x:c>
      <x:c r="C558" s="25" t="n">
        <x:v>2007</x:v>
      </x:c>
      <x:c r="D558" s="25" t="str">
        <x:v>Brenda Hannon; Meredyth Daneman</x:v>
      </x:c>
      <x:c r="E558" s="25" t="str">
        <x:v>Memory</x:v>
      </x:c>
      <x:c r="F558" s="25" t="str">
        <x:v>10.1080/09658210701407281</x:v>
      </x:c>
      <x:c r="G558" s="25" t="str">
        <x:v>https://doi.org/10.1080/09658210701407281</x:v>
      </x:c>
      <x:c r="H558" s="25" t="str">
        <x:v>Crossref</x:v>
      </x:c>
      <x:c r="I558" s="25" t="str">
        <x:v>C16_memory_conflict_bias</x:v>
      </x:c>
      <x:c r="J558" s="25" t="str">
        <x:v>Exclude</x:v>
      </x:c>
      <x:c r="K558" s="25" t="str">
        <x:v>Exclude: adjacent/redundant or insufficiently theory-generative for DC1</x:v>
      </x:c>
    </x:row>
    <x:row r="559">
      <x:c r="A559" s="20" t="str">
        <x:v>R0555</x:v>
      </x:c>
      <x:c r="B559" s="25" t="str">
        <x:v>Semantic memory influences episodic retrieval by increased familiarity</x:v>
      </x:c>
      <x:c r="C559" s="25" t="n">
        <x:v>2016</x:v>
      </x:c>
      <x:c r="D559" s="25" t="str">
        <x:v>Yujuan Wang; Xinrui Mao; Bingcan Li; Baoqing Lu; Chunyan Guo</x:v>
      </x:c>
      <x:c r="E559" s="25" t="str">
        <x:v>NeuroReport</x:v>
      </x:c>
      <x:c r="F559" s="25" t="str">
        <x:v>10.1097/wnr.0000000000000613</x:v>
      </x:c>
      <x:c r="G559" s="25" t="str">
        <x:v>https://doi.org/10.1097/wnr.0000000000000613</x:v>
      </x:c>
      <x:c r="H559" s="25" t="str">
        <x:v>Crossref</x:v>
      </x:c>
      <x:c r="I559" s="25" t="str">
        <x:v>C5_agent_memory</x:v>
      </x:c>
      <x:c r="J559" s="25" t="str">
        <x:v>Exclude</x:v>
      </x:c>
      <x:c r="K559" s="25" t="str">
        <x:v>Exclude: adjacent/redundant or insufficiently theory-generative for DC1</x:v>
      </x:c>
    </x:row>
    <x:row r="560">
      <x:c r="A560" s="20" t="str">
        <x:v>R0556</x:v>
      </x:c>
      <x:c r="B560" s="25" t="str">
        <x:v>Supporting Task Switching with Reinforcement Learning</x:v>
      </x:c>
      <x:c r="C560" s="25" t="n">
        <x:v>2024</x:v>
      </x:c>
      <x:c r="D560" s="25" t="str">
        <x:v>Alexander Lingler; Dinara Talypova; Jussi Jokinen; Antti Oulasvirta; Philipp Wintersberger</x:v>
      </x:c>
      <x:c r="E560" s="25" t="str"/>
      <x:c r="F560" s="25" t="str">
        <x:v>10.1145/3613904.3642063</x:v>
      </x:c>
      <x:c r="G560" s="25" t="str">
        <x:v>https://doi.org/10.1145/3613904.3642063</x:v>
      </x:c>
      <x:c r="H560" s="25" t="str">
        <x:v>OpenAlex</x:v>
      </x:c>
      <x:c r="I560" s="25" t="str">
        <x:v>C15_proactive_interruption</x:v>
      </x:c>
      <x:c r="J560" s="25" t="str">
        <x:v>Exclude</x:v>
      </x:c>
      <x:c r="K560" s="25" t="str">
        <x:v>Exclude: topic mismatch</x:v>
      </x:c>
    </x:row>
    <x:row r="561">
      <x:c r="A561" s="20" t="str">
        <x:v>R0557</x:v>
      </x:c>
      <x:c r="B561" s="25" t="str">
        <x:v>Task Analysis, Cognitive Task Analysis, Cognitive Work Analysis: What's the Difference?</x:v>
      </x:c>
      <x:c r="C561" s="25" t="n">
        <x:v>1995</x:v>
      </x:c>
      <x:c r="D561" s="25" t="str">
        <x:v>Kim J. Vicente</x:v>
      </x:c>
      <x:c r="E561" s="25" t="str">
        <x:v>Proceedings of the Human Factors and Ergonomics Society Annual Meeting</x:v>
      </x:c>
      <x:c r="F561" s="25" t="str">
        <x:v>10.1177/154193129503900921</x:v>
      </x:c>
      <x:c r="G561" s="25" t="str">
        <x:v>https://doi.org/10.1177/154193129503900921</x:v>
      </x:c>
      <x:c r="H561" s="25" t="str">
        <x:v>Crossref</x:v>
      </x:c>
      <x:c r="I561" s="25" t="str">
        <x:v>C18_video_intent_coding_VLM_annotation</x:v>
      </x:c>
      <x:c r="J561" s="25" t="str">
        <x:v>Exclude</x:v>
      </x:c>
      <x:c r="K561" s="25" t="str">
        <x:v>Exclude: topic mismatch</x:v>
      </x:c>
    </x:row>
    <x:row r="562">
      <x:c r="A562" s="20" t="str">
        <x:v>R0558</x:v>
      </x:c>
      <x:c r="B562" s="25" t="str">
        <x:v>A Hybrid User Interface for Manipulation of Volumetric Medical Data</x:v>
      </x:c>
      <x:c r="C562" s="25" t="str"/>
      <x:c r="D562" s="25" t="str">
        <x:v>A. Bornik; R. Beichel; E. Kruijff; B. Reitinger; D. Schmalstieg</x:v>
      </x:c>
      <x:c r="E562" s="25" t="str">
        <x:v>3D User Interfaces (3DUI'06)</x:v>
      </x:c>
      <x:c r="F562" s="25" t="str">
        <x:v>10.1109/vr.2006.8</x:v>
      </x:c>
      <x:c r="G562" s="25" t="str">
        <x:v>https://doi.org/10.1109/vr.2006.8</x:v>
      </x:c>
      <x:c r="H562" s="25" t="str">
        <x:v>Crossref</x:v>
      </x:c>
      <x:c r="I562" s="25" t="str">
        <x:v>C1_3D_mental_models</x:v>
      </x:c>
      <x:c r="J562" s="25" t="str">
        <x:v>Exclude</x:v>
      </x:c>
      <x:c r="K562" s="25" t="str">
        <x:v>Exclude: adjacent/redundant or insufficiently theory-generative for DC1</x:v>
      </x:c>
    </x:row>
    <x:row r="563">
      <x:c r="A563" s="20" t="str">
        <x:v>R0559</x:v>
      </x:c>
      <x:c r="B563" s="25" t="str">
        <x:v>Agency in Human-AI Collaboration for Image Generation and Creative Writing: Preliminary Insights from Think-Aloud Protocols</x:v>
      </x:c>
      <x:c r="C563" s="25" t="n">
        <x:v>2025</x:v>
      </x:c>
      <x:c r="D563" s="25" t="str">
        <x:v>Janet Rafner; Blanka Zana; Ida Bang Hansen; Simon Ceh; Jacob Sherson; Mathias Benedek; Izabela Lebuda</x:v>
      </x:c>
      <x:c r="E563" s="25" t="str">
        <x:v>Creativity Research Journal</x:v>
      </x:c>
      <x:c r="F563" s="25" t="str">
        <x:v>10.1080/10400419.2025.2587803</x:v>
      </x:c>
      <x:c r="G563" s="25" t="str">
        <x:v>https://doi.org/10.1080/10400419.2025.2587803</x:v>
      </x:c>
      <x:c r="H563" s="25" t="str">
        <x:v>OpenAlex</x:v>
      </x:c>
      <x:c r="I563" s="25" t="str">
        <x:v>C14_agency_ownership</x:v>
      </x:c>
      <x:c r="J563" s="25" t="str">
        <x:v>Exclude</x:v>
      </x:c>
      <x:c r="K563" s="25" t="str">
        <x:v>Exclude: adjacent/redundant or insufficiently theory-generative for DC1</x:v>
      </x:c>
    </x:row>
    <x:row r="564">
      <x:c r="A564" s="20" t="str">
        <x:v>R0560</x:v>
      </x:c>
      <x:c r="B564" s="25" t="str">
        <x:v>Boolean operations on feature-based models</x:v>
      </x:c>
      <x:c r="C564" s="25" t="n">
        <x:v>2003</x:v>
      </x:c>
      <x:c r="D564" s="25" t="str">
        <x:v>Yvon Gardan; Christian Minich; Estelle Perrin</x:v>
      </x:c>
      <x:c r="E564" s="25" t="str">
        <x:v>Digital Library (University of West Bohemia)</x:v>
      </x:c>
      <x:c r="F564" s="25" t="str"/>
      <x:c r="G564" s="25" t="str">
        <x:v>http://hdl.handle.net/11025/1624</x:v>
      </x:c>
      <x:c r="H564" s="25" t="str">
        <x:v>OpenAlex</x:v>
      </x:c>
      <x:c r="I564" s="25" t="str">
        <x:v>C13_CAD_design_intent</x:v>
      </x:c>
      <x:c r="J564" s="25" t="str">
        <x:v>Exclude</x:v>
      </x:c>
      <x:c r="K564" s="25" t="str">
        <x:v>Exclude: topic mismatch</x:v>
      </x:c>
    </x:row>
    <x:row r="565">
      <x:c r="A565" s="20" t="str">
        <x:v>R0561</x:v>
      </x:c>
      <x:c r="B565" s="25" t="str">
        <x:v>Co-Creation: Human and AI Collaboration in Creative Expression</x:v>
      </x:c>
      <x:c r="C565" s="25" t="n">
        <x:v>2017</x:v>
      </x:c>
      <x:c r="D565" s="25" t="str">
        <x:v>Sara (Salevati) Feldman</x:v>
      </x:c>
      <x:c r="E565" s="25" t="str">
        <x:v>Electronic Workshops in Computing</x:v>
      </x:c>
      <x:c r="F565" s="25" t="str">
        <x:v>10.14236/ewic/eva2017.84</x:v>
      </x:c>
      <x:c r="G565" s="25" t="str">
        <x:v>https://doi.org/10.14236/ewic/eva2017.84</x:v>
      </x:c>
      <x:c r="H565" s="25" t="str">
        <x:v>Crossref</x:v>
      </x:c>
      <x:c r="I565" s="25" t="str">
        <x:v>C14_agency_ownership; C7_creative_agency</x:v>
      </x:c>
      <x:c r="J565" s="25" t="str">
        <x:v>Exclude</x:v>
      </x:c>
      <x:c r="K565" s="25" t="str">
        <x:v>Exclude: adjacent/redundant or insufficiently theory-generative for DC1</x:v>
      </x:c>
    </x:row>
    <x:row r="566">
      <x:c r="A566" s="20" t="str">
        <x:v>R0562</x:v>
      </x:c>
      <x:c r="B566" s="25" t="str">
        <x:v>Confirmation bias – myside bias</x:v>
      </x:c>
      <x:c r="C566" s="25" t="n">
        <x:v>2022</x:v>
      </x:c>
      <x:c r="D566" s="25" t="str">
        <x:v>Hugo Mercier</x:v>
      </x:c>
      <x:c r="E566" s="25" t="str">
        <x:v>Cognitive Illusions</x:v>
      </x:c>
      <x:c r="F566" s="25" t="str">
        <x:v>10.4324/9781003154730-7</x:v>
      </x:c>
      <x:c r="G566" s="25" t="str">
        <x:v>https://doi.org/10.4324/9781003154730-7</x:v>
      </x:c>
      <x:c r="H566" s="25" t="str">
        <x:v>Crossref</x:v>
      </x:c>
      <x:c r="I566" s="25" t="str">
        <x:v>C16_memory_conflict_bias</x:v>
      </x:c>
      <x:c r="J566" s="25" t="str">
        <x:v>Exclude</x:v>
      </x:c>
      <x:c r="K566" s="25" t="str">
        <x:v>Exclude: topic mismatch</x:v>
      </x:c>
    </x:row>
    <x:row r="567">
      <x:c r="A567" s="20" t="str">
        <x:v>R0563</x:v>
      </x:c>
      <x:c r="B567" s="25" t="str">
        <x:v>Embodied cognition as a motivating perspective for haptic interaction design: A position paper</x:v>
      </x:c>
      <x:c r="C567" s="25" t="n">
        <x:v>2011</x:v>
      </x:c>
      <x:c r="D567" s="25" t="str">
        <x:v>R. B. Gillespie; S. O'Modhrain</x:v>
      </x:c>
      <x:c r="E567" s="25" t="str">
        <x:v>2011 IEEE World Haptics Conference</x:v>
      </x:c>
      <x:c r="F567" s="25" t="str">
        <x:v>10.1109/whc.2011.5945533</x:v>
      </x:c>
      <x:c r="G567" s="25" t="str">
        <x:v>https://doi.org/10.1109/whc.2011.5945533</x:v>
      </x:c>
      <x:c r="H567" s="25" t="str">
        <x:v>Crossref</x:v>
      </x:c>
      <x:c r="I567" s="25" t="str">
        <x:v>C10_affordance_embodied</x:v>
      </x:c>
      <x:c r="J567" s="25" t="str">
        <x:v>Exclude</x:v>
      </x:c>
      <x:c r="K567" s="25" t="str">
        <x:v>Exclude: topic mismatch</x:v>
      </x:c>
    </x:row>
    <x:row r="568">
      <x:c r="A568" s="20" t="str">
        <x:v>R0564</x:v>
      </x:c>
      <x:c r="B568" s="25" t="str">
        <x:v>Human-Centered AI Communication in Co-Creativity: An Initial Framework and Insights</x:v>
      </x:c>
      <x:c r="C568" s="25" t="n">
        <x:v>2025</x:v>
      </x:c>
      <x:c r="D568" s="25" t="str">
        <x:v>Jeba Rezwana; Corey Ford</x:v>
      </x:c>
      <x:c r="E568" s="25" t="str"/>
      <x:c r="F568" s="25" t="str">
        <x:v>10.1145/3698061.3726932</x:v>
      </x:c>
      <x:c r="G568" s="25" t="str">
        <x:v>https://doi.org/10.1145/3698061.3726932</x:v>
      </x:c>
      <x:c r="H568" s="25" t="str">
        <x:v>OpenAlex</x:v>
      </x:c>
      <x:c r="I568" s="25" t="str">
        <x:v>C15_proactive_interruption; C3_mixed_initiative_cocreation</x:v>
      </x:c>
      <x:c r="J568" s="25" t="str">
        <x:v>Exclude</x:v>
      </x:c>
      <x:c r="K568" s="25" t="str">
        <x:v>Exclude: adjacent/redundant or insufficiently theory-generative for DC1</x:v>
      </x:c>
    </x:row>
    <x:row r="569">
      <x:c r="A569" s="20" t="str">
        <x:v>R0565</x:v>
      </x:c>
      <x:c r="B569" s="25" t="str">
        <x:v>I2BN: Intelligent Intent Based Networks</x:v>
      </x:c>
      <x:c r="C569" s="25" t="n">
        <x:v>2021</x:v>
      </x:c>
      <x:c r="D569" s="25" t="str">
        <x:v>Péter Szilágyi</x:v>
      </x:c>
      <x:c r="E569" s="25" t="str">
        <x:v>Journal of ICT Standardization</x:v>
      </x:c>
      <x:c r="F569" s="25" t="str">
        <x:v>10.13052/jicts2245-800x.926</x:v>
      </x:c>
      <x:c r="G569" s="25" t="str">
        <x:v>https://doi.org/10.13052/jicts2245-800x.926</x:v>
      </x:c>
      <x:c r="H569" s="25" t="str">
        <x:v>OpenAlex</x:v>
      </x:c>
      <x:c r="I569" s="25" t="str">
        <x:v>C2_interaction_signals</x:v>
      </x:c>
      <x:c r="J569" s="25" t="str">
        <x:v>Exclude</x:v>
      </x:c>
      <x:c r="K569" s="25" t="str">
        <x:v>Exclude: adjacent/redundant or insufficiently theory-generative for DC1</x:v>
      </x:c>
    </x:row>
    <x:row r="570">
      <x:c r="A570" s="20" t="str">
        <x:v>R0566</x:v>
      </x:c>
      <x:c r="B570" s="25" t="str">
        <x:v>Race and the Decision to Detain a Suspect</x:v>
      </x:c>
      <x:c r="C570" s="25" t="n">
        <x:v>1983</x:v>
      </x:c>
      <x:c r="D570" s="25" t="str">
        <x:v>Sheri L. Johnson</x:v>
      </x:c>
      <x:c r="E570" s="25" t="str">
        <x:v>The Yale Law Journal</x:v>
      </x:c>
      <x:c r="F570" s="25" t="str">
        <x:v>10.2307/796306</x:v>
      </x:c>
      <x:c r="G570" s="25" t="str">
        <x:v>https://doi.org/10.2307/796306</x:v>
      </x:c>
      <x:c r="H570" s="25" t="str">
        <x:v>OpenAlex</x:v>
      </x:c>
      <x:c r="I570" s="25" t="str">
        <x:v>C17_3D_gesture_ambiguity</x:v>
      </x:c>
      <x:c r="J570" s="25" t="str">
        <x:v>Exclude</x:v>
      </x:c>
      <x:c r="K570" s="25" t="str">
        <x:v>Exclude: topic mismatch</x:v>
      </x:c>
    </x:row>
    <x:row r="571">
      <x:c r="A571" s="20" t="str">
        <x:v>R0567</x:v>
      </x:c>
      <x:c r="B571" s="25" t="str">
        <x:v>Transforming Data Annotation with AI Agents: A Review of Architectures, Reasoning, Applications, and Impact</x:v>
      </x:c>
      <x:c r="C571" s="25" t="n">
        <x:v>2025</x:v>
      </x:c>
      <x:c r="D571" s="25" t="str">
        <x:v>Md Monjurul Karim; Sangeen Khan; Dong Hoang Van; X. L. Liu; Chunhui Wang; Qiang Qu</x:v>
      </x:c>
      <x:c r="E571" s="25" t="str">
        <x:v>Future Internet</x:v>
      </x:c>
      <x:c r="F571" s="25" t="str">
        <x:v>10.3390/fi17080353</x:v>
      </x:c>
      <x:c r="G571" s="25" t="str">
        <x:v>https://doi.org/10.3390/fi17080353</x:v>
      </x:c>
      <x:c r="H571" s="25" t="str">
        <x:v>OpenAlex</x:v>
      </x:c>
      <x:c r="I571" s="25" t="str">
        <x:v>C16_memory_conflict_bias</x:v>
      </x:c>
      <x:c r="J571" s="25" t="str">
        <x:v>Exclude</x:v>
      </x:c>
      <x:c r="K571" s="25" t="str">
        <x:v>Exclude: adjacent/redundant or insufficiently theory-generative for DC1</x:v>
      </x:c>
    </x:row>
    <x:row r="572">
      <x:c r="A572" s="20" t="str">
        <x:v>R0568</x:v>
      </x:c>
      <x:c r="B572" s="25" t="str">
        <x:v>Constraint-based feature validation</x:v>
      </x:c>
      <x:c r="C572" s="25" t="n">
        <x:v>1998</x:v>
      </x:c>
      <x:c r="D572" s="25" t="str">
        <x:v>Maurice Dohmen</x:v>
      </x:c>
      <x:c r="E572" s="25" t="str">
        <x:v>Research Repository (Delft University of Technology)</x:v>
      </x:c>
      <x:c r="F572" s="25" t="str"/>
      <x:c r="G572" s="25" t="str">
        <x:v>http://resolver.tudelft.nl/uuid:5ae85b5f-ce1a-4ae3-8e8c-1991b45b08eb</x:v>
      </x:c>
      <x:c r="H572" s="25" t="str">
        <x:v>OpenAlex</x:v>
      </x:c>
      <x:c r="I572" s="25" t="str">
        <x:v>C13_CAD_design_intent</x:v>
      </x:c>
      <x:c r="J572" s="25" t="str">
        <x:v>Exclude</x:v>
      </x:c>
      <x:c r="K572" s="25" t="str">
        <x:v>Exclude: topic mismatch</x:v>
      </x:c>
    </x:row>
    <x:row r="573">
      <x:c r="A573" s="20" t="str">
        <x:v>R0569</x:v>
      </x:c>
      <x:c r="B573" s="25" t="str">
        <x:v>Design compilation of feature-based and constraint-based CAD</x:v>
      </x:c>
      <x:c r="C573" s="25" t="n">
        <x:v>1995</x:v>
      </x:c>
      <x:c r="D573" s="25" t="str">
        <x:v>Xiangping Chen; Christoph M. Hoffmann</x:v>
      </x:c>
      <x:c r="E573" s="25" t="str"/>
      <x:c r="F573" s="25" t="str">
        <x:v>10.1145/218013.218021</x:v>
      </x:c>
      <x:c r="G573" s="25" t="str">
        <x:v>https://doi.org/10.1145/218013.218021</x:v>
      </x:c>
      <x:c r="H573" s="25" t="str">
        <x:v>OpenAlex</x:v>
      </x:c>
      <x:c r="I573" s="25" t="str">
        <x:v>C13_CAD_design_intent</x:v>
      </x:c>
      <x:c r="J573" s="25" t="str">
        <x:v>Exclude</x:v>
      </x:c>
      <x:c r="K573" s="25" t="str">
        <x:v>Exclude: topic mismatch</x:v>
      </x:c>
    </x:row>
    <x:row r="574">
      <x:c r="A574" s="20" t="str">
        <x:v>R0570</x:v>
      </x:c>
      <x:c r="B574" s="25" t="str">
        <x:v>Episodic and Semantic Memory</x:v>
      </x:c>
      <x:c r="C574" s="25" t="n">
        <x:v>2007</x:v>
      </x:c>
      <x:c r="D574" s="25" t="str"/>
      <x:c r="E574" s="25" t="str">
        <x:v>Cognitive Psychology</x:v>
      </x:c>
      <x:c r="F574" s="25" t="str">
        <x:v>10.4135/9781446212967.n15</x:v>
      </x:c>
      <x:c r="G574" s="25" t="str">
        <x:v>https://doi.org/10.4135/9781446212967.n15</x:v>
      </x:c>
      <x:c r="H574" s="25" t="str">
        <x:v>Crossref</x:v>
      </x:c>
      <x:c r="I574" s="25" t="str">
        <x:v>C5_agent_memory</x:v>
      </x:c>
      <x:c r="J574" s="25" t="str">
        <x:v>Exclude</x:v>
      </x:c>
      <x:c r="K574" s="25" t="str">
        <x:v>Exclude: adjacent/redundant or insufficiently theory-generative for DC1</x:v>
      </x:c>
    </x:row>
    <x:row r="575">
      <x:c r="A575" s="20" t="str">
        <x:v>R0571</x:v>
      </x:c>
      <x:c r="B575" s="25" t="str">
        <x:v>Evaluating Human–Robot Interaction Algorithms in Shared Autonomy via Quality Diversity Scenario Generation</x:v>
      </x:c>
      <x:c r="C575" s="25" t="n">
        <x:v>2022</x:v>
      </x:c>
      <x:c r="D575" s="25" t="str">
        <x:v>Matthew C. Fontaine; Stefanos Nikolaidis</x:v>
      </x:c>
      <x:c r="E575" s="25" t="str">
        <x:v>ACM Transactions on Human-Robot Interaction</x:v>
      </x:c>
      <x:c r="F575" s="25" t="str">
        <x:v>10.1145/3476412</x:v>
      </x:c>
      <x:c r="G575" s="25" t="str">
        <x:v>https://doi.org/10.1145/3476412</x:v>
      </x:c>
      <x:c r="H575" s="25" t="str">
        <x:v>Crossref; OpenAlex</x:v>
      </x:c>
      <x:c r="I575" s="25" t="str">
        <x:v>C4_uncertainty_shared_autonomy</x:v>
      </x:c>
      <x:c r="J575" s="25" t="str">
        <x:v>Exclude</x:v>
      </x:c>
      <x:c r="K575" s="25" t="str">
        <x:v>Exclude: adjacent/redundant or insufficiently theory-generative for DC1</x:v>
      </x:c>
    </x:row>
    <x:row r="576">
      <x:c r="A576" s="20" t="str">
        <x:v>R0572</x:v>
      </x:c>
      <x:c r="B576" s="25" t="str">
        <x:v>Expecting, understanding, relating, and interacting-older, middle-aged and younger adults’ perspectives on breakdown situations in human–robot dialogues</x:v>
      </x:c>
      <x:c r="C576" s="25" t="n">
        <x:v>2022</x:v>
      </x:c>
      <x:c r="D576" s="25" t="str">
        <x:v>Maitreyee Tewari; Helena Lindgren</x:v>
      </x:c>
      <x:c r="E576" s="25" t="str">
        <x:v>Frontiers in Robotics and AI</x:v>
      </x:c>
      <x:c r="F576" s="25" t="str">
        <x:v>10.3389/frobt.2022.956709</x:v>
      </x:c>
      <x:c r="G576" s="25" t="str">
        <x:v>https://doi.org/10.3389/frobt.2022.956709</x:v>
      </x:c>
      <x:c r="H576" s="25" t="str">
        <x:v>OpenAlex</x:v>
      </x:c>
      <x:c r="I576" s="25" t="str">
        <x:v>C12_common_ground_repair</x:v>
      </x:c>
      <x:c r="J576" s="25" t="str">
        <x:v>Exclude</x:v>
      </x:c>
      <x:c r="K576" s="25" t="str">
        <x:v>Exclude: adjacent/redundant or insufficiently theory-generative for DC1</x:v>
      </x:c>
    </x:row>
    <x:row r="577">
      <x:c r="A577" s="20" t="str">
        <x:v>R0573</x:v>
      </x:c>
      <x:c r="B577" s="25" t="str">
        <x:v>Manipulation of mental models of anatomy in interventional radiology and its consequences for design of human–computer interaction</x:v>
      </x:c>
      <x:c r="C577" s="25" t="n">
        <x:v>2012</x:v>
      </x:c>
      <x:c r="D577" s="25" t="str">
        <x:v>Edit Varga; Peter M. T. Pattynama; A. Freudenthal</x:v>
      </x:c>
      <x:c r="E577" s="25" t="str">
        <x:v>Cognition Technology &amp; Work</x:v>
      </x:c>
      <x:c r="F577" s="25" t="str">
        <x:v>10.1007/s10111-012-0227-6</x:v>
      </x:c>
      <x:c r="G577" s="25" t="str">
        <x:v>https://doi.org/10.1007/s10111-012-0227-6</x:v>
      </x:c>
      <x:c r="H577" s="25" t="str">
        <x:v>OpenAlex</x:v>
      </x:c>
      <x:c r="I577" s="25" t="str">
        <x:v>C1_3D_mental_models</x:v>
      </x:c>
      <x:c r="J577" s="25" t="str">
        <x:v>Exclude</x:v>
      </x:c>
      <x:c r="K577" s="25" t="str">
        <x:v>Exclude: adjacent/redundant or insufficiently theory-generative for DC1</x:v>
      </x:c>
    </x:row>
    <x:row r="578">
      <x:c r="A578" s="20" t="str">
        <x:v>R0574</x:v>
      </x:c>
      <x:c r="B578" s="25" t="str">
        <x:v>Mixed‐Initiative Interface Personalization as a Case Study in Usable AI</x:v>
      </x:c>
      <x:c r="C578" s="25" t="n">
        <x:v>2009</x:v>
      </x:c>
      <x:c r="D578" s="25" t="str">
        <x:v>Andrea Bunt; Cristina Conati; Joanna McGrenere</x:v>
      </x:c>
      <x:c r="E578" s="25" t="str">
        <x:v>AI Magazine</x:v>
      </x:c>
      <x:c r="F578" s="25" t="str">
        <x:v>10.1609/aimag.v30i4.2264</x:v>
      </x:c>
      <x:c r="G578" s="25" t="str">
        <x:v>https://doi.org/10.1609/aimag.v30i4.2264</x:v>
      </x:c>
      <x:c r="H578" s="25" t="str">
        <x:v>Crossref</x:v>
      </x:c>
      <x:c r="I578" s="25" t="str">
        <x:v>C15_proactive_interruption</x:v>
      </x:c>
      <x:c r="J578" s="25" t="str">
        <x:v>Exclude</x:v>
      </x:c>
      <x:c r="K578" s="25" t="str">
        <x:v>Exclude: adjacent/redundant or insufficiently theory-generative for DC1</x:v>
      </x:c>
    </x:row>
    <x:row r="579">
      <x:c r="A579" s="20" t="str">
        <x:v>R0575</x:v>
      </x:c>
      <x:c r="B579" s="25" t="str">
        <x:v>The Metacognitive Demands and Opportunities of Generative AI</x:v>
      </x:c>
      <x:c r="C579" s="25" t="n">
        <x:v>2023</x:v>
      </x:c>
      <x:c r="D579" s="25" t="str">
        <x:v>Lev Tankelevitch; Viktor Kewenig; Auste Simkute; Ava Elizabeth Scott; Advait Sarkar; Abigail Sellen; Sean Rintel</x:v>
      </x:c>
      <x:c r="E579" s="25" t="str">
        <x:v>arXiv (Cornell University)</x:v>
      </x:c>
      <x:c r="F579" s="25" t="str">
        <x:v>10.48550/arxiv.2312.10893</x:v>
      </x:c>
      <x:c r="G579" s="25" t="str">
        <x:v>http://arxiv.org/abs/2312.10893</x:v>
      </x:c>
      <x:c r="H579" s="25" t="str">
        <x:v>OpenAlex</x:v>
      </x:c>
      <x:c r="I579" s="25" t="str">
        <x:v>C12_common_ground_repair</x:v>
      </x:c>
      <x:c r="J579" s="25" t="str">
        <x:v>Exclude</x:v>
      </x:c>
      <x:c r="K579" s="25" t="str">
        <x:v>Exclude: adjacent/redundant or insufficiently theory-generative for DC1</x:v>
      </x:c>
    </x:row>
    <x:row r="580">
      <x:c r="A580" s="20" t="str">
        <x:v>R0576</x:v>
      </x:c>
      <x:c r="B580" s="25" t="str">
        <x:v>Voice User Interface Design</x:v>
      </x:c>
      <x:c r="C580" s="25" t="n">
        <x:v>2018</x:v>
      </x:c>
      <x:c r="D580" s="25" t="str">
        <x:v>Ritwik Dasgupta</x:v>
      </x:c>
      <x:c r="E580" s="25" t="str"/>
      <x:c r="F580" s="25" t="str">
        <x:v>10.1007/978-1-4842-4125-7</x:v>
      </x:c>
      <x:c r="G580" s="25" t="str">
        <x:v>https://doi.org/10.1007/978-1-4842-4125-7</x:v>
      </x:c>
      <x:c r="H580" s="25" t="str">
        <x:v>Crossref</x:v>
      </x:c>
      <x:c r="I580" s="25" t="str">
        <x:v>C6_frontend_GUI_intent</x:v>
      </x:c>
      <x:c r="J580" s="25" t="str">
        <x:v>Exclude</x:v>
      </x:c>
      <x:c r="K580" s="25" t="str">
        <x:v>Exclude: topic mismatch</x:v>
      </x:c>
    </x:row>
    <x:row r="581">
      <x:c r="A581" s="20" t="str">
        <x:v>R0577</x:v>
      </x:c>
      <x:c r="B581" s="25" t="str">
        <x:v>Chapter 1.1 Perspectives on episodic and semantic memory retrieval</x:v>
      </x:c>
      <x:c r="C581" s="25" t="n">
        <x:v>2008</x:v>
      </x:c>
      <x:c r="D581" s="25" t="str">
        <x:v>Lee Ryan; Siobhan Hoscheidt; Lynn Nadel</x:v>
      </x:c>
      <x:c r="E581" s="25" t="str">
        <x:v>Handbook of Behavioral Neuroscience</x:v>
      </x:c>
      <x:c r="F581" s="25" t="str">
        <x:v>10.1016/s1569-7339(08)00201-4</x:v>
      </x:c>
      <x:c r="G581" s="25" t="str">
        <x:v>https://doi.org/10.1016/s1569-7339(08)00201-4</x:v>
      </x:c>
      <x:c r="H581" s="25" t="str">
        <x:v>Crossref</x:v>
      </x:c>
      <x:c r="I581" s="25" t="str">
        <x:v>C5_agent_memory</x:v>
      </x:c>
      <x:c r="J581" s="25" t="str">
        <x:v>Exclude</x:v>
      </x:c>
      <x:c r="K581" s="25" t="str">
        <x:v>Exclude: adjacent/redundant or insufficiently theory-generative for DC1</x:v>
      </x:c>
    </x:row>
    <x:row r="582">
      <x:c r="A582" s="20" t="str">
        <x:v>R0578</x:v>
      </x:c>
      <x:c r="B582" s="25" t="str">
        <x:v>Episodic memory: insights from semantic dementia</x:v>
      </x:c>
      <x:c r="C582" s="25" t="n">
        <x:v>2002</x:v>
      </x:c>
      <x:c r="D582" s="25" t="str">
        <x:v>John R. Hodges; Kim S. Graham</x:v>
      </x:c>
      <x:c r="E582" s="25" t="str">
        <x:v>Episodic Memory: New Directions in Research</x:v>
      </x:c>
      <x:c r="F582" s="25" t="str">
        <x:v>10.1093/acprof:oso/9780198508809.003.0008</x:v>
      </x:c>
      <x:c r="G582" s="25" t="str">
        <x:v>https://doi.org/10.1093/acprof:oso/9780198508809.003.0008</x:v>
      </x:c>
      <x:c r="H582" s="25" t="str">
        <x:v>Crossref</x:v>
      </x:c>
      <x:c r="I582" s="25" t="str">
        <x:v>C5_agent_memory</x:v>
      </x:c>
      <x:c r="J582" s="25" t="str">
        <x:v>Exclude</x:v>
      </x:c>
      <x:c r="K582" s="25" t="str">
        <x:v>Exclude: adjacent/redundant or insufficiently theory-generative for DC1</x:v>
      </x:c>
    </x:row>
    <x:row r="583">
      <x:c r="A583" s="20" t="str">
        <x:v>R0579</x:v>
      </x:c>
      <x:c r="B583" s="25" t="str">
        <x:v>Improving Face Sketch Recognition via Adversarial Sketch-Photo Transformation</x:v>
      </x:c>
      <x:c r="C583" s="25" t="n">
        <x:v>2019</x:v>
      </x:c>
      <x:c r="D583" s="25" t="str">
        <x:v>Shikang Yu; Hu Han; Shiguang Shan; Antitza Dantcheva; Xilin Chen</x:v>
      </x:c>
      <x:c r="E583" s="25" t="str">
        <x:v>2019 14th IEEE International Conference on Automatic Face &amp;amp; Gesture Recognition (FG 2019)</x:v>
      </x:c>
      <x:c r="F583" s="25" t="str">
        <x:v>10.1109/fg.2019.8756563</x:v>
      </x:c>
      <x:c r="G583" s="25" t="str">
        <x:v>https://doi.org/10.1109/fg.2019.8756563</x:v>
      </x:c>
      <x:c r="H583" s="25" t="str">
        <x:v>Crossref</x:v>
      </x:c>
      <x:c r="I583" s="25" t="str">
        <x:v>C17_3D_gesture_ambiguity</x:v>
      </x:c>
      <x:c r="J583" s="25" t="str">
        <x:v>Exclude</x:v>
      </x:c>
      <x:c r="K583" s="25" t="str">
        <x:v>Exclude: topic mismatch</x:v>
      </x:c>
    </x:row>
    <x:row r="584">
      <x:c r="A584" s="20" t="str">
        <x:v>R0580</x:v>
      </x:c>
      <x:c r="B584" s="25" t="str">
        <x:v>Interactive feature extraction for a form feature conversion system</x:v>
      </x:c>
      <x:c r="C584" s="25" t="n">
        <x:v>1997</x:v>
      </x:c>
      <x:c r="D584" s="25" t="str">
        <x:v>Yong S. Suh; Michael J. Wozny</x:v>
      </x:c>
      <x:c r="E584" s="25" t="str"/>
      <x:c r="F584" s="25" t="str">
        <x:v>10.1145/267734.267762</x:v>
      </x:c>
      <x:c r="G584" s="25" t="str">
        <x:v>https://doi.org/10.1145/267734.267762</x:v>
      </x:c>
      <x:c r="H584" s="25" t="str">
        <x:v>OpenAlex</x:v>
      </x:c>
      <x:c r="I584" s="25" t="str">
        <x:v>C13_CAD_design_intent</x:v>
      </x:c>
      <x:c r="J584" s="25" t="str">
        <x:v>Exclude</x:v>
      </x:c>
      <x:c r="K584" s="25" t="str">
        <x:v>Exclude: topic mismatch</x:v>
      </x:c>
    </x:row>
    <x:row r="585">
      <x:c r="A585" s="20" t="str">
        <x:v>R0581</x:v>
      </x:c>
      <x:c r="B585" s="25" t="str">
        <x:v>Prediction learning in robotic manipulation</x:v>
      </x:c>
      <x:c r="C585" s="25" t="n">
        <x:v>2010</x:v>
      </x:c>
      <x:c r="D585" s="25" t="str">
        <x:v>Marek Kopicki</x:v>
      </x:c>
      <x:c r="E585" s="25" t="str"/>
      <x:c r="F585" s="25" t="str">
        <x:v>10.3181/00379727-84-20679</x:v>
      </x:c>
      <x:c r="G585" s="25" t="str">
        <x:v>https://etheses.bham.ac.uk/id/eprint/1258</x:v>
      </x:c>
      <x:c r="H585" s="25" t="str">
        <x:v>OpenAlex</x:v>
      </x:c>
      <x:c r="I585" s="25" t="str">
        <x:v>C1_3D_mental_models</x:v>
      </x:c>
      <x:c r="J585" s="25" t="str">
        <x:v>Exclude</x:v>
      </x:c>
      <x:c r="K585" s="25" t="str">
        <x:v>Exclude: adjacent/redundant or insufficiently theory-generative for DC1</x:v>
      </x:c>
    </x:row>
    <x:row r="586">
      <x:c r="A586" s="20" t="str">
        <x:v>R0582</x:v>
      </x:c>
      <x:c r="B586" s="25" t="str">
        <x:v>Transactional Scripts in Contract Stacks</x:v>
      </x:c>
      <x:c r="C586" s="25" t="n">
        <x:v>2020</x:v>
      </x:c>
      <x:c r="D586" s="25" t="str">
        <x:v>Shaanan Cohney; David A. Hoffman</x:v>
      </x:c>
      <x:c r="E586" s="25" t="str">
        <x:v>SSRN Electronic Journal</x:v>
      </x:c>
      <x:c r="F586" s="25" t="str">
        <x:v>10.2139/ssrn.3523515</x:v>
      </x:c>
      <x:c r="G586" s="25" t="str">
        <x:v>https://doi.org/10.2139/ssrn.3523515</x:v>
      </x:c>
      <x:c r="H586" s="25" t="str">
        <x:v>OpenAlex</x:v>
      </x:c>
      <x:c r="I586" s="25" t="str">
        <x:v>C17_3D_gesture_ambiguity</x:v>
      </x:c>
      <x:c r="J586" s="25" t="str">
        <x:v>Exclude</x:v>
      </x:c>
      <x:c r="K586" s="25" t="str">
        <x:v>Exclude: topic mismatch</x:v>
      </x:c>
    </x:row>
    <x:row r="587">
      <x:c r="A587" s="20" t="str">
        <x:v>R0583</x:v>
      </x:c>
      <x:c r="B587" s="25" t="str">
        <x:v>Working memory and the memory distortion component of hindsight bias</x:v>
      </x:c>
      <x:c r="C587" s="25" t="n">
        <x:v>2012</x:v>
      </x:c>
      <x:c r="D587" s="25" t="str">
        <x:v>Dustin P. Calvillo</x:v>
      </x:c>
      <x:c r="E587" s="25" t="str">
        <x:v>Memory</x:v>
      </x:c>
      <x:c r="F587" s="25" t="str">
        <x:v>10.1080/09658211.2012.706309</x:v>
      </x:c>
      <x:c r="G587" s="25" t="str">
        <x:v>https://doi.org/10.1080/09658211.2012.706309</x:v>
      </x:c>
      <x:c r="H587" s="25" t="str">
        <x:v>Crossref</x:v>
      </x:c>
      <x:c r="I587" s="25" t="str">
        <x:v>C16_memory_conflict_bias</x:v>
      </x:c>
      <x:c r="J587" s="25" t="str">
        <x:v>Exclude</x:v>
      </x:c>
      <x:c r="K587" s="25" t="str">
        <x:v>Exclude: adjacent/redundant or insufficiently theory-generative for DC1</x:v>
      </x:c>
    </x:row>
    <x:row r="588">
      <x:c r="A588" s="20" t="str">
        <x:v>R0584</x:v>
      </x:c>
      <x:c r="B588" s="25" t="str">
        <x:v>A Review on Vibe Coding: Fundamentals, State-of-the-art, Challenges and Future Directions</x:v>
      </x:c>
      <x:c r="C588" s="25" t="n">
        <x:v>2025</x:v>
      </x:c>
      <x:c r="D588" s="25" t="str">
        <x:v>Partha Pratim Ray</x:v>
      </x:c>
      <x:c r="E588" s="25" t="str"/>
      <x:c r="F588" s="25" t="str">
        <x:v>10.36227/techrxiv.174681482.27435614/v1</x:v>
      </x:c>
      <x:c r="G588" s="25" t="str">
        <x:v>https://doi.org/10.36227/techrxiv.174681482.27435614/v1</x:v>
      </x:c>
      <x:c r="H588" s="25" t="str">
        <x:v>OpenAlex</x:v>
      </x:c>
      <x:c r="I588" s="25" t="str">
        <x:v>C16_memory_conflict_bias</x:v>
      </x:c>
      <x:c r="J588" s="25" t="str">
        <x:v>Exclude</x:v>
      </x:c>
      <x:c r="K588" s="25" t="str">
        <x:v>Exclude: adjacent/redundant or insufficiently theory-generative for DC1</x:v>
      </x:c>
    </x:row>
    <x:row r="589">
      <x:c r="A589" s="20" t="str">
        <x:v>R0585</x:v>
      </x:c>
      <x:c r="B589" s="25" t="str">
        <x:v>Agents United</x:v>
      </x:c>
      <x:c r="C589" s="25" t="n">
        <x:v>2021</x:v>
      </x:c>
      <x:c r="D589" s="25" t="str">
        <x:v>Tessa Beinema; Daniel Davison; Dennis Reidsma; Oresti Baños; Merijn Bruijnes; Brice Donval; Álvaro Fides Valero; Dirk Heylen; Dennis Hofs; Gerwin Harris Huizing; Reshamashree B. Kantharaju; Randy Klaassen; Jan Kolkmeier; Kostas Konsolakis; Alison Pease; Catherine Pélachaud; Donatella Simonetti; Mark Snaith; Vicente Traver; Jorien van Loon; Jacky Visser; Marcel H.H. Weusthof; Fajrian Yunus; Hermie Hermens; Harm op den Akker</x:v>
      </x:c>
      <x:c r="E589" s="25" t="str"/>
      <x:c r="F589" s="25" t="str">
        <x:v>10.1145/3472306.3478352</x:v>
      </x:c>
      <x:c r="G589" s="25" t="str">
        <x:v>https://doi.org/10.1145/3472306.3478352</x:v>
      </x:c>
      <x:c r="H589" s="25" t="str">
        <x:v>OpenAlex</x:v>
      </x:c>
      <x:c r="I589" s="25" t="str">
        <x:v>C6_frontend_GUI_intent</x:v>
      </x:c>
      <x:c r="J589" s="25" t="str">
        <x:v>Exclude</x:v>
      </x:c>
      <x:c r="K589" s="25" t="str">
        <x:v>Exclude: topic mismatch</x:v>
      </x:c>
    </x:row>
    <x:row r="590">
      <x:c r="A590" s="20" t="str">
        <x:v>R0586</x:v>
      </x:c>
      <x:c r="B590" s="25" t="str">
        <x:v>Anisotropic Heat Conduction With Mixed Boundary Conditions</x:v>
      </x:c>
      <x:c r="C590" s="25" t="n">
        <x:v>1984</x:v>
      </x:c>
      <x:c r="D590" s="25" t="str">
        <x:v>S. C. Huang; Y. P. Chang</x:v>
      </x:c>
      <x:c r="E590" s="25" t="str">
        <x:v>Journal of Heat Transfer</x:v>
      </x:c>
      <x:c r="F590" s="25" t="str">
        <x:v>10.1115/1.3246729</x:v>
      </x:c>
      <x:c r="G590" s="25" t="str">
        <x:v>https://doi.org/10.1115/1.3246729</x:v>
      </x:c>
      <x:c r="H590" s="25" t="str">
        <x:v>Crossref</x:v>
      </x:c>
      <x:c r="I590" s="25" t="str">
        <x:v>C9_human_agent_handoff</x:v>
      </x:c>
      <x:c r="J590" s="25" t="str">
        <x:v>Exclude</x:v>
      </x:c>
      <x:c r="K590" s="25" t="str">
        <x:v>Exclude: topic mismatch</x:v>
      </x:c>
    </x:row>
    <x:row r="591">
      <x:c r="A591" s="20" t="str">
        <x:v>R0587</x:v>
      </x:c>
      <x:c r="B591" s="25" t="str">
        <x:v>Application of 3D Reality Technology Combined with CAD in Animation Modeling Design</x:v>
      </x:c>
      <x:c r="C591" s="25" t="n">
        <x:v>2020</x:v>
      </x:c>
      <x:c r="D591" s="25" t="str">
        <x:v>Yang Jing; Yang Song</x:v>
      </x:c>
      <x:c r="E591" s="25" t="str">
        <x:v>Computer-Aided Design and Applications</x:v>
      </x:c>
      <x:c r="F591" s="25" t="str">
        <x:v>10.14733/cadaps.2021.s3.164-175</x:v>
      </x:c>
      <x:c r="G591" s="25" t="str">
        <x:v>https://doi.org/10.14733/cadaps.2021.s3.164-175</x:v>
      </x:c>
      <x:c r="H591" s="25" t="str">
        <x:v>Crossref</x:v>
      </x:c>
      <x:c r="I591" s="25" t="str">
        <x:v>C13_CAD_design_intent</x:v>
      </x:c>
      <x:c r="J591" s="25" t="str">
        <x:v>Exclude</x:v>
      </x:c>
      <x:c r="K591" s="25" t="str">
        <x:v>Exclude: adjacent/redundant or insufficiently theory-generative for DC1</x:v>
      </x:c>
    </x:row>
    <x:row r="592">
      <x:c r="A592" s="20" t="str">
        <x:v>R0588</x:v>
      </x:c>
      <x:c r="B592" s="25" t="str">
        <x:v>Approaches for assessing communication in human-autonomy teams</x:v>
      </x:c>
      <x:c r="C592" s="25" t="n">
        <x:v>2021</x:v>
      </x:c>
      <x:c r="D592" s="25" t="str">
        <x:v>Anthony L. Baker; Sean M. Fitzhugh; Lixiao Huang; Daniel E. Forster; Angélique A. Scharine; Catherine Neubauer; Glenn J. Lematta; Shawaiz Bhatti; Craig J. Johnson; Andrea Krausman; Eric Holder; Kristin E. Schaefer; Nancy J. Cooke</x:v>
      </x:c>
      <x:c r="E592" s="25" t="str">
        <x:v>Human-Intelligent Systems Integration</x:v>
      </x:c>
      <x:c r="F592" s="25" t="str">
        <x:v>10.1007/s42454-021-00026-2</x:v>
      </x:c>
      <x:c r="G592" s="25" t="str">
        <x:v>https://doi.org/10.1007/s42454-021-00026-2</x:v>
      </x:c>
      <x:c r="H592" s="25" t="str">
        <x:v>OpenAlex</x:v>
      </x:c>
      <x:c r="I592" s="25" t="str">
        <x:v>C12_common_ground_repair</x:v>
      </x:c>
      <x:c r="J592" s="25" t="str">
        <x:v>Exclude</x:v>
      </x:c>
      <x:c r="K592" s="25" t="str">
        <x:v>Exclude: adjacent/redundant or insufficiently theory-generative for DC1</x:v>
      </x:c>
    </x:row>
    <x:row r="593">
      <x:c r="A593" s="20" t="str">
        <x:v>R0589</x:v>
      </x:c>
      <x:c r="B593" s="25" t="str">
        <x:v>Balanced Information Gathering and Goal-Oriented Actions in Shared Autonomy</x:v>
      </x:c>
      <x:c r="C593" s="25" t="n">
        <x:v>2019</x:v>
      </x:c>
      <x:c r="D593" s="25" t="str">
        <x:v>Connor Brooks; Daniel Szafir</x:v>
      </x:c>
      <x:c r="E593" s="25" t="str">
        <x:v>2019 14th ACM/IEEE International Conference on Human-Robot Interaction (HRI)</x:v>
      </x:c>
      <x:c r="F593" s="25" t="str">
        <x:v>10.1109/hri.2019.8673192</x:v>
      </x:c>
      <x:c r="G593" s="25" t="str">
        <x:v>https://doi.org/10.1109/hri.2019.8673192</x:v>
      </x:c>
      <x:c r="H593" s="25" t="str">
        <x:v>Crossref</x:v>
      </x:c>
      <x:c r="I593" s="25" t="str">
        <x:v>C4_uncertainty_shared_autonomy</x:v>
      </x:c>
      <x:c r="J593" s="25" t="str">
        <x:v>Include</x:v>
      </x:c>
      <x:c r="K593" s="25" t="str">
        <x:v>Included in focused synthesis</x:v>
      </x:c>
    </x:row>
    <x:row r="594">
      <x:c r="A594" s="20" t="str">
        <x:v>R0590</x:v>
      </x:c>
      <x:c r="B594" s="25" t="str">
        <x:v>Beyond Prompts: Exploring the Design Space of Mixed-Initiative Co-Creativity Systems</x:v>
      </x:c>
      <x:c r="C594" s="25" t="n">
        <x:v>2023</x:v>
      </x:c>
      <x:c r="D594" s="25" t="str">
        <x:v>Zhiyu Lin; Upol Ehsan; Rohan Agarwal; Samihan Dani; Vidushi Vashishth; Mark Riedl</x:v>
      </x:c>
      <x:c r="E594" s="25" t="str">
        <x:v>arXiv (Cornell University)</x:v>
      </x:c>
      <x:c r="F594" s="25" t="str">
        <x:v>10.48550/arxiv.2305.07465</x:v>
      </x:c>
      <x:c r="G594" s="25" t="str">
        <x:v>http://arxiv.org/abs/2305.07465</x:v>
      </x:c>
      <x:c r="H594" s="25" t="str">
        <x:v>OpenAlex</x:v>
      </x:c>
      <x:c r="I594" s="25" t="str">
        <x:v>C3_mixed_initiative_cocreation</x:v>
      </x:c>
      <x:c r="J594" s="25" t="str">
        <x:v>Include</x:v>
      </x:c>
      <x:c r="K594" s="25" t="str">
        <x:v>Included in focused synthesis</x:v>
      </x:c>
    </x:row>
    <x:row r="595">
      <x:c r="A595" s="20" t="str">
        <x:v>R0591</x:v>
      </x:c>
      <x:c r="B595" s="25" t="str">
        <x:v>Can you pass that tool?: Implications of Indirect Speech in Physical Human-Robot Collaboration</x:v>
      </x:c>
      <x:c r="C595" s="25" t="n">
        <x:v>2025</x:v>
      </x:c>
      <x:c r="D595" s="25" t="str">
        <x:v>Yan Zhang; Tharaka Sachintha Ratnayake; Cherie Sew; Jarrod Knibbe; Jorge Gonçalves; Wafa Johal</x:v>
      </x:c>
      <x:c r="E595" s="25" t="str"/>
      <x:c r="F595" s="25" t="str">
        <x:v>10.1145/3706598.3713780</x:v>
      </x:c>
      <x:c r="G595" s="25" t="str">
        <x:v>https://doi.org/10.1145/3706598.3713780</x:v>
      </x:c>
      <x:c r="H595" s="25" t="str">
        <x:v>OpenAlex</x:v>
      </x:c>
      <x:c r="I595" s="25" t="str">
        <x:v>C12_common_ground_repair</x:v>
      </x:c>
      <x:c r="J595" s="25" t="str">
        <x:v>Exclude</x:v>
      </x:c>
      <x:c r="K595" s="25" t="str">
        <x:v>Exclude: adjacent/redundant or insufficiently theory-generative for DC1</x:v>
      </x:c>
    </x:row>
    <x:row r="596">
      <x:c r="A596" s="20" t="str">
        <x:v>R0592</x:v>
      </x:c>
      <x:c r="B596" s="25" t="str">
        <x:v>Generative AI vs. AGI: The Cognitive Strengths and Weaknesses of Modern LLMs</x:v>
      </x:c>
      <x:c r="C596" s="25" t="n">
        <x:v>2023</x:v>
      </x:c>
      <x:c r="D596" s="25" t="str">
        <x:v>Ben Goertzel</x:v>
      </x:c>
      <x:c r="E596" s="25" t="str">
        <x:v>arXiv (Cornell University)</x:v>
      </x:c>
      <x:c r="F596" s="25" t="str">
        <x:v>10.48550/arxiv.2309.10371</x:v>
      </x:c>
      <x:c r="G596" s="25" t="str">
        <x:v>http://arxiv.org/abs/2309.10371</x:v>
      </x:c>
      <x:c r="H596" s="25" t="str">
        <x:v>OpenAlex</x:v>
      </x:c>
      <x:c r="I596" s="25" t="str">
        <x:v>C5_agent_memory</x:v>
      </x:c>
      <x:c r="J596" s="25" t="str">
        <x:v>Exclude</x:v>
      </x:c>
      <x:c r="K596" s="25" t="str">
        <x:v>Exclude: topic mismatch</x:v>
      </x:c>
    </x:row>
    <x:row r="597">
      <x:c r="A597" s="20" t="str">
        <x:v>R0593</x:v>
      </x:c>
      <x:c r="B597" s="25" t="str">
        <x:v>Grounding behaviours with conversational interfaces: effects of embodiment and failures</x:v>
      </x:c>
      <x:c r="C597" s="25" t="n">
        <x:v>2021</x:v>
      </x:c>
      <x:c r="D597" s="25" t="str">
        <x:v>Dimosthenis Kontogiorgos; André Pereira; Joakim Gustafson</x:v>
      </x:c>
      <x:c r="E597" s="25" t="str">
        <x:v>Journal on Multimodal User Interfaces</x:v>
      </x:c>
      <x:c r="F597" s="25" t="str">
        <x:v>10.1007/s12193-021-00366-y</x:v>
      </x:c>
      <x:c r="G597" s="25" t="str">
        <x:v>https://doi.org/10.1007/s12193-021-00366-y</x:v>
      </x:c>
      <x:c r="H597" s="25" t="str">
        <x:v>OpenAlex</x:v>
      </x:c>
      <x:c r="I597" s="25" t="str">
        <x:v>C12_common_ground_repair</x:v>
      </x:c>
      <x:c r="J597" s="25" t="str">
        <x:v>Exclude</x:v>
      </x:c>
      <x:c r="K597" s="25" t="str">
        <x:v>Exclude: adjacent/redundant or insufficiently theory-generative for DC1</x:v>
      </x:c>
    </x:row>
    <x:row r="598">
      <x:c r="A598" s="20" t="str">
        <x:v>R0594</x:v>
      </x:c>
      <x:c r="B598" s="25" t="str">
        <x:v>Lode Encoder: AI-constrained co-creativity</x:v>
      </x:c>
      <x:c r="C598" s="25" t="n">
        <x:v>2021</x:v>
      </x:c>
      <x:c r="D598" s="25" t="str">
        <x:v>Debosmita Bhaumik; Ahmed Khalifa; Julian Togelius</x:v>
      </x:c>
      <x:c r="E598" s="25" t="str">
        <x:v>2021 IEEE Conference on Games (CoG)</x:v>
      </x:c>
      <x:c r="F598" s="25" t="str">
        <x:v>10.1109/cog52621.2021.9619009</x:v>
      </x:c>
      <x:c r="G598" s="25" t="str">
        <x:v>https://doi.org/10.1109/cog52621.2021.9619009</x:v>
      </x:c>
      <x:c r="H598" s="25" t="str">
        <x:v>OpenAlex</x:v>
      </x:c>
      <x:c r="I598" s="25" t="str">
        <x:v>C3_mixed_initiative_cocreation</x:v>
      </x:c>
      <x:c r="J598" s="25" t="str">
        <x:v>Exclude</x:v>
      </x:c>
      <x:c r="K598" s="25" t="str">
        <x:v>Exclude: adjacent/redundant or insufficiently theory-generative for DC1</x:v>
      </x:c>
    </x:row>
    <x:row r="599">
      <x:c r="A599" s="20" t="str">
        <x:v>R0595</x:v>
      </x:c>
      <x:c r="B599" s="25" t="str">
        <x:v>Modelling and Predicting Trust for Developing Proactive Dialogue Strategies in Mixed-Initiative Interaction</x:v>
      </x:c>
      <x:c r="C599" s="25" t="n">
        <x:v>2021</x:v>
      </x:c>
      <x:c r="D599" s="25" t="str">
        <x:v>Matthias Kraus; Nicolas Wagner; Wolfgang Minker</x:v>
      </x:c>
      <x:c r="E599" s="25" t="str">
        <x:v>Proceedings of the 2021 International Conference on Multimodal Interaction</x:v>
      </x:c>
      <x:c r="F599" s="25" t="str">
        <x:v>10.1145/3462244.3479906</x:v>
      </x:c>
      <x:c r="G599" s="25" t="str">
        <x:v>https://doi.org/10.1145/3462244.3479906</x:v>
      </x:c>
      <x:c r="H599" s="25" t="str">
        <x:v>Crossref</x:v>
      </x:c>
      <x:c r="I599" s="25" t="str">
        <x:v>C15_proactive_interruption</x:v>
      </x:c>
      <x:c r="J599" s="25" t="str">
        <x:v>Exclude</x:v>
      </x:c>
      <x:c r="K599" s="25" t="str">
        <x:v>Exclude: adjacent/redundant or insufficiently theory-generative for DC1</x:v>
      </x:c>
    </x:row>
    <x:row r="600">
      <x:c r="A600" s="20" t="str">
        <x:v>R0596</x:v>
      </x:c>
      <x:c r="B600" s="25" t="str">
        <x:v>Thugs, Crooks, and Rebellious Negroes: Racist and Racialized Media Coverage of Michael Brown and the Ferguson Demonstrations</x:v>
      </x:c>
      <x:c r="C600" s="25" t="n">
        <x:v>2016</x:v>
      </x:c>
      <x:c r="D600" s="25" t="str">
        <x:v>Bryan L. Adamson</x:v>
      </x:c>
      <x:c r="E600" s="25" t="str"/>
      <x:c r="F600" s="25" t="str"/>
      <x:c r="G600" s="25" t="str">
        <x:v>https://digitalcommons.law.seattleu.edu/faculty/747</x:v>
      </x:c>
      <x:c r="H600" s="25" t="str">
        <x:v>OpenAlex</x:v>
      </x:c>
      <x:c r="I600" s="25" t="str">
        <x:v>C17_3D_gesture_ambiguity</x:v>
      </x:c>
      <x:c r="J600" s="25" t="str">
        <x:v>Exclude</x:v>
      </x:c>
      <x:c r="K600" s="25" t="str">
        <x:v>Exclude: topic mismatch</x:v>
      </x:c>
    </x:row>
    <x:row r="601">
      <x:c r="A601" s="20" t="str">
        <x:v>R0597</x:v>
      </x:c>
      <x:c r="B601" s="25" t="str">
        <x:v>Agentic AI Systems: What It Is and Isn't</x:v>
      </x:c>
      <x:c r="C601" s="25" t="n">
        <x:v>2025</x:v>
      </x:c>
      <x:c r="D601" s="25" t="str">
        <x:v>Yogesh K. Dwivedi; Mohamed Y. Helal; Ibrahim A. Elgendy; Rasha Alahmad; Paul Walton; Ayoung Suh; Vinay Singh; Il Jeon</x:v>
      </x:c>
      <x:c r="E601" s="25" t="str">
        <x:v>Global Business and Organizational Excellence</x:v>
      </x:c>
      <x:c r="F601" s="25" t="str">
        <x:v>10.1002/joe.70018</x:v>
      </x:c>
      <x:c r="G601" s="25" t="str">
        <x:v>https://doi.org/10.1002/joe.70018</x:v>
      </x:c>
      <x:c r="H601" s="25" t="str">
        <x:v>OpenAlex</x:v>
      </x:c>
      <x:c r="I601" s="25" t="str">
        <x:v>C5_agent_memory</x:v>
      </x:c>
      <x:c r="J601" s="25" t="str">
        <x:v>Exclude</x:v>
      </x:c>
      <x:c r="K601" s="25" t="str">
        <x:v>Exclude: adjacent/redundant or insufficiently theory-generative for DC1</x:v>
      </x:c>
    </x:row>
    <x:row r="602">
      <x:c r="A602" s="20" t="str">
        <x:v>R0598</x:v>
      </x:c>
      <x:c r="B602" s="25" t="str">
        <x:v>Building distributed, multi-user applications by direct manipulation</x:v>
      </x:c>
      <x:c r="C602" s="25" t="n">
        <x:v>1994</x:v>
      </x:c>
      <x:c r="D602" s="25" t="str">
        <x:v>Krishna Bharat; Marc H. Brown</x:v>
      </x:c>
      <x:c r="E602" s="25" t="str">
        <x:v>Proceedings of the 7th annual ACM symposium on User interface software and technology  - UIST '94</x:v>
      </x:c>
      <x:c r="F602" s="25" t="str">
        <x:v>10.1145/192426.192454</x:v>
      </x:c>
      <x:c r="G602" s="25" t="str">
        <x:v>https://doi.org/10.1145/192426.192454</x:v>
      </x:c>
      <x:c r="H602" s="25" t="str">
        <x:v>Crossref</x:v>
      </x:c>
      <x:c r="I602" s="25" t="str">
        <x:v>C1_3D_mental_models</x:v>
      </x:c>
      <x:c r="J602" s="25" t="str">
        <x:v>Exclude</x:v>
      </x:c>
      <x:c r="K602" s="25" t="str">
        <x:v>Exclude: adjacent/redundant or insufficiently theory-generative for DC1</x:v>
      </x:c>
    </x:row>
    <x:row r="603">
      <x:c r="A603" s="20" t="str">
        <x:v>R0599</x:v>
      </x:c>
      <x:c r="B603" s="25" t="str">
        <x:v>Contextual inquiry</x:v>
      </x:c>
      <x:c r="C603" s="25" t="n">
        <x:v>1996</x:v>
      </x:c>
      <x:c r="D603" s="25" t="str">
        <x:v>Dennis Wixon; Alicia Flanders; Minette A. Beabes</x:v>
      </x:c>
      <x:c r="E603" s="25" t="str">
        <x:v>Conference companion on Human factors in computing systems common ground - CHI '96</x:v>
      </x:c>
      <x:c r="F603" s="25" t="str">
        <x:v>10.1145/257089.257365</x:v>
      </x:c>
      <x:c r="G603" s="25" t="str">
        <x:v>https://doi.org/10.1145/257089.257365</x:v>
      </x:c>
      <x:c r="H603" s="25" t="str">
        <x:v>Crossref</x:v>
      </x:c>
      <x:c r="I603" s="25" t="str">
        <x:v>C12_common_ground_repair</x:v>
      </x:c>
      <x:c r="J603" s="25" t="str">
        <x:v>Exclude</x:v>
      </x:c>
      <x:c r="K603" s="25" t="str">
        <x:v>Exclude: topic mismatch</x:v>
      </x:c>
    </x:row>
    <x:row r="604">
      <x:c r="A604" s="20" t="str">
        <x:v>R0600</x:v>
      </x:c>
      <x:c r="B604" s="25" t="str">
        <x:v>Design patterns: augmenting design practice in parametric CAD systems</x:v>
      </x:c>
      <x:c r="C604" s="25" t="n">
        <x:v>2009</x:v>
      </x:c>
      <x:c r="D604" s="25" t="str">
        <x:v>Zhenyu Cheryl Qian</x:v>
      </x:c>
      <x:c r="E604" s="25" t="str">
        <x:v>Summit (Simon Fraser University)</x:v>
      </x:c>
      <x:c r="F604" s="25" t="str"/>
      <x:c r="G604" s="25" t="str">
        <x:v>http://summit.sfu.ca/item/9676</x:v>
      </x:c>
      <x:c r="H604" s="25" t="str">
        <x:v>OpenAlex</x:v>
      </x:c>
      <x:c r="I604" s="25" t="str">
        <x:v>C13_CAD_design_intent</x:v>
      </x:c>
      <x:c r="J604" s="25" t="str">
        <x:v>Exclude</x:v>
      </x:c>
      <x:c r="K604" s="25" t="str">
        <x:v>Exclude: topic mismatch</x:v>
      </x:c>
    </x:row>
    <x:row r="605">
      <x:c r="A605" s="20" t="str">
        <x:v>R0601</x:v>
      </x:c>
      <x:c r="B605" s="25" t="str">
        <x:v>GUI Agents: A Survey</x:v>
      </x:c>
      <x:c r="C605" s="25" t="n">
        <x:v>2025</x:v>
      </x:c>
      <x:c r="D605" s="25" t="str">
        <x:v>Deanna D. Nguyen; Jian Chen; Yu Wang; Gang Wu; Namyong Park; Zhengmian Hu; Hanjia Lyu; Junda Wu; Ryan Aponte; Yu Xia; Xintong Li; Jing Shi; Hongjie Chen; Viet Dac Lai; Zhouhang Xie; Sungchul Kim; Ruiyi Zhang; Yu Tong; Mehrab Tanjim; Nesreen K. Ahmed; Puneet Mathur; Seunghyun Yoon; Lina Yao; Branislav Kveton; Jihyung Kil; Thien Huu Nguyen; Trung Bui; Tianyi Zhou; Ryan A. Rossi; Franck Dernoncourt</x:v>
      </x:c>
      <x:c r="E605" s="25" t="str"/>
      <x:c r="F605" s="25" t="str">
        <x:v>10.18653/v1/2025.findings-acl.1158</x:v>
      </x:c>
      <x:c r="G605" s="25" t="str">
        <x:v>https://doi.org/10.18653/v1/2025.findings-acl.1158</x:v>
      </x:c>
      <x:c r="H605" s="25" t="str">
        <x:v>OpenAlex</x:v>
      </x:c>
      <x:c r="I605" s="25" t="str">
        <x:v>C11_hierarchical_goal_recognition; C6_frontend_GUI_intent</x:v>
      </x:c>
      <x:c r="J605" s="25" t="str">
        <x:v>Exclude</x:v>
      </x:c>
      <x:c r="K605" s="25" t="str">
        <x:v>Exclude: topic mismatch</x:v>
      </x:c>
    </x:row>
    <x:row r="606">
      <x:c r="A606" s="20" t="str">
        <x:v>R0602</x:v>
      </x:c>
      <x:c r="B606" s="25" t="str">
        <x:v>Groundwater Pollution and Contamination: Sources, Impacts, Management, and the Integration of AI/ML for Future Solutions</x:v>
      </x:c>
      <x:c r="C606" s="25" t="n">
        <x:v>2025</x:v>
      </x:c>
      <x:c r="D606" s="25" t="str">
        <x:v>F. A. Samiul Islam</x:v>
      </x:c>
      <x:c r="E606" s="25" t="str">
        <x:v>Research Journal in Civil Industrial and Mechanical Engineering</x:v>
      </x:c>
      <x:c r="F606" s="25" t="str">
        <x:v>10.61424/rjcime.v2i2.307</x:v>
      </x:c>
      <x:c r="G606" s="25" t="str">
        <x:v>https://doi.org/10.61424/rjcime.v2i2.307</x:v>
      </x:c>
      <x:c r="H606" s="25" t="str">
        <x:v>OpenAlex</x:v>
      </x:c>
      <x:c r="I606" s="25" t="str">
        <x:v>C15_proactive_interruption</x:v>
      </x:c>
      <x:c r="J606" s="25" t="str">
        <x:v>Exclude</x:v>
      </x:c>
      <x:c r="K606" s="25" t="str">
        <x:v>Exclude: adjacent/redundant or insufficiently theory-generative for DC1</x:v>
      </x:c>
    </x:row>
    <x:row r="607">
      <x:c r="A607" s="20" t="str">
        <x:v>R0603</x:v>
      </x:c>
      <x:c r="B607" s="25" t="str">
        <x:v>Modelling and Visualizing Holographic 3D Geographical Scenes with Timely Data Based on the HoloLens</x:v>
      </x:c>
      <x:c r="C607" s="25" t="n">
        <x:v>2019</x:v>
      </x:c>
      <x:c r="D607" s="25" t="str">
        <x:v>Wei Wang; Xingxing Wu; An He; Zeqiang Chen</x:v>
      </x:c>
      <x:c r="E607" s="25" t="str">
        <x:v>ISPRS International Journal of Geo-Information</x:v>
      </x:c>
      <x:c r="F607" s="25" t="str">
        <x:v>10.3390/ijgi8120539</x:v>
      </x:c>
      <x:c r="G607" s="25" t="str">
        <x:v>https://doi.org/10.3390/ijgi8120539</x:v>
      </x:c>
      <x:c r="H607" s="25" t="str">
        <x:v>OpenAlex</x:v>
      </x:c>
      <x:c r="I607" s="25" t="str">
        <x:v>C13_CAD_design_intent</x:v>
      </x:c>
      <x:c r="J607" s="25" t="str">
        <x:v>Exclude</x:v>
      </x:c>
      <x:c r="K607" s="25" t="str">
        <x:v>Exclude: adjacent/redundant or insufficiently theory-generative for DC1</x:v>
      </x:c>
    </x:row>
    <x:row r="608">
      <x:c r="A608" s="20" t="str">
        <x:v>R0604</x:v>
      </x:c>
      <x:c r="B608" s="25" t="str">
        <x:v>SARI: Shared Autonomy across Repeated Interaction</x:v>
      </x:c>
      <x:c r="C608" s="25" t="n">
        <x:v>2024</x:v>
      </x:c>
      <x:c r="D608" s="25" t="str">
        <x:v>Ananth Jonnavittula; Shaunak A. Mehta; Dylan P. Losey</x:v>
      </x:c>
      <x:c r="E608" s="25" t="str">
        <x:v>ACM Transactions on Human-Robot Interaction</x:v>
      </x:c>
      <x:c r="F608" s="25" t="str">
        <x:v>10.1145/3651994</x:v>
      </x:c>
      <x:c r="G608" s="25" t="str">
        <x:v>https://doi.org/10.1145/3651994</x:v>
      </x:c>
      <x:c r="H608" s="25" t="str">
        <x:v>Crossref; OpenAlex</x:v>
      </x:c>
      <x:c r="I608" s="25" t="str">
        <x:v>C4_uncertainty_shared_autonomy</x:v>
      </x:c>
      <x:c r="J608" s="25" t="str">
        <x:v>Include</x:v>
      </x:c>
      <x:c r="K608" s="25" t="str">
        <x:v>Included in focused synthesis</x:v>
      </x:c>
    </x:row>
    <x:row r="609">
      <x:c r="A609" s="20" t="str">
        <x:v>R0605</x:v>
      </x:c>
      <x:c r="B609" s="25" t="str">
        <x:v>Towards a Working Definition of Designing Generative User Interfaces</x:v>
      </x:c>
      <x:c r="C609" s="25" t="n">
        <x:v>2025</x:v>
      </x:c>
      <x:c r="D609" s="25" t="str">
        <x:v>Kyungho Lee</x:v>
      </x:c>
      <x:c r="E609" s="25" t="str"/>
      <x:c r="F609" s="25" t="str">
        <x:v>10.1145/3715668.3736365</x:v>
      </x:c>
      <x:c r="G609" s="25" t="str">
        <x:v>https://doi.org/10.1145/3715668.3736365</x:v>
      </x:c>
      <x:c r="H609" s="25" t="str">
        <x:v>OpenAlex</x:v>
      </x:c>
      <x:c r="I609" s="25" t="str">
        <x:v>C6_frontend_GUI_intent</x:v>
      </x:c>
      <x:c r="J609" s="25" t="str">
        <x:v>Exclude</x:v>
      </x:c>
      <x:c r="K609" s="25" t="str">
        <x:v>Exclude: adjacent/redundant or insufficiently theory-generative for DC1</x:v>
      </x:c>
    </x:row>
    <x:row r="610">
      <x:c r="A610" s="20" t="str">
        <x:v>R0606</x:v>
      </x:c>
      <x:c r="B610" s="25" t="str">
        <x:v>Visual Map Algebra: a direct-manipulation user interface for GIS</x:v>
      </x:c>
      <x:c r="C610" s="25" t="n">
        <x:v>1995</x:v>
      </x:c>
      <x:c r="D610" s="25" t="str">
        <x:v>Max J. Egenhofer; H. Tom Bruns</x:v>
      </x:c>
      <x:c r="E610" s="25" t="str">
        <x:v>Visual Database Systems 3</x:v>
      </x:c>
      <x:c r="F610" s="25" t="str">
        <x:v>10.1007/978-0-387-34905-3_15</x:v>
      </x:c>
      <x:c r="G610" s="25" t="str">
        <x:v>https://doi.org/10.1007/978-0-387-34905-3_15</x:v>
      </x:c>
      <x:c r="H610" s="25" t="str">
        <x:v>Crossref</x:v>
      </x:c>
      <x:c r="I610" s="25" t="str">
        <x:v>C1_3D_mental_models</x:v>
      </x:c>
      <x:c r="J610" s="25" t="str">
        <x:v>Exclude</x:v>
      </x:c>
      <x:c r="K610" s="25" t="str">
        <x:v>Exclude: adjacent/redundant or insufficiently theory-generative for DC1</x:v>
      </x:c>
    </x:row>
    <x:row r="611">
      <x:c r="A611" s="20" t="str">
        <x:v>R0607</x:v>
      </x:c>
      <x:c r="B611" s="25" t="str">
        <x:v>Visual, Interactive 3D Spatial Grammars in CAD for Computational Design Synthesis</x:v>
      </x:c>
      <x:c r="C611" s="25" t="n">
        <x:v>2012</x:v>
      </x:c>
      <x:c r="D611" s="25" t="str">
        <x:v>Frank Hoisl</x:v>
      </x:c>
      <x:c r="E611" s="25" t="str">
        <x:v>mediaTUM – the media and publications repository of the Technical University Munich (Technical University Munich)</x:v>
      </x:c>
      <x:c r="F611" s="25" t="str"/>
      <x:c r="G611" s="25" t="str">
        <x:v>http://mediatum.ub.tum.de/node?id=1096886</x:v>
      </x:c>
      <x:c r="H611" s="25" t="str">
        <x:v>OpenAlex</x:v>
      </x:c>
      <x:c r="I611" s="25" t="str">
        <x:v>C13_CAD_design_intent</x:v>
      </x:c>
      <x:c r="J611" s="25" t="str">
        <x:v>Exclude</x:v>
      </x:c>
      <x:c r="K611" s="25" t="str">
        <x:v>Exclude: adjacent/redundant or insufficiently theory-generative for DC1</x:v>
      </x:c>
    </x:row>
    <x:row r="612">
      <x:c r="A612" s="20" t="str">
        <x:v>R0608</x:v>
      </x:c>
      <x:c r="B612" s="25" t="str">
        <x:v>A Quality Diversity Approach to Automatically Generating Human-Robot Interaction Scenarios in Shared Autonomy</x:v>
      </x:c>
      <x:c r="C612" s="25" t="n">
        <x:v>2021</x:v>
      </x:c>
      <x:c r="D612" s="25" t="str">
        <x:v>Matthew Fontaine; Stefanos Nikolaidis</x:v>
      </x:c>
      <x:c r="E612" s="25" t="str">
        <x:v>Robotics: Science and Systems XVII</x:v>
      </x:c>
      <x:c r="F612" s="25" t="str">
        <x:v>10.15607/rss.2021.xvii.036</x:v>
      </x:c>
      <x:c r="G612" s="25" t="str">
        <x:v>https://doi.org/10.15607/rss.2021.xvii.036</x:v>
      </x:c>
      <x:c r="H612" s="25" t="str">
        <x:v>Crossref</x:v>
      </x:c>
      <x:c r="I612" s="25" t="str">
        <x:v>C4_uncertainty_shared_autonomy</x:v>
      </x:c>
      <x:c r="J612" s="25" t="str">
        <x:v>Exclude</x:v>
      </x:c>
      <x:c r="K612" s="25" t="str">
        <x:v>Exclude: adjacent/redundant or insufficiently theory-generative for DC1</x:v>
      </x:c>
    </x:row>
    <x:row r="613">
      <x:c r="A613" s="20" t="str">
        <x:v>R0609</x:v>
      </x:c>
      <x:c r="B613" s="25" t="str">
        <x:v>A note on the loop thermosyphon with mixed boundary conditions</x:v>
      </x:c>
      <x:c r="C613" s="25" t="n">
        <x:v>1985</x:v>
      </x:c>
      <x:c r="D613" s="25" t="str">
        <x:v>J.E. Hart</x:v>
      </x:c>
      <x:c r="E613" s="25" t="str">
        <x:v>International Journal of Heat and Mass Transfer</x:v>
      </x:c>
      <x:c r="F613" s="25" t="str">
        <x:v>10.1016/0017-9310(85)90275-3</x:v>
      </x:c>
      <x:c r="G613" s="25" t="str">
        <x:v>https://doi.org/10.1016/0017-9310(85)90275-3</x:v>
      </x:c>
      <x:c r="H613" s="25" t="str">
        <x:v>Crossref</x:v>
      </x:c>
      <x:c r="I613" s="25" t="str">
        <x:v>C9_human_agent_handoff</x:v>
      </x:c>
      <x:c r="J613" s="25" t="str">
        <x:v>Exclude</x:v>
      </x:c>
      <x:c r="K613" s="25" t="str">
        <x:v>Exclude: topic mismatch</x:v>
      </x:c>
    </x:row>
    <x:row r="614">
      <x:c r="A614" s="20" t="str">
        <x:v>R0610</x:v>
      </x:c>
      <x:c r="B614" s="25" t="str">
        <x:v>Coördinating human-robot communication</x:v>
      </x:c>
      <x:c r="C614" s="25" t="n">
        <x:v>2007</x:v>
      </x:c>
      <x:c r="D614" s="25" t="str">
        <x:v>Andrëw G. Brööks</x:v>
      </x:c>
      <x:c r="E614" s="25" t="str">
        <x:v>DSpace@MIT (Massachusetts Institute of Technology)</x:v>
      </x:c>
      <x:c r="F614" s="25" t="str"/>
      <x:c r="G614" s="25" t="str">
        <x:v>http://hdl.handle.net/1721.1/38888</x:v>
      </x:c>
      <x:c r="H614" s="25" t="str">
        <x:v>OpenAlex</x:v>
      </x:c>
      <x:c r="I614" s="25" t="str">
        <x:v>C12_common_ground_repair</x:v>
      </x:c>
      <x:c r="J614" s="25" t="str">
        <x:v>Exclude</x:v>
      </x:c>
      <x:c r="K614" s="25" t="str">
        <x:v>Exclude: topic mismatch</x:v>
      </x:c>
    </x:row>
    <x:row r="615">
      <x:c r="A615" s="20" t="str">
        <x:v>R0611</x:v>
      </x:c>
      <x:c r="B615" s="25" t="str">
        <x:v>Grounding as a Collaborative Process</x:v>
      </x:c>
      <x:c r="C615" s="25" t="n">
        <x:v>2021</x:v>
      </x:c>
      <x:c r="D615" s="25" t="str">
        <x:v>Luciana Benotti; Patrick Blackburn</x:v>
      </x:c>
      <x:c r="E615" s="25" t="str"/>
      <x:c r="F615" s="25" t="str">
        <x:v>10.18653/v1/2021.eacl-main.41</x:v>
      </x:c>
      <x:c r="G615" s="25" t="str">
        <x:v>https://doi.org/10.18653/v1/2021.eacl-main.41</x:v>
      </x:c>
      <x:c r="H615" s="25" t="str">
        <x:v>OpenAlex</x:v>
      </x:c>
      <x:c r="I615" s="25" t="str">
        <x:v>C12_common_ground_repair</x:v>
      </x:c>
      <x:c r="J615" s="25" t="str">
        <x:v>Exclude</x:v>
      </x:c>
      <x:c r="K615" s="25" t="str">
        <x:v>Exclude: topic mismatch</x:v>
      </x:c>
    </x:row>
    <x:row r="616">
      <x:c r="A616" s="20" t="str">
        <x:v>R0612</x:v>
      </x:c>
      <x:c r="B616" s="25" t="str">
        <x:v>Lifelike Pedagogical Agents for Mixed-Initiative Problem Solving in Constructivist Learning Environments</x:v>
      </x:c>
      <x:c r="C616" s="25" t="n">
        <x:v>1999</x:v>
      </x:c>
      <x:c r="D616" s="25" t="str">
        <x:v>James C. Lester; Brian A. Stone; Gary D. Stelling</x:v>
      </x:c>
      <x:c r="E616" s="25" t="str">
        <x:v>Computational Models of Mixed-Initiative Interaction</x:v>
      </x:c>
      <x:c r="F616" s="25" t="str">
        <x:v>10.1007/978-94-017-1118-0_5</x:v>
      </x:c>
      <x:c r="G616" s="25" t="str">
        <x:v>https://doi.org/10.1007/978-94-017-1118-0_5</x:v>
      </x:c>
      <x:c r="H616" s="25" t="str">
        <x:v>Crossref</x:v>
      </x:c>
      <x:c r="I616" s="25" t="str">
        <x:v>C15_proactive_interruption</x:v>
      </x:c>
      <x:c r="J616" s="25" t="str">
        <x:v>Exclude</x:v>
      </x:c>
      <x:c r="K616" s="25" t="str">
        <x:v>Exclude: adjacent/redundant or insufficiently theory-generative for DC1</x:v>
      </x:c>
    </x:row>
    <x:row r="617">
      <x:c r="A617" s="20" t="str">
        <x:v>R0613</x:v>
      </x:c>
      <x:c r="B617" s="25" t="str">
        <x:v>Mobile User Interface Adaptation Based on Usability Reward Model and Multi-Agent Reinforcement Learning</x:v>
      </x:c>
      <x:c r="C617" s="25" t="n">
        <x:v>2024</x:v>
      </x:c>
      <x:c r="D617" s="25" t="str">
        <x:v>Dmitry Vidmanov; Alexander Alfimtsev</x:v>
      </x:c>
      <x:c r="E617" s="25" t="str">
        <x:v>Multimodal Technologies and Interaction</x:v>
      </x:c>
      <x:c r="F617" s="25" t="str">
        <x:v>10.3390/mti8040026</x:v>
      </x:c>
      <x:c r="G617" s="25" t="str">
        <x:v>https://doi.org/10.3390/mti8040026</x:v>
      </x:c>
      <x:c r="H617" s="25" t="str">
        <x:v>Crossref</x:v>
      </x:c>
      <x:c r="I617" s="25" t="str">
        <x:v>C6_frontend_GUI_intent</x:v>
      </x:c>
      <x:c r="J617" s="25" t="str">
        <x:v>Exclude</x:v>
      </x:c>
      <x:c r="K617" s="25" t="str">
        <x:v>Exclude: topic mismatch</x:v>
      </x:c>
    </x:row>
    <x:row r="618">
      <x:c r="A618" s="20" t="str">
        <x:v>R0614</x:v>
      </x:c>
      <x:c r="B618" s="25" t="str">
        <x:v>Modeling intent and destination prediction within a Bayesian framework: Predictive touch as a usecase</x:v>
      </x:c>
      <x:c r="C618" s="25" t="n">
        <x:v>2020</x:v>
      </x:c>
      <x:c r="D618" s="25" t="str">
        <x:v>Runze Gan; Jiaming Liang; Bashar I. Ahmad; Simon Godsill</x:v>
      </x:c>
      <x:c r="E618" s="25" t="str">
        <x:v>Data-Centric Engineering</x:v>
      </x:c>
      <x:c r="F618" s="25" t="str">
        <x:v>10.1017/dce.2020.11</x:v>
      </x:c>
      <x:c r="G618" s="25" t="str">
        <x:v>https://doi.org/10.1017/dce.2020.11</x:v>
      </x:c>
      <x:c r="H618" s="25" t="str">
        <x:v>OpenAlex</x:v>
      </x:c>
      <x:c r="I618" s="25" t="str">
        <x:v>C2_interaction_signals; C6_frontend_GUI_intent</x:v>
      </x:c>
      <x:c r="J618" s="25" t="str">
        <x:v>Exclude</x:v>
      </x:c>
      <x:c r="K618" s="25" t="str">
        <x:v>Exclude: adjacent/redundant or insufficiently theory-generative for DC1</x:v>
      </x:c>
    </x:row>
    <x:row r="619">
      <x:c r="A619" s="20" t="str">
        <x:v>R0615</x:v>
      </x:c>
      <x:c r="B619" s="25" t="str">
        <x:v>Practice-based design thinking for form development and detailing</x:v>
      </x:c>
      <x:c r="C619" s="25" t="n">
        <x:v>2012</x:v>
      </x:c>
      <x:c r="D619" s="25" t="str">
        <x:v>Shahriman Zainal Abidin</x:v>
      </x:c>
      <x:c r="E619" s="25" t="str">
        <x:v>Duo Research Archive (University of Oslo)</x:v>
      </x:c>
      <x:c r="F619" s="25" t="str">
        <x:v>10.13140/2.1.3429.7921</x:v>
      </x:c>
      <x:c r="G619" s="25" t="str">
        <x:v>http://hdl.handle.net/11250/241147</x:v>
      </x:c>
      <x:c r="H619" s="25" t="str">
        <x:v>OpenAlex</x:v>
      </x:c>
      <x:c r="I619" s="25" t="str">
        <x:v>C17_3D_gesture_ambiguity</x:v>
      </x:c>
      <x:c r="J619" s="25" t="str">
        <x:v>Exclude</x:v>
      </x:c>
      <x:c r="K619" s="25" t="str">
        <x:v>Exclude: adjacent/redundant or insufficiently theory-generative for DC1</x:v>
      </x:c>
    </x:row>
    <x:row r="620">
      <x:c r="A620" s="20" t="str">
        <x:v>R0616</x:v>
      </x:c>
      <x:c r="B620" s="25" t="str">
        <x:v>Retrieval Augmented Generation (RAG) and Beyond: A Comprehensive Survey on How to Make your LLMs use External Data More Wisely</x:v>
      </x:c>
      <x:c r="C620" s="25" t="n">
        <x:v>2024</x:v>
      </x:c>
      <x:c r="D620" s="25" t="str">
        <x:v>Zhao, Siyun; Yuqing Yang; Zilong Wang; Zhiyuan He; Qiu, Luna K.; Lili Qiu</x:v>
      </x:c>
      <x:c r="E620" s="25" t="str">
        <x:v>arXiv (Cornell University)</x:v>
      </x:c>
      <x:c r="F620" s="25" t="str">
        <x:v>10.48550/arxiv.2409.14924</x:v>
      </x:c>
      <x:c r="G620" s="25" t="str">
        <x:v>http://arxiv.org/abs/2409.14924</x:v>
      </x:c>
      <x:c r="H620" s="25" t="str">
        <x:v>OpenAlex</x:v>
      </x:c>
      <x:c r="I620" s="25" t="str">
        <x:v>C5_agent_memory</x:v>
      </x:c>
      <x:c r="J620" s="25" t="str">
        <x:v>Exclude</x:v>
      </x:c>
      <x:c r="K620" s="25" t="str">
        <x:v>Exclude: adjacent/redundant or insufficiently theory-generative for DC1</x:v>
      </x:c>
    </x:row>
    <x:row r="621">
      <x:c r="A621" s="20" t="str">
        <x:v>R0617</x:v>
      </x:c>
      <x:c r="B621" s="25" t="str">
        <x:v>Unusual Bodies, Uncommon Behaviors: Individual and Group Differences in Embodied Cognition in Spatial Tasks</x:v>
      </x:c>
      <x:c r="C621" s="25" t="n">
        <x:v>2012</x:v>
      </x:c>
      <x:c r="D621" s="25" t="str">
        <x:v>Madeleine Keehner; Martin H. Fischer</x:v>
      </x:c>
      <x:c r="E621" s="25" t="str">
        <x:v>Spatial Cognition &amp;amp; Computation</x:v>
      </x:c>
      <x:c r="F621" s="25" t="str">
        <x:v>10.1080/13875868.2012.659303</x:v>
      </x:c>
      <x:c r="G621" s="25" t="str">
        <x:v>https://doi.org/10.1080/13875868.2012.659303</x:v>
      </x:c>
      <x:c r="H621" s="25" t="str">
        <x:v>Crossref</x:v>
      </x:c>
      <x:c r="I621" s="25" t="str">
        <x:v>C10_affordance_embodied</x:v>
      </x:c>
      <x:c r="J621" s="25" t="str">
        <x:v>Exclude</x:v>
      </x:c>
      <x:c r="K621" s="25" t="str">
        <x:v>Exclude: topic mismatch</x:v>
      </x:c>
    </x:row>
    <x:row r="622">
      <x:c r="A622" s="20" t="str">
        <x:v>R0618</x:v>
      </x:c>
      <x:c r="B622" s="25" t="str">
        <x:v>User Interfaces for Geographic Information Systems: Report on the Specialist Meeting (92-3)</x:v>
      </x:c>
      <x:c r="C622" s="25" t="n">
        <x:v>1992</x:v>
      </x:c>
      <x:c r="D622" s="25" t="str">
        <x:v>David Mark</x:v>
      </x:c>
      <x:c r="E622" s="25" t="str">
        <x:v>eScholarship (California Digital Library)</x:v>
      </x:c>
      <x:c r="F622" s="25" t="str"/>
      <x:c r="G622" s="25" t="str">
        <x:v>https://escholarship.org/uc/item/3xd250sg</x:v>
      </x:c>
      <x:c r="H622" s="25" t="str">
        <x:v>OpenAlex</x:v>
      </x:c>
      <x:c r="I622" s="25" t="str">
        <x:v>C6_frontend_GUI_intent</x:v>
      </x:c>
      <x:c r="J622" s="25" t="str">
        <x:v>Exclude</x:v>
      </x:c>
      <x:c r="K622" s="25" t="str">
        <x:v>Exclude: adjacent/redundant or insufficiently theory-generative for DC1</x:v>
      </x:c>
    </x:row>
    <x:row r="623">
      <x:c r="A623" s="20" t="str">
        <x:v>R0619</x:v>
      </x:c>
      <x:c r="B623" s="25" t="str">
        <x:v>Using shared representations to improve coordination and intent inference</x:v>
      </x:c>
      <x:c r="C623" s="25" t="n">
        <x:v>2006</x:v>
      </x:c>
      <x:c r="D623" s="25" t="str">
        <x:v>Joshua Introne; Richard Alterman</x:v>
      </x:c>
      <x:c r="E623" s="25" t="str">
        <x:v>User Modeling and User-Adapted Interaction</x:v>
      </x:c>
      <x:c r="F623" s="25" t="str">
        <x:v>10.1007/s11257-006-9009-2</x:v>
      </x:c>
      <x:c r="G623" s="25" t="str">
        <x:v>https://doi.org/10.1007/s11257-006-9009-2</x:v>
      </x:c>
      <x:c r="H623" s="25" t="str">
        <x:v>Crossref</x:v>
      </x:c>
      <x:c r="I623" s="25" t="str">
        <x:v>C2_interaction_signals; C4_uncertainty_shared_autonomy; C6_frontend_GUI_intent</x:v>
      </x:c>
      <x:c r="J623" s="25" t="str">
        <x:v>Exclude</x:v>
      </x:c>
      <x:c r="K623" s="25" t="str">
        <x:v>Exclude: adjacent/redundant or insufficiently theory-generative for DC1</x:v>
      </x:c>
    </x:row>
    <x:row r="624">
      <x:c r="A624" s="20" t="str">
        <x:v>R0620</x:v>
      </x:c>
      <x:c r="B624" s="25" t="str">
        <x:v>Videogames and Agency</x:v>
      </x:c>
      <x:c r="C624" s="25" t="n">
        <x:v>2022</x:v>
      </x:c>
      <x:c r="D624" s="25" t="str">
        <x:v>Bettina Bódi</x:v>
      </x:c>
      <x:c r="E624" s="25" t="str"/>
      <x:c r="F624" s="25" t="str">
        <x:v>10.4324/9781003298786</x:v>
      </x:c>
      <x:c r="G624" s="25" t="str">
        <x:v>https://doi.org/10.4324/9781003298786</x:v>
      </x:c>
      <x:c r="H624" s="25" t="str">
        <x:v>OpenAlex</x:v>
      </x:c>
      <x:c r="I624" s="25" t="str">
        <x:v>C17_3D_gesture_ambiguity</x:v>
      </x:c>
      <x:c r="J624" s="25" t="str">
        <x:v>Exclude</x:v>
      </x:c>
      <x:c r="K624" s="25" t="str">
        <x:v>Exclude: domain-specific signal model without transferable HCI theory</x:v>
      </x:c>
    </x:row>
    <x:row r="625">
      <x:c r="A625" s="20" t="str">
        <x:v>R0621</x:v>
      </x:c>
      <x:c r="B625" s="25" t="str">
        <x:v>A Price Theory of Legal Bargaining: An Inquiry into the Selection of Settlement and Litigation Under Uncertainty</x:v>
      </x:c>
      <x:c r="C625" s="25" t="n">
        <x:v>2006</x:v>
      </x:c>
      <x:c r="D625" s="25" t="str">
        <x:v>Robert J. Rhee</x:v>
      </x:c>
      <x:c r="E625" s="25" t="str">
        <x:v>Digital Commons at University of Maryland Carey Law (University of Maryland Francis King Carey School of Law)</x:v>
      </x:c>
      <x:c r="F625" s="25" t="str"/>
      <x:c r="G625" s="25" t="str">
        <x:v>https://digitalcommons.law.umaryland.edu/fac_pubs/343</x:v>
      </x:c>
      <x:c r="H625" s="25" t="str">
        <x:v>OpenAlex</x:v>
      </x:c>
      <x:c r="I625" s="25" t="str">
        <x:v>C17_3D_gesture_ambiguity</x:v>
      </x:c>
      <x:c r="J625" s="25" t="str">
        <x:v>Exclude</x:v>
      </x:c>
      <x:c r="K625" s="25" t="str">
        <x:v>Exclude: topic mismatch</x:v>
      </x:c>
    </x:row>
    <x:row r="626">
      <x:c r="A626" s="20" t="str">
        <x:v>R0622</x:v>
      </x:c>
      <x:c r="B626" s="25" t="str">
        <x:v>A Review of Large Language Models and Autonomous Agents in Chemistry</x:v>
      </x:c>
      <x:c r="C626" s="25" t="n">
        <x:v>2024</x:v>
      </x:c>
      <x:c r="D626" s="25" t="str">
        <x:v>Mayk Caldas Ramos; Christopher J. Collison; Andrew Dickson White</x:v>
      </x:c>
      <x:c r="E626" s="25" t="str">
        <x:v>arXiv (Cornell University)</x:v>
      </x:c>
      <x:c r="F626" s="25" t="str">
        <x:v>10.48550/arxiv.2407.01603</x:v>
      </x:c>
      <x:c r="G626" s="25" t="str">
        <x:v>http://arxiv.org/abs/2407.01603</x:v>
      </x:c>
      <x:c r="H626" s="25" t="str">
        <x:v>OpenAlex</x:v>
      </x:c>
      <x:c r="I626" s="25" t="str">
        <x:v>C5_agent_memory</x:v>
      </x:c>
      <x:c r="J626" s="25" t="str">
        <x:v>Exclude</x:v>
      </x:c>
      <x:c r="K626" s="25" t="str">
        <x:v>Exclude: adjacent/redundant or insufficiently theory-generative for DC1</x:v>
      </x:c>
    </x:row>
    <x:row r="627">
      <x:c r="A627" s="20" t="str">
        <x:v>R0623</x:v>
      </x:c>
      <x:c r="B627" s="25" t="str">
        <x:v>Flashes of Trading Intent at NASDAQ</x:v>
      </x:c>
      <x:c r="C627" s="25" t="n">
        <x:v>2016</x:v>
      </x:c>
      <x:c r="D627" s="25" t="str">
        <x:v>Johannes A. Skjeltorp; Elvira Sojli; Wing Wah Tham</x:v>
      </x:c>
      <x:c r="E627" s="25" t="str">
        <x:v>Journal of Financial and Quantitative Analysis</x:v>
      </x:c>
      <x:c r="F627" s="25" t="str">
        <x:v>10.1017/s0022109016000028</x:v>
      </x:c>
      <x:c r="G627" s="25" t="str">
        <x:v>https://doi.org/10.1017/s0022109016000028</x:v>
      </x:c>
      <x:c r="H627" s="25" t="str">
        <x:v>OpenAlex</x:v>
      </x:c>
      <x:c r="I627" s="25" t="str">
        <x:v>C2_interaction_signals</x:v>
      </x:c>
      <x:c r="J627" s="25" t="str">
        <x:v>Exclude</x:v>
      </x:c>
      <x:c r="K627" s="25" t="str">
        <x:v>Exclude: adjacent/redundant or insufficiently theory-generative for DC1</x:v>
      </x:c>
    </x:row>
    <x:row r="628">
      <x:c r="A628" s="20" t="str">
        <x:v>R0624</x:v>
      </x:c>
      <x:c r="B628" s="25" t="str">
        <x:v>Language Models in Dialogue: Conversational Maxims for Human-AI Interactions</x:v>
      </x:c>
      <x:c r="C628" s="25" t="n">
        <x:v>2024</x:v>
      </x:c>
      <x:c r="D628" s="25" t="str">
        <x:v>Erik Miehling; Manish Nagireddy; Prasanna Sattigeri; Elizabeth Daly; David Piorkowski; John T. Richards</x:v>
      </x:c>
      <x:c r="E628" s="25" t="str"/>
      <x:c r="F628" s="25" t="str">
        <x:v>10.18653/v1/2024.findings-emnlp.843</x:v>
      </x:c>
      <x:c r="G628" s="25" t="str">
        <x:v>https://doi.org/10.18653/v1/2024.findings-emnlp.843</x:v>
      </x:c>
      <x:c r="H628" s="25" t="str">
        <x:v>OpenAlex</x:v>
      </x:c>
      <x:c r="I628" s="25" t="str">
        <x:v>C12_common_ground_repair</x:v>
      </x:c>
      <x:c r="J628" s="25" t="str">
        <x:v>Exclude</x:v>
      </x:c>
      <x:c r="K628" s="25" t="str">
        <x:v>Exclude: adjacent/redundant or insufficiently theory-generative for DC1</x:v>
      </x:c>
    </x:row>
    <x:row r="629">
      <x:c r="A629" s="20" t="str">
        <x:v>R0625</x:v>
      </x:c>
      <x:c r="B629" s="25" t="str">
        <x:v>Retrieval-practice task affects relationship between working memory capacity and retrieval-induced forgetting</x:v>
      </x:c>
      <x:c r="C629" s="25" t="n">
        <x:v>2015</x:v>
      </x:c>
      <x:c r="D629" s="25" t="str">
        <x:v>Benjamin C. Storm; Dung C. Bui</x:v>
      </x:c>
      <x:c r="E629" s="25" t="str">
        <x:v>Memory</x:v>
      </x:c>
      <x:c r="F629" s="25" t="str">
        <x:v>10.1080/09658211.2015.1117640</x:v>
      </x:c>
      <x:c r="G629" s="25" t="str">
        <x:v>https://doi.org/10.1080/09658211.2015.1117640</x:v>
      </x:c>
      <x:c r="H629" s="25" t="str">
        <x:v>Crossref</x:v>
      </x:c>
      <x:c r="I629" s="25" t="str">
        <x:v>C16_memory_conflict_bias</x:v>
      </x:c>
      <x:c r="J629" s="25" t="str">
        <x:v>Exclude</x:v>
      </x:c>
      <x:c r="K629" s="25" t="str">
        <x:v>Exclude: adjacent/redundant or insufficiently theory-generative for DC1</x:v>
      </x:c>
    </x:row>
    <x:row r="630">
      <x:c r="A630" s="20" t="str">
        <x:v>R0626</x:v>
      </x:c>
      <x:c r="B630" s="25" t="str">
        <x:v>Segmented interaction history in a collaborative interface agent</x:v>
      </x:c>
      <x:c r="C630" s="25" t="n">
        <x:v>1997</x:v>
      </x:c>
      <x:c r="D630" s="25" t="str">
        <x:v>Charles Rich; Candace L. Sidner</x:v>
      </x:c>
      <x:c r="E630" s="25" t="str">
        <x:v>Proceedings of the 2nd international conference on Intelligent user interfaces  - IUI '97</x:v>
      </x:c>
      <x:c r="F630" s="25" t="str">
        <x:v>10.1145/238218.238222</x:v>
      </x:c>
      <x:c r="G630" s="25" t="str">
        <x:v>https://doi.org/10.1145/238218.238222</x:v>
      </x:c>
      <x:c r="H630" s="25" t="str">
        <x:v>Crossref</x:v>
      </x:c>
      <x:c r="I630" s="25" t="str">
        <x:v>C6_frontend_GUI_intent</x:v>
      </x:c>
      <x:c r="J630" s="25" t="str">
        <x:v>Exclude</x:v>
      </x:c>
      <x:c r="K630" s="25" t="str">
        <x:v>Exclude: topic mismatch</x:v>
      </x:c>
    </x:row>
    <x:row r="631">
      <x:c r="A631" s="20" t="str">
        <x:v>R0627</x:v>
      </x:c>
      <x:c r="B631" s="25" t="str">
        <x:v>Shared Autonomy of a Robotic Manipulator for Grasping Under Human Intent Uncertainty Using POMDPs</x:v>
      </x:c>
      <x:c r="C631" s="25" t="n">
        <x:v>2024</x:v>
      </x:c>
      <x:c r="D631" s="25" t="str">
        <x:v>J-Anne Yow; Neha Priyadarshini Garg; Wei Tech Ang</x:v>
      </x:c>
      <x:c r="E631" s="25" t="str">
        <x:v>IEEE Transactions on Robotics</x:v>
      </x:c>
      <x:c r="F631" s="25" t="str">
        <x:v>10.1109/tro.2023.3334631</x:v>
      </x:c>
      <x:c r="G631" s="25" t="str">
        <x:v>https://doi.org/10.1109/tro.2023.3334631</x:v>
      </x:c>
      <x:c r="H631" s="25" t="str">
        <x:v>Crossref</x:v>
      </x:c>
      <x:c r="I631" s="25" t="str">
        <x:v>C4_uncertainty_shared_autonomy</x:v>
      </x:c>
      <x:c r="J631" s="25" t="str">
        <x:v>Exclude</x:v>
      </x:c>
      <x:c r="K631" s="25" t="str">
        <x:v>Exclude: adjacent/redundant or insufficiently theory-generative for DC1</x:v>
      </x:c>
    </x:row>
    <x:row r="632">
      <x:c r="A632" s="20" t="str">
        <x:v>R0628</x:v>
      </x:c>
      <x:c r="B632" s="25" t="str">
        <x:v>System and User Strategies to Repair Conversational Breakdowns of Spoken Dialogue Systems: A Scoping Review</x:v>
      </x:c>
      <x:c r="C632" s="25" t="n">
        <x:v>2024</x:v>
      </x:c>
      <x:c r="D632" s="25" t="str">
        <x:v>Essam Alghamdi; Martin Halvey; Emma Nicol</x:v>
      </x:c>
      <x:c r="E632" s="25" t="str"/>
      <x:c r="F632" s="25" t="str">
        <x:v>10.1145/3640794.3665558</x:v>
      </x:c>
      <x:c r="G632" s="25" t="str">
        <x:v>https://doi.org/10.1145/3640794.3665558</x:v>
      </x:c>
      <x:c r="H632" s="25" t="str">
        <x:v>OpenAlex</x:v>
      </x:c>
      <x:c r="I632" s="25" t="str">
        <x:v>C12_common_ground_repair</x:v>
      </x:c>
      <x:c r="J632" s="25" t="str">
        <x:v>Exclude</x:v>
      </x:c>
      <x:c r="K632" s="25" t="str">
        <x:v>Exclude: adjacent/redundant or insufficiently theory-generative for DC1</x:v>
      </x:c>
    </x:row>
    <x:row r="633">
      <x:c r="A633" s="20" t="str">
        <x:v>R0629</x:v>
      </x:c>
      <x:c r="B633" s="25" t="str">
        <x:v>The role of semantic knowledge in retrieval from episodic long-term memories: Implications for a model of retrieval</x:v>
      </x:c>
      <x:c r="C633" s="25" t="n">
        <x:v>1976</x:v>
      </x:c>
      <x:c r="D633" s="25" t="str">
        <x:v>Jane Perlmutter; Jackee Harsip; Jerome L. Myers</x:v>
      </x:c>
      <x:c r="E633" s="25" t="str">
        <x:v>Memory &amp;amp; Cognition</x:v>
      </x:c>
      <x:c r="F633" s="25" t="str">
        <x:v>10.3758/bf03213190</x:v>
      </x:c>
      <x:c r="G633" s="25" t="str">
        <x:v>https://doi.org/10.3758/bf03213190</x:v>
      </x:c>
      <x:c r="H633" s="25" t="str">
        <x:v>Crossref</x:v>
      </x:c>
      <x:c r="I633" s="25" t="str">
        <x:v>C5_agent_memory</x:v>
      </x:c>
      <x:c r="J633" s="25" t="str">
        <x:v>Exclude</x:v>
      </x:c>
      <x:c r="K633" s="25" t="str">
        <x:v>Exclude: topic mismatch</x:v>
      </x:c>
    </x:row>
    <x:row r="634">
      <x:c r="A634" s="20" t="str">
        <x:v>R0630</x:v>
      </x:c>
      <x:c r="B634" s="25" t="str">
        <x:v>Transient natural convection between concentric and vertically eccentric spheres with mixed boundary conditions</x:v>
      </x:c>
      <x:c r="C634" s="25" t="n">
        <x:v>1996</x:v>
      </x:c>
      <x:c r="D634" s="25" t="str">
        <x:v>C. P. Chiu; W. R. Chen</x:v>
      </x:c>
      <x:c r="E634" s="25" t="str">
        <x:v>Heat and Mass Transfer</x:v>
      </x:c>
      <x:c r="F634" s="25" t="str">
        <x:v>10.1007/bf02333311</x:v>
      </x:c>
      <x:c r="G634" s="25" t="str">
        <x:v>https://doi.org/10.1007/bf02333311</x:v>
      </x:c>
      <x:c r="H634" s="25" t="str">
        <x:v>Crossref</x:v>
      </x:c>
      <x:c r="I634" s="25" t="str">
        <x:v>C9_human_agent_handoff</x:v>
      </x:c>
      <x:c r="J634" s="25" t="str">
        <x:v>Exclude</x:v>
      </x:c>
      <x:c r="K634" s="25" t="str">
        <x:v>Exclude: topic mismatch</x:v>
      </x:c>
    </x:row>
    <x:row r="635">
      <x:c r="A635" s="20" t="str">
        <x:v>R0631</x:v>
      </x:c>
      <x:c r="B635" s="25" t="str">
        <x:v>Unsteady-State Heat Conduction in Semi-Infinite Regions With Mixed-Type Boundary Conditions</x:v>
      </x:c>
      <x:c r="C635" s="25" t="n">
        <x:v>1985</x:v>
      </x:c>
      <x:c r="D635" s="25" t="str">
        <x:v>S. C. Huang</x:v>
      </x:c>
      <x:c r="E635" s="25" t="str">
        <x:v>Journal of Heat Transfer</x:v>
      </x:c>
      <x:c r="F635" s="25" t="str">
        <x:v>10.1115/1.3247446</x:v>
      </x:c>
      <x:c r="G635" s="25" t="str">
        <x:v>https://doi.org/10.1115/1.3247446</x:v>
      </x:c>
      <x:c r="H635" s="25" t="str">
        <x:v>Crossref</x:v>
      </x:c>
      <x:c r="I635" s="25" t="str">
        <x:v>C9_human_agent_handoff</x:v>
      </x:c>
      <x:c r="J635" s="25" t="str">
        <x:v>Exclude</x:v>
      </x:c>
      <x:c r="K635" s="25" t="str">
        <x:v>Exclude: topic mismatch</x:v>
      </x:c>
    </x:row>
    <x:row r="636">
      <x:c r="A636" s="20" t="str">
        <x:v>R0632</x:v>
      </x:c>
      <x:c r="B636" s="25" t="str">
        <x:v>A Hybrid User Interface for Manipulation of Volumetric Medical Data</x:v>
      </x:c>
      <x:c r="C636" s="25" t="str"/>
      <x:c r="D636" s="25" t="str">
        <x:v>A. Bornik; R. Beichel; E. Kruijff; B. Reitinger; D. Schmalstieg</x:v>
      </x:c>
      <x:c r="E636" s="25" t="str">
        <x:v>IEEE Symposium on 3D User Interfaces, 2006. 3DUI 2006.</x:v>
      </x:c>
      <x:c r="F636" s="25" t="str">
        <x:v>10.1109/tridui.2006.1618267</x:v>
      </x:c>
      <x:c r="G636" s="25" t="str">
        <x:v>https://doi.org/10.1109/tridui.2006.1618267</x:v>
      </x:c>
      <x:c r="H636" s="25" t="str">
        <x:v>Crossref</x:v>
      </x:c>
      <x:c r="I636" s="25" t="str">
        <x:v>C1_3D_mental_models</x:v>
      </x:c>
      <x:c r="J636" s="25" t="str">
        <x:v>Exclude</x:v>
      </x:c>
      <x:c r="K636" s="25" t="str">
        <x:v>Exclude: adjacent/redundant or insufficiently theory-generative for DC1</x:v>
      </x:c>
    </x:row>
    <x:row r="637">
      <x:c r="A637" s="20" t="str">
        <x:v>R0633</x:v>
      </x:c>
      <x:c r="B637" s="25" t="str">
        <x:v>Artificial intelligence for geometry-based feature extraction, analysis and synthesis in artistic images: a survey</x:v>
      </x:c>
      <x:c r="C637" s="25" t="n">
        <x:v>2024</x:v>
      </x:c>
      <x:c r="D637" s="25" t="str">
        <x:v>Mridula Vijendran; Jingjing Deng; Shuang Chen; Edmond S. L. Ho; Hubert P. H. Shum</x:v>
      </x:c>
      <x:c r="E637" s="25" t="str">
        <x:v>Artificial Intelligence Review</x:v>
      </x:c>
      <x:c r="F637" s="25" t="str">
        <x:v>10.1007/s10462-024-11051-3</x:v>
      </x:c>
      <x:c r="G637" s="25" t="str">
        <x:v>https://doi.org/10.1007/s10462-024-11051-3</x:v>
      </x:c>
      <x:c r="H637" s="25" t="str">
        <x:v>OpenAlex</x:v>
      </x:c>
      <x:c r="I637" s="25" t="str">
        <x:v>C17_3D_gesture_ambiguity</x:v>
      </x:c>
      <x:c r="J637" s="25" t="str">
        <x:v>Exclude</x:v>
      </x:c>
      <x:c r="K637" s="25" t="str">
        <x:v>Exclude: topic mismatch</x:v>
      </x:c>
    </x:row>
    <x:row r="638">
      <x:c r="A638" s="20" t="str">
        <x:v>R0634</x:v>
      </x:c>
      <x:c r="B638" s="25" t="str">
        <x:v>Collaborative Ideation Partner: Design Ideation in Human-AI Co-creativity</x:v>
      </x:c>
      <x:c r="C638" s="25" t="n">
        <x:v>2021</x:v>
      </x:c>
      <x:c r="D638" s="25" t="str">
        <x:v>Jingoog Kim; Mary Maher; Safat Siddiqui</x:v>
      </x:c>
      <x:c r="E638" s="25" t="str">
        <x:v>Proceedings of the 5th International Conference on Computer-Human Interaction Research and Applications</x:v>
      </x:c>
      <x:c r="F638" s="25" t="str">
        <x:v>10.5220/0010640800003060</x:v>
      </x:c>
      <x:c r="G638" s="25" t="str">
        <x:v>https://doi.org/10.5220/0010640800003060</x:v>
      </x:c>
      <x:c r="H638" s="25" t="str">
        <x:v>Crossref</x:v>
      </x:c>
      <x:c r="I638" s="25" t="str">
        <x:v>C3_mixed_initiative_cocreation</x:v>
      </x:c>
      <x:c r="J638" s="25" t="str">
        <x:v>Exclude</x:v>
      </x:c>
      <x:c r="K638" s="25" t="str">
        <x:v>Exclude: adjacent/redundant or insufficiently theory-generative for DC1</x:v>
      </x:c>
    </x:row>
    <x:row r="639">
      <x:c r="A639" s="20" t="str">
        <x:v>R0635</x:v>
      </x:c>
      <x:c r="B639" s="25" t="str">
        <x:v>Filtering perturbed in-vehicle pointing gesture trajectories: Improving the reliability of intent inference</x:v>
      </x:c>
      <x:c r="C639" s="25" t="n">
        <x:v>2014</x:v>
      </x:c>
      <x:c r="D639" s="25" t="str">
        <x:v>Bashar I. Ahmad; James Murphy; Patrick M. Langdon; Simon J. Godsill</x:v>
      </x:c>
      <x:c r="E639" s="25" t="str">
        <x:v>2014 IEEE International Workshop on Machine Learning for Signal Processing (MLSP)</x:v>
      </x:c>
      <x:c r="F639" s="25" t="str">
        <x:v>10.1109/mlsp.2014.6958860</x:v>
      </x:c>
      <x:c r="G639" s="25" t="str">
        <x:v>https://doi.org/10.1109/mlsp.2014.6958860</x:v>
      </x:c>
      <x:c r="H639" s="25" t="str">
        <x:v>Crossref</x:v>
      </x:c>
      <x:c r="I639" s="25" t="str">
        <x:v>C17_3D_gesture_ambiguity</x:v>
      </x:c>
      <x:c r="J639" s="25" t="str">
        <x:v>Exclude</x:v>
      </x:c>
      <x:c r="K639" s="25" t="str">
        <x:v>Exclude: adjacent/redundant or insufficiently theory-generative for DC1</x:v>
      </x:c>
    </x:row>
    <x:row r="640">
      <x:c r="A640" s="20" t="str">
        <x:v>R0636</x:v>
      </x:c>
      <x:c r="B640" s="25" t="str">
        <x:v>Grounding Gaps in Language Model Generations</x:v>
      </x:c>
      <x:c r="C640" s="25" t="n">
        <x:v>2024</x:v>
      </x:c>
      <x:c r="D640" s="25" t="str">
        <x:v>Omar Shaikh; Kristina Gligorić; Ashna Khetan; Matthias Gerstgrasser; Diyi Yang; Dan Jurafsky</x:v>
      </x:c>
      <x:c r="E640" s="25" t="str"/>
      <x:c r="F640" s="25" t="str">
        <x:v>10.18653/v1/2024.naacl-long.348</x:v>
      </x:c>
      <x:c r="G640" s="25" t="str">
        <x:v>https://doi.org/10.18653/v1/2024.naacl-long.348</x:v>
      </x:c>
      <x:c r="H640" s="25" t="str">
        <x:v>OpenAlex</x:v>
      </x:c>
      <x:c r="I640" s="25" t="str">
        <x:v>C12_common_ground_repair</x:v>
      </x:c>
      <x:c r="J640" s="25" t="str">
        <x:v>Exclude</x:v>
      </x:c>
      <x:c r="K640" s="25" t="str">
        <x:v>Exclude: topic mismatch</x:v>
      </x:c>
    </x:row>
    <x:row r="641">
      <x:c r="A641" s="20" t="str">
        <x:v>R0637</x:v>
      </x:c>
      <x:c r="B641" s="25" t="str">
        <x:v>Hierarchical Goal Recognition</x:v>
      </x:c>
      <x:c r="C641" s="25" t="n">
        <x:v>2014</x:v>
      </x:c>
      <x:c r="D641" s="25" t="str">
        <x:v>Nate Blaylock; James Allen</x:v>
      </x:c>
      <x:c r="E641" s="25" t="str">
        <x:v>Plan, Activity, and Intent Recognition</x:v>
      </x:c>
      <x:c r="F641" s="25" t="str">
        <x:v>10.1016/b978-0-12-398532-3.00001-4</x:v>
      </x:c>
      <x:c r="G641" s="25" t="str">
        <x:v>https://doi.org/10.1016/b978-0-12-398532-3.00001-4</x:v>
      </x:c>
      <x:c r="H641" s="25" t="str">
        <x:v>Crossref</x:v>
      </x:c>
      <x:c r="I641" s="25" t="str">
        <x:v>C11_hierarchical_goal_recognition</x:v>
      </x:c>
      <x:c r="J641" s="25" t="str">
        <x:v>Exclude</x:v>
      </x:c>
      <x:c r="K641" s="25" t="str">
        <x:v>Exclude: topic mismatch</x:v>
      </x:c>
    </x:row>
    <x:row r="642">
      <x:c r="A642" s="20" t="str">
        <x:v>R0638</x:v>
      </x:c>
      <x:c r="B642" s="25" t="str">
        <x:v>Igniting Language Intelligence: The Hitchhiker's Guide From Chain-of-Thought Reasoning to Language Agents</x:v>
      </x:c>
      <x:c r="C642" s="25" t="n">
        <x:v>2023</x:v>
      </x:c>
      <x:c r="D642" s="25" t="str">
        <x:v>Zhuosheng Zhang; Yao Yao; Aston Zhang; Xiangru Tang; Xinbei Ma; Zhiwei He; Yiming Wang; Mark Gerstein; Rui Wang; Gongshen Liu; Hai Zhao</x:v>
      </x:c>
      <x:c r="E642" s="25" t="str">
        <x:v>arXiv (Cornell University)</x:v>
      </x:c>
      <x:c r="F642" s="25" t="str">
        <x:v>10.48550/arxiv.2311.11797</x:v>
      </x:c>
      <x:c r="G642" s="25" t="str">
        <x:v>http://arxiv.org/abs/2311.11797</x:v>
      </x:c>
      <x:c r="H642" s="25" t="str">
        <x:v>OpenAlex</x:v>
      </x:c>
      <x:c r="I642" s="25" t="str">
        <x:v>C5_agent_memory</x:v>
      </x:c>
      <x:c r="J642" s="25" t="str">
        <x:v>Exclude</x:v>
      </x:c>
      <x:c r="K642" s="25" t="str">
        <x:v>Exclude: adjacent/redundant or insufficiently theory-generative for DC1</x:v>
      </x:c>
    </x:row>
    <x:row r="643">
      <x:c r="A643" s="20" t="str">
        <x:v>R0639</x:v>
      </x:c>
      <x:c r="B643" s="25" t="str">
        <x:v>Intent-Satisfaction Modeling: From Music to Video Streaming</x:v>
      </x:c>
      <x:c r="C643" s="25" t="n">
        <x:v>2023</x:v>
      </x:c>
      <x:c r="D643" s="25" t="str">
        <x:v>G. F. Benedict; Daan Odijk; Maarten de Rijke</x:v>
      </x:c>
      <x:c r="E643" s="25" t="str">
        <x:v>ACM Transactions on Recommender Systems</x:v>
      </x:c>
      <x:c r="F643" s="25" t="str">
        <x:v>10.1145/3606375</x:v>
      </x:c>
      <x:c r="G643" s="25" t="str">
        <x:v>https://doi.org/10.1145/3606375</x:v>
      </x:c>
      <x:c r="H643" s="25" t="str">
        <x:v>OpenAlex</x:v>
      </x:c>
      <x:c r="I643" s="25" t="str">
        <x:v>C2_interaction_signals</x:v>
      </x:c>
      <x:c r="J643" s="25" t="str">
        <x:v>Exclude</x:v>
      </x:c>
      <x:c r="K643" s="25" t="str">
        <x:v>Exclude: adjacent/redundant or insufficiently theory-generative for DC1</x:v>
      </x:c>
    </x:row>
    <x:row r="644">
      <x:c r="A644" s="20" t="str">
        <x:v>R0640</x:v>
      </x:c>
      <x:c r="B644" s="25" t="str">
        <x:v>Preserving Computer-Aided Design (CAD)</x:v>
      </x:c>
      <x:c r="C644" s="25" t="n">
        <x:v>2013</x:v>
      </x:c>
      <x:c r="D644" s="25" t="str">
        <x:v>Alexander Ball</x:v>
      </x:c>
      <x:c r="E644" s="25" t="str"/>
      <x:c r="F644" s="25" t="str">
        <x:v>10.7207/twr13-02</x:v>
      </x:c>
      <x:c r="G644" s="25" t="str">
        <x:v>https://doi.org/10.7207/twr13-02</x:v>
      </x:c>
      <x:c r="H644" s="25" t="str">
        <x:v>OpenAlex</x:v>
      </x:c>
      <x:c r="I644" s="25" t="str">
        <x:v>C13_CAD_design_intent</x:v>
      </x:c>
      <x:c r="J644" s="25" t="str">
        <x:v>Exclude</x:v>
      </x:c>
      <x:c r="K644" s="25" t="str">
        <x:v>Exclude: topic mismatch</x:v>
      </x:c>
    </x:row>
    <x:row r="645">
      <x:c r="A645" s="20" t="str">
        <x:v>R0641</x:v>
      </x:c>
      <x:c r="B645" s="25" t="str">
        <x:v>The Future of Child Development in the AI Era. Cross-Disciplinary Perspectives Between AI and Child Development Experts</x:v>
      </x:c>
      <x:c r="C645" s="25" t="n">
        <x:v>2024</x:v>
      </x:c>
      <x:c r="D645" s="25" t="str">
        <x:v>Mathilde Neugnot-Cerioli; Olga Muss Laurenty</x:v>
      </x:c>
      <x:c r="E645" s="25" t="str">
        <x:v>arXiv (Cornell University)</x:v>
      </x:c>
      <x:c r="F645" s="25" t="str">
        <x:v>10.48550/arxiv.2405.19275</x:v>
      </x:c>
      <x:c r="G645" s="25" t="str">
        <x:v>http://arxiv.org/abs/2405.19275</x:v>
      </x:c>
      <x:c r="H645" s="25" t="str">
        <x:v>OpenAlex</x:v>
      </x:c>
      <x:c r="I645" s="25" t="str">
        <x:v>C15_proactive_interruption</x:v>
      </x:c>
      <x:c r="J645" s="25" t="str">
        <x:v>Exclude</x:v>
      </x:c>
      <x:c r="K645" s="25" t="str">
        <x:v>Exclude: topic mismatch</x:v>
      </x:c>
    </x:row>
    <x:row r="646">
      <x:c r="A646" s="20" t="str">
        <x:v>R0642</x:v>
      </x:c>
      <x:c r="B646" s="25" t="str">
        <x:v>Understanding and Being Understood: User Strategies for Identifying and Recovering From Mistranslations in Machine Translation-Mediated Chat</x:v>
      </x:c>
      <x:c r="C646" s="25" t="n">
        <x:v>2022</x:v>
      </x:c>
      <x:c r="D646" s="25" t="str">
        <x:v>Samantha Robertson; Mark Díaz</x:v>
      </x:c>
      <x:c r="E646" s="25" t="str">
        <x:v>2022 ACM Conference on Fairness, Accountability, and Transparency</x:v>
      </x:c>
      <x:c r="F646" s="25" t="str">
        <x:v>10.1145/3531146.3534638</x:v>
      </x:c>
      <x:c r="G646" s="25" t="str">
        <x:v>https://doi.org/10.1145/3531146.3534638</x:v>
      </x:c>
      <x:c r="H646" s="25" t="str">
        <x:v>OpenAlex</x:v>
      </x:c>
      <x:c r="I646" s="25" t="str">
        <x:v>C12_common_ground_repair</x:v>
      </x:c>
      <x:c r="J646" s="25" t="str">
        <x:v>Exclude</x:v>
      </x:c>
      <x:c r="K646" s="25" t="str">
        <x:v>Exclude: adjacent/redundant or insufficiently theory-generative for DC1</x:v>
      </x:c>
    </x:row>
    <x:row r="647">
      <x:c r="A647" s="20" t="str">
        <x:v>R0643</x:v>
      </x:c>
      <x:c r="B647" s="25" t="str">
        <x:v>A User Modeling Approach to Determining System Initiative in Mixed-Initiative AI Systems</x:v>
      </x:c>
      <x:c r="C647" s="25" t="n">
        <x:v>2001</x:v>
      </x:c>
      <x:c r="D647" s="25" t="str">
        <x:v>Michael Fleming; Robin Cohen</x:v>
      </x:c>
      <x:c r="E647" s="25" t="str">
        <x:v>Lecture Notes in Computer Science</x:v>
      </x:c>
      <x:c r="F647" s="25" t="str">
        <x:v>10.1007/3-540-44566-8_6</x:v>
      </x:c>
      <x:c r="G647" s="25" t="str">
        <x:v>https://doi.org/10.1007/3-540-44566-8_6</x:v>
      </x:c>
      <x:c r="H647" s="25" t="str">
        <x:v>Crossref</x:v>
      </x:c>
      <x:c r="I647" s="25" t="str">
        <x:v>C15_proactive_interruption</x:v>
      </x:c>
      <x:c r="J647" s="25" t="str">
        <x:v>Exclude</x:v>
      </x:c>
      <x:c r="K647" s="25" t="str">
        <x:v>Exclude: adjacent/redundant or insufficiently theory-generative for DC1</x:v>
      </x:c>
    </x:row>
    <x:row r="648">
      <x:c r="A648" s="20" t="str">
        <x:v>R0644</x:v>
      </x:c>
      <x:c r="B648" s="25" t="str">
        <x:v>A voice-based annotation system for collaborative computer-aided design</x:v>
      </x:c>
      <x:c r="C648" s="25" t="n">
        <x:v>2020</x:v>
      </x:c>
      <x:c r="D648" s="25" t="str">
        <x:v>Raquel Plumed; Carmen González-Lluch; David Pérez; Manuel Contero; Jorge D. Camba</x:v>
      </x:c>
      <x:c r="E648" s="25" t="str">
        <x:v>Journal of Computational Design and Engineering</x:v>
      </x:c>
      <x:c r="F648" s="25" t="str">
        <x:v>10.1093/jcde/qwaa092</x:v>
      </x:c>
      <x:c r="G648" s="25" t="str">
        <x:v>https://doi.org/10.1093/jcde/qwaa092</x:v>
      </x:c>
      <x:c r="H648" s="25" t="str">
        <x:v>OpenAlex</x:v>
      </x:c>
      <x:c r="I648" s="25" t="str">
        <x:v>C13_CAD_design_intent</x:v>
      </x:c>
      <x:c r="J648" s="25" t="str">
        <x:v>Exclude</x:v>
      </x:c>
      <x:c r="K648" s="25" t="str">
        <x:v>Exclude: adjacent/redundant or insufficiently theory-generative for DC1</x:v>
      </x:c>
    </x:row>
    <x:row r="649">
      <x:c r="A649" s="20" t="str">
        <x:v>R0645</x:v>
      </x:c>
      <x:c r="B649" s="25" t="str">
        <x:v>Adiabatic-isothermal mixed boundary conditions in heat transfer</x:v>
      </x:c>
      <x:c r="C649" s="25" t="n">
        <x:v>1987</x:v>
      </x:c>
      <x:c r="D649" s="25" t="str">
        <x:v>J.L. Bassani; M.W. Nansteel; M. November</x:v>
      </x:c>
      <x:c r="E649" s="25" t="str">
        <x:v>International Journal of Heat and Mass Transfer</x:v>
      </x:c>
      <x:c r="F649" s="25" t="str">
        <x:v>10.1016/0017-9310(87)90009-3</x:v>
      </x:c>
      <x:c r="G649" s="25" t="str">
        <x:v>https://doi.org/10.1016/0017-9310(87)90009-3</x:v>
      </x:c>
      <x:c r="H649" s="25" t="str">
        <x:v>Crossref</x:v>
      </x:c>
      <x:c r="I649" s="25" t="str">
        <x:v>C9_human_agent_handoff</x:v>
      </x:c>
      <x:c r="J649" s="25" t="str">
        <x:v>Exclude</x:v>
      </x:c>
      <x:c r="K649" s="25" t="str">
        <x:v>Exclude: topic mismatch</x:v>
      </x:c>
    </x:row>
    <x:row r="650">
      <x:c r="A650" s="20" t="str">
        <x:v>R0646</x:v>
      </x:c>
      <x:c r="B650" s="25" t="str">
        <x:v>Android in the Zoo: Chain-of-Action-Thought for GUI Agents</x:v>
      </x:c>
      <x:c r="C650" s="25" t="n">
        <x:v>2024</x:v>
      </x:c>
      <x:c r="D650" s="25" t="str">
        <x:v>Jiwen Zhang; Jihao Wu; Teng Yihua; Minghui Liao; Nuo Xu; Xiao Xiao; Zhongyu Wei; Duyu Tang</x:v>
      </x:c>
      <x:c r="E650" s="25" t="str"/>
      <x:c r="F650" s="25" t="str">
        <x:v>10.18653/v1/2024.findings-emnlp.702</x:v>
      </x:c>
      <x:c r="G650" s="25" t="str">
        <x:v>https://doi.org/10.18653/v1/2024.findings-emnlp.702</x:v>
      </x:c>
      <x:c r="H650" s="25" t="str">
        <x:v>OpenAlex</x:v>
      </x:c>
      <x:c r="I650" s="25" t="str">
        <x:v>C6_frontend_GUI_intent</x:v>
      </x:c>
      <x:c r="J650" s="25" t="str">
        <x:v>Exclude</x:v>
      </x:c>
      <x:c r="K650" s="25" t="str">
        <x:v>Exclude: adjacent/redundant or insufficiently theory-generative for DC1</x:v>
      </x:c>
    </x:row>
    <x:row r="651">
      <x:c r="A651" s="20" t="str">
        <x:v>R0647</x:v>
      </x:c>
      <x:c r="B651" s="25" t="str">
        <x:v>BIM-based design decisions documentation using design episodes, explanation tags, and constraints</x:v>
      </x:c>
      <x:c r="C651" s="25" t="n">
        <x:v>2022</x:v>
      </x:c>
      <x:c r="D651" s="25" t="str">
        <x:v>Ata Zahedi; Jimmy Abualdenien; Frank Petzold; André Borrmann</x:v>
      </x:c>
      <x:c r="E651" s="25" t="str">
        <x:v>Journal of Information Technology in Construction</x:v>
      </x:c>
      <x:c r="F651" s="25" t="str">
        <x:v>10.36680/j.itcon.2022.037</x:v>
      </x:c>
      <x:c r="G651" s="25" t="str">
        <x:v>https://doi.org/10.36680/j.itcon.2022.037</x:v>
      </x:c>
      <x:c r="H651" s="25" t="str">
        <x:v>OpenAlex</x:v>
      </x:c>
      <x:c r="I651" s="25" t="str">
        <x:v>C13_CAD_design_intent</x:v>
      </x:c>
      <x:c r="J651" s="25" t="str">
        <x:v>Exclude</x:v>
      </x:c>
      <x:c r="K651" s="25" t="str">
        <x:v>Exclude: adjacent/redundant or insufficiently theory-generative for DC1</x:v>
      </x:c>
    </x:row>
    <x:row r="652">
      <x:c r="A652" s="20" t="str">
        <x:v>R0648</x:v>
      </x:c>
      <x:c r="B652" s="25" t="str">
        <x:v>Cooperation for Scalable Supervision of Autonomy in Mixed Traffic</x:v>
      </x:c>
      <x:c r="C652" s="25" t="n">
        <x:v>2023</x:v>
      </x:c>
      <x:c r="D652" s="25" t="str">
        <x:v>Cameron Hickert; Sirui Li; Cathy Wu</x:v>
      </x:c>
      <x:c r="E652" s="25" t="str">
        <x:v>IEEE Transactions on Robotics</x:v>
      </x:c>
      <x:c r="F652" s="25" t="str">
        <x:v>10.1109/tro.2023.3262120</x:v>
      </x:c>
      <x:c r="G652" s="25" t="str">
        <x:v>https://doi.org/10.1109/tro.2023.3262120</x:v>
      </x:c>
      <x:c r="H652" s="25" t="str">
        <x:v>Crossref</x:v>
      </x:c>
      <x:c r="I652" s="25" t="str">
        <x:v>C9_human_agent_handoff</x:v>
      </x:c>
      <x:c r="J652" s="25" t="str">
        <x:v>Exclude</x:v>
      </x:c>
      <x:c r="K652" s="25" t="str">
        <x:v>Exclude: adjacent/redundant or insufficiently theory-generative for DC1</x:v>
      </x:c>
    </x:row>
    <x:row r="653">
      <x:c r="A653" s="20" t="str">
        <x:v>R0649</x:v>
      </x:c>
      <x:c r="B653" s="25" t="str">
        <x:v>Creativity Support in AI Co-creative Tools: Current Research, Challenges and Opportunities</x:v>
      </x:c>
      <x:c r="C653" s="25" t="n">
        <x:v>2023</x:v>
      </x:c>
      <x:c r="D653" s="25" t="str">
        <x:v>Bin Ning; Fang Liu; Zhixiong Liu</x:v>
      </x:c>
      <x:c r="E653" s="25" t="str">
        <x:v>2023 26th International Conference on Computer Supported Cooperative Work in Design (CSCWD)</x:v>
      </x:c>
      <x:c r="F653" s="25" t="str">
        <x:v>10.1109/cscwd57460.2023.10152832</x:v>
      </x:c>
      <x:c r="G653" s="25" t="str">
        <x:v>https://doi.org/10.1109/cscwd57460.2023.10152832</x:v>
      </x:c>
      <x:c r="H653" s="25" t="str">
        <x:v>Crossref</x:v>
      </x:c>
      <x:c r="I653" s="25" t="str">
        <x:v>C3_mixed_initiative_cocreation</x:v>
      </x:c>
      <x:c r="J653" s="25" t="str">
        <x:v>Exclude</x:v>
      </x:c>
      <x:c r="K653" s="25" t="str">
        <x:v>Exclude: adjacent/redundant or insufficiently theory-generative for DC1</x:v>
      </x:c>
    </x:row>
    <x:row r="654">
      <x:c r="A654" s="20" t="str">
        <x:v>R0650</x:v>
      </x:c>
      <x:c r="B654" s="25" t="str">
        <x:v>Keyhole Adversarial Plan Recognition for Recognition of Suspicious and Anomalous Behavior</x:v>
      </x:c>
      <x:c r="C654" s="25" t="n">
        <x:v>2014</x:v>
      </x:c>
      <x:c r="D654" s="25" t="str">
        <x:v>Dorit Avrahami-Zilberbrand; Gal A. Kaminka</x:v>
      </x:c>
      <x:c r="E654" s="25" t="str">
        <x:v>Plan, Activity, and Intent Recognition</x:v>
      </x:c>
      <x:c r="F654" s="25" t="str">
        <x:v>10.1016/b978-0-12-398532-3.00004-x</x:v>
      </x:c>
      <x:c r="G654" s="25" t="str">
        <x:v>https://doi.org/10.1016/b978-0-12-398532-3.00004-x</x:v>
      </x:c>
      <x:c r="H654" s="25" t="str">
        <x:v>Crossref</x:v>
      </x:c>
      <x:c r="I654" s="25" t="str">
        <x:v>C11_hierarchical_goal_recognition</x:v>
      </x:c>
      <x:c r="J654" s="25" t="str">
        <x:v>Exclude</x:v>
      </x:c>
      <x:c r="K654" s="25" t="str">
        <x:v>Exclude: topic mismatch</x:v>
      </x:c>
    </x:row>
    <x:row r="655">
      <x:c r="A655" s="20" t="str">
        <x:v>R0651</x:v>
      </x:c>
      <x:c r="B655" s="25" t="str">
        <x:v>Modeling Visibility in 3D Space: A Qualitative Frame of Reference</x:v>
      </x:c>
      <x:c r="C655" s="25" t="n">
        <x:v>2014</x:v>
      </x:c>
      <x:c r="D655" s="25" t="str">
        <x:v>Paolo Fogliaroni; Eliseo Clementini</x:v>
      </x:c>
      <x:c r="E655" s="25" t="str">
        <x:v>Lecture Notes in Geoinformation and Cartography</x:v>
      </x:c>
      <x:c r="F655" s="25" t="str">
        <x:v>10.1007/978-3-319-12181-9_15</x:v>
      </x:c>
      <x:c r="G655" s="25" t="str">
        <x:v>https://doi.org/10.1007/978-3-319-12181-9_15</x:v>
      </x:c>
      <x:c r="H655" s="25" t="str">
        <x:v>Crossref</x:v>
      </x:c>
      <x:c r="I655" s="25" t="str">
        <x:v>C17_3D_gesture_ambiguity</x:v>
      </x:c>
      <x:c r="J655" s="25" t="str">
        <x:v>Exclude</x:v>
      </x:c>
      <x:c r="K655" s="25" t="str">
        <x:v>Exclude: adjacent/redundant or insufficiently theory-generative for DC1</x:v>
      </x:c>
    </x:row>
    <x:row r="656">
      <x:c r="A656" s="20" t="str">
        <x:v>R0652</x:v>
      </x:c>
      <x:c r="B656" s="25" t="str">
        <x:v>PolemicTweet: Video Annotation and Analysis through Tagged Tweets</x:v>
      </x:c>
      <x:c r="C656" s="25" t="n">
        <x:v>2013</x:v>
      </x:c>
      <x:c r="D656" s="25" t="str">
        <x:v>Samuel Huron; Petra Isenberg; Jean Daniel Fekete</x:v>
      </x:c>
      <x:c r="E656" s="25" t="str">
        <x:v>Lecture Notes in Computer Science</x:v>
      </x:c>
      <x:c r="F656" s="25" t="str">
        <x:v>10.1007/978-3-642-40480-1_9</x:v>
      </x:c>
      <x:c r="G656" s="25" t="str">
        <x:v>https://doi.org/10.1007/978-3-642-40480-1_9</x:v>
      </x:c>
      <x:c r="H656" s="25" t="str">
        <x:v>Crossref</x:v>
      </x:c>
      <x:c r="I656" s="25" t="str">
        <x:v>C18_video_intent_coding_VLM_annotation</x:v>
      </x:c>
      <x:c r="J656" s="25" t="str">
        <x:v>Exclude</x:v>
      </x:c>
      <x:c r="K656" s="25" t="str">
        <x:v>Exclude: topic mismatch</x:v>
      </x:c>
    </x:row>
    <x:row r="657">
      <x:c r="A657" s="20" t="str">
        <x:v>R0653</x:v>
      </x:c>
      <x:c r="B657" s="25" t="str">
        <x:v>Retrieval dynamics of priming in recognition memory: Bias and discrimination analysis.</x:v>
      </x:c>
      <x:c r="C657" s="25" t="n">
        <x:v>1989</x:v>
      </x:c>
      <x:c r="D657" s="25" t="str">
        <x:v>Barbara A. Dosher; Brian McElree; R. Mark Hood; Glenda Rosedale</x:v>
      </x:c>
      <x:c r="E657" s="25" t="str">
        <x:v>Journal of Experimental Psychology: Learning, Memory, and Cognition</x:v>
      </x:c>
      <x:c r="F657" s="25" t="str">
        <x:v>10.1037/0278-7393.15.5.868</x:v>
      </x:c>
      <x:c r="G657" s="25" t="str">
        <x:v>https://doi.org/10.1037/0278-7393.15.5.868</x:v>
      </x:c>
      <x:c r="H657" s="25" t="str">
        <x:v>Crossref</x:v>
      </x:c>
      <x:c r="I657" s="25" t="str">
        <x:v>C16_memory_conflict_bias</x:v>
      </x:c>
      <x:c r="J657" s="25" t="str">
        <x:v>Exclude</x:v>
      </x:c>
      <x:c r="K657" s="25" t="str">
        <x:v>Exclude: adjacent/redundant or insufficiently theory-generative for DC1</x:v>
      </x:c>
    </x:row>
    <x:row r="658">
      <x:c r="A658" s="20" t="str">
        <x:v>R0654</x:v>
      </x:c>
      <x:c r="B658" s="25" t="str">
        <x:v>Sand Playground: Designing Human-AI physical Interface for Co-creation in Motion</x:v>
      </x:c>
      <x:c r="C658" s="25" t="n">
        <x:v>2022</x:v>
      </x:c>
      <x:c r="D658" s="25" t="str">
        <x:v>Dina EL-Zanfaly; Yiwei Huang; Yanwen Dong</x:v>
      </x:c>
      <x:c r="E658" s="25" t="str">
        <x:v>Creativity and Cognition</x:v>
      </x:c>
      <x:c r="F658" s="25" t="str">
        <x:v>10.1145/3527927.3532791</x:v>
      </x:c>
      <x:c r="G658" s="25" t="str">
        <x:v>https://doi.org/10.1145/3527927.3532791</x:v>
      </x:c>
      <x:c r="H658" s="25" t="str">
        <x:v>Crossref</x:v>
      </x:c>
      <x:c r="I658" s="25" t="str">
        <x:v>C3_mixed_initiative_cocreation</x:v>
      </x:c>
      <x:c r="J658" s="25" t="str">
        <x:v>Exclude</x:v>
      </x:c>
      <x:c r="K658" s="25" t="str">
        <x:v>Exclude: topic mismatch</x:v>
      </x:c>
    </x:row>
    <x:row r="659">
      <x:c r="A659" s="20" t="str">
        <x:v>R0655</x:v>
      </x:c>
      <x:c r="B659" s="25" t="str">
        <x:v>Semantic-memory sources of episodic retrieval failure</x:v>
      </x:c>
      <x:c r="C659" s="25" t="n">
        <x:v>1985</x:v>
      </x:c>
      <x:c r="D659" s="25" t="str">
        <x:v>Takashi Kato</x:v>
      </x:c>
      <x:c r="E659" s="25" t="str">
        <x:v>Memory &amp;amp; Cognition</x:v>
      </x:c>
      <x:c r="F659" s="25" t="str">
        <x:v>10.3758/bf03198457</x:v>
      </x:c>
      <x:c r="G659" s="25" t="str">
        <x:v>https://doi.org/10.3758/bf03198457</x:v>
      </x:c>
      <x:c r="H659" s="25" t="str">
        <x:v>Crossref</x:v>
      </x:c>
      <x:c r="I659" s="25" t="str">
        <x:v>C5_agent_memory</x:v>
      </x:c>
      <x:c r="J659" s="25" t="str">
        <x:v>Exclude</x:v>
      </x:c>
      <x:c r="K659" s="25" t="str">
        <x:v>Exclude: adjacent/redundant or insufficiently theory-generative for DC1</x:v>
      </x:c>
    </x:row>
    <x:row r="660">
      <x:c r="A660" s="20" t="str">
        <x:v>R0656</x:v>
      </x:c>
      <x:c r="B660" s="25" t="str">
        <x:v>User Interaction Patterns and Breakdowns in Conversing with LLM-Powered Voice Assistants</x:v>
      </x:c>
      <x:c r="C660" s="25" t="n">
        <x:v>2023</x:v>
      </x:c>
      <x:c r="D660" s="25" t="str">
        <x:v>Amama Mahmood; Junxiang Wang; Bingsheng Yao; Dakuo Wang; Chien‐Ming Huang</x:v>
      </x:c>
      <x:c r="E660" s="25" t="str">
        <x:v>arXiv (Cornell University)</x:v>
      </x:c>
      <x:c r="F660" s="25" t="str">
        <x:v>10.48550/arxiv.2309.13879</x:v>
      </x:c>
      <x:c r="G660" s="25" t="str">
        <x:v>http://arxiv.org/abs/2309.13879</x:v>
      </x:c>
      <x:c r="H660" s="25" t="str">
        <x:v>OpenAlex</x:v>
      </x:c>
      <x:c r="I660" s="25" t="str">
        <x:v>C6_frontend_GUI_intent</x:v>
      </x:c>
      <x:c r="J660" s="25" t="str">
        <x:v>Exclude</x:v>
      </x:c>
      <x:c r="K660" s="25" t="str">
        <x:v>Exclude: adjacent/redundant or insufficiently theory-generative for DC1</x:v>
      </x:c>
    </x:row>
    <x:row r="661">
      <x:c r="A661" s="20" t="str">
        <x:v>R0657</x:v>
      </x:c>
      <x:c r="B661" s="25" t="str">
        <x:v>Virtual exertions: A user interface combining visual information, kinesthetics and biofeedback for virtual object manipulation</x:v>
      </x:c>
      <x:c r="C661" s="25" t="n">
        <x:v>2012</x:v>
      </x:c>
      <x:c r="D661" s="25" t="str">
        <x:v>K. Ponto; R. Kimmel; J. Kohlmann; A. Bartholomew; R. G. Radwin</x:v>
      </x:c>
      <x:c r="E661" s="25" t="str">
        <x:v>2012 IEEE Symposium on 3D User Interfaces (3DUI)</x:v>
      </x:c>
      <x:c r="F661" s="25" t="str">
        <x:v>10.1109/3dui.2012.6184189</x:v>
      </x:c>
      <x:c r="G661" s="25" t="str">
        <x:v>https://doi.org/10.1109/3dui.2012.6184189</x:v>
      </x:c>
      <x:c r="H661" s="25" t="str">
        <x:v>Crossref</x:v>
      </x:c>
      <x:c r="I661" s="25" t="str">
        <x:v>C1_3D_mental_models</x:v>
      </x:c>
      <x:c r="J661" s="25" t="str">
        <x:v>Exclude</x:v>
      </x:c>
      <x:c r="K661" s="25" t="str">
        <x:v>Exclude: adjacent/redundant or insufficiently theory-generative for DC1</x:v>
      </x:c>
    </x:row>
    <x:row r="662">
      <x:c r="A662" s="20" t="str">
        <x:v>R0658</x:v>
      </x:c>
      <x:c r="B662" s="25" t="str">
        <x:v>“Hey Genie, You Got Me Thinking about My Menu Choices!” Impact of Proactive Feedback on User Perception and Reflection in Decision-making Tasks</x:v>
      </x:c>
      <x:c r="C662" s="25" t="n">
        <x:v>2024</x:v>
      </x:c>
      <x:c r="D662" s="25" t="str">
        <x:v>Mateusz Dubiel; Luis A. Leiva; Kerstin Bongard-Blanchy; Anastasia Sergeeva</x:v>
      </x:c>
      <x:c r="E662" s="25" t="str">
        <x:v>ACM Transactions on Computer-Human Interaction</x:v>
      </x:c>
      <x:c r="F662" s="25" t="str">
        <x:v>10.1145/3685274</x:v>
      </x:c>
      <x:c r="G662" s="25" t="str">
        <x:v>https://doi.org/10.1145/3685274</x:v>
      </x:c>
      <x:c r="H662" s="25" t="str">
        <x:v>OpenAlex</x:v>
      </x:c>
      <x:c r="I662" s="25" t="str">
        <x:v>C15_proactive_interruption</x:v>
      </x:c>
      <x:c r="J662" s="25" t="str">
        <x:v>Exclude</x:v>
      </x:c>
      <x:c r="K662" s="25" t="str">
        <x:v>Exclude: topic mismatch</x:v>
      </x:c>
    </x:row>
    <x:row r="663">
      <x:c r="A663" s="20" t="str">
        <x:v>R0659</x:v>
      </x:c>
      <x:c r="B663" s="25" t="str">
        <x:v>"Come to us first": Centering Community Organizations in Artificial Intelligence for Social Good Partnerships</x:v>
      </x:c>
      <x:c r="C663" s="25" t="n">
        <x:v>2024</x:v>
      </x:c>
      <x:c r="D663" s="25" t="str">
        <x:v>Hongjin Lin; Naveena Karusala; Chinasa T. Okolo; Catherine D’Ignazio; Krzysztof Z. Gajos</x:v>
      </x:c>
      <x:c r="E663" s="25" t="str">
        <x:v>Proceedings of the ACM on Human-Computer Interaction</x:v>
      </x:c>
      <x:c r="F663" s="25" t="str">
        <x:v>10.1145/3687009</x:v>
      </x:c>
      <x:c r="G663" s="25" t="str">
        <x:v>https://doi.org/10.1145/3687009</x:v>
      </x:c>
      <x:c r="H663" s="25" t="str">
        <x:v>OpenAlex</x:v>
      </x:c>
      <x:c r="I663" s="25" t="str">
        <x:v>C12_common_ground_repair</x:v>
      </x:c>
      <x:c r="J663" s="25" t="str">
        <x:v>Exclude</x:v>
      </x:c>
      <x:c r="K663" s="25" t="str">
        <x:v>Exclude: topic mismatch</x:v>
      </x:c>
    </x:row>
    <x:row r="664">
      <x:c r="A664" s="20" t="str">
        <x:v>R0660</x:v>
      </x:c>
      <x:c r="B664" s="25" t="str">
        <x:v>EXPERIENCING INTERACTION DESIGN: A PRAGMATIC THEORY</x:v>
      </x:c>
      <x:c r="C664" s="25" t="n">
        <x:v>2009</x:v>
      </x:c>
      <x:c r="D664" s="25" t="str">
        <x:v>Ronald Lengkong Wakkary</x:v>
      </x:c>
      <x:c r="E664" s="25" t="str">
        <x:v>PEARL (University of Plymouth)</x:v>
      </x:c>
      <x:c r="F664" s="25" t="str">
        <x:v>10.24382/4235</x:v>
      </x:c>
      <x:c r="G664" s="25" t="str">
        <x:v>http://hdl.handle.net/10026.1/2111</x:v>
      </x:c>
      <x:c r="H664" s="25" t="str">
        <x:v>OpenAlex</x:v>
      </x:c>
      <x:c r="I664" s="25" t="str">
        <x:v>C11_hierarchical_goal_recognition</x:v>
      </x:c>
      <x:c r="J664" s="25" t="str">
        <x:v>Exclude</x:v>
      </x:c>
      <x:c r="K664" s="25" t="str">
        <x:v>Exclude: adjacent/redundant or insufficiently theory-generative for DC1</x:v>
      </x:c>
    </x:row>
    <x:row r="665">
      <x:c r="A665" s="20" t="str">
        <x:v>R0661</x:v>
      </x:c>
      <x:c r="B665" s="25" t="str">
        <x:v>Hierarchical Human Action Recognition by Normalized-Polar Histogram</x:v>
      </x:c>
      <x:c r="C665" s="25" t="n">
        <x:v>2010</x:v>
      </x:c>
      <x:c r="D665" s="25" t="str">
        <x:v>Maryam Ziaeefard; Hossein Ebrahimnezhad</x:v>
      </x:c>
      <x:c r="E665" s="25" t="str">
        <x:v>2010 20th International Conference on Pattern Recognition</x:v>
      </x:c>
      <x:c r="F665" s="25" t="str">
        <x:v>10.1109/icpr.2010.906</x:v>
      </x:c>
      <x:c r="G665" s="25" t="str">
        <x:v>https://doi.org/10.1109/icpr.2010.906</x:v>
      </x:c>
      <x:c r="H665" s="25" t="str">
        <x:v>Crossref</x:v>
      </x:c>
      <x:c r="I665" s="25" t="str">
        <x:v>C11_hierarchical_goal_recognition</x:v>
      </x:c>
      <x:c r="J665" s="25" t="str">
        <x:v>Exclude</x:v>
      </x:c>
      <x:c r="K665" s="25" t="str">
        <x:v>Exclude: topic mismatch</x:v>
      </x:c>
    </x:row>
    <x:row r="666">
      <x:c r="A666" s="20" t="str">
        <x:v>R0662</x:v>
      </x:c>
      <x:c r="B666" s="25" t="str">
        <x:v>Implicit Search Intent Recognition using EEG and Eye Tracking: Novel Dataset and Cross-User Prediction</x:v>
      </x:c>
      <x:c r="C666" s="25" t="n">
        <x:v>2023</x:v>
      </x:c>
      <x:c r="D666" s="25" t="str">
        <x:v>Mansi Sharma; Shuang Chen; Philipp Müller; Maurice Rekrut; Antonio Krüger</x:v>
      </x:c>
      <x:c r="E666" s="25" t="str">
        <x:v>INTERNATIONAL CONFERENCE ON MULTIMODAL INTERACTION</x:v>
      </x:c>
      <x:c r="F666" s="25" t="str">
        <x:v>10.1145/3577190.3614166</x:v>
      </x:c>
      <x:c r="G666" s="25" t="str">
        <x:v>https://doi.org/10.1145/3577190.3614166</x:v>
      </x:c>
      <x:c r="H666" s="25" t="str">
        <x:v>Crossref</x:v>
      </x:c>
      <x:c r="I666" s="25" t="str">
        <x:v>C2_interaction_signals</x:v>
      </x:c>
      <x:c r="J666" s="25" t="str">
        <x:v>Exclude</x:v>
      </x:c>
      <x:c r="K666" s="25" t="str">
        <x:v>Exclude: adjacent/redundant or insufficiently theory-generative for DC1</x:v>
      </x:c>
    </x:row>
    <x:row r="667">
      <x:c r="A667" s="20" t="str">
        <x:v>R0663</x:v>
      </x:c>
      <x:c r="B667" s="25" t="str">
        <x:v>Learning to Infer Semantic Parameters for 3D Shape Editing</x:v>
      </x:c>
      <x:c r="C667" s="25" t="n">
        <x:v>2020</x:v>
      </x:c>
      <x:c r="D667" s="25" t="str">
        <x:v>Fangyin Wei; Elena Sizikova; Avneesh Sud; Szymon Rusinkiewicz; Thomas Funkhouser</x:v>
      </x:c>
      <x:c r="E667" s="25" t="str">
        <x:v>2020 International Conference on 3D Vision (3DV)</x:v>
      </x:c>
      <x:c r="F667" s="25" t="str">
        <x:v>10.1109/3dv50981.2020.00053</x:v>
      </x:c>
      <x:c r="G667" s="25" t="str">
        <x:v>https://doi.org/10.1109/3dv50981.2020.00053</x:v>
      </x:c>
      <x:c r="H667" s="25" t="str">
        <x:v>Crossref</x:v>
      </x:c>
      <x:c r="I667" s="25" t="str">
        <x:v>C8_AI_3D_authoring</x:v>
      </x:c>
      <x:c r="J667" s="25" t="str">
        <x:v>Exclude</x:v>
      </x:c>
      <x:c r="K667" s="25" t="str">
        <x:v>Exclude: adjacent/redundant or insufficiently theory-generative for DC1</x:v>
      </x:c>
    </x:row>
    <x:row r="668">
      <x:c r="A668" s="20" t="str">
        <x:v>R0664</x:v>
      </x:c>
      <x:c r="B668" s="25" t="str">
        <x:v>Measuring Collaboration Load With Pupillary Responses - Implications for the Design of Instructions in Task-Oriented HRI</x:v>
      </x:c>
      <x:c r="C668" s="25" t="n">
        <x:v>2021</x:v>
      </x:c>
      <x:c r="D668" s="25" t="str">
        <x:v>Dimosthenis Kontogiorgos; Joakim Gustafson</x:v>
      </x:c>
      <x:c r="E668" s="25" t="str">
        <x:v>Frontiers in Psychology</x:v>
      </x:c>
      <x:c r="F668" s="25" t="str">
        <x:v>10.3389/fpsyg.2021.623657</x:v>
      </x:c>
      <x:c r="G668" s="25" t="str">
        <x:v>https://doi.org/10.3389/fpsyg.2021.623657</x:v>
      </x:c>
      <x:c r="H668" s="25" t="str">
        <x:v>OpenAlex</x:v>
      </x:c>
      <x:c r="I668" s="25" t="str">
        <x:v>C12_common_ground_repair</x:v>
      </x:c>
      <x:c r="J668" s="25" t="str">
        <x:v>Exclude</x:v>
      </x:c>
      <x:c r="K668" s="25" t="str">
        <x:v>Exclude: topic mismatch</x:v>
      </x:c>
    </x:row>
    <x:row r="669">
      <x:c r="A669" s="20" t="str">
        <x:v>R0665</x:v>
      </x:c>
      <x:c r="B669" s="25" t="str">
        <x:v>On the Role of Geometric Constraints to Support Design Intent Communication and Model Reusability</x:v>
      </x:c>
      <x:c r="C669" s="25" t="n">
        <x:v>2019</x:v>
      </x:c>
      <x:c r="D669" s="25" t="str">
        <x:v>Pedro Company; Ferran Naya; Manuel Contero; Jorge Camba</x:v>
      </x:c>
      <x:c r="E669" s="25" t="str">
        <x:v>Computer-Aided Design and Applications</x:v>
      </x:c>
      <x:c r="F669" s="25" t="str">
        <x:v>10.14733/cadaps.2020.61-76</x:v>
      </x:c>
      <x:c r="G669" s="25" t="str">
        <x:v>https://doi.org/10.14733/cadaps.2020.61-76</x:v>
      </x:c>
      <x:c r="H669" s="25" t="str">
        <x:v>Crossref</x:v>
      </x:c>
      <x:c r="I669" s="25" t="str">
        <x:v>C13_CAD_design_intent</x:v>
      </x:c>
      <x:c r="J669" s="25" t="str">
        <x:v>Exclude</x:v>
      </x:c>
      <x:c r="K669" s="25" t="str">
        <x:v>Exclude: adjacent/redundant or insufficiently theory-generative for DC1</x:v>
      </x:c>
    </x:row>
    <x:row r="670">
      <x:c r="A670" s="20" t="str">
        <x:v>R0666</x:v>
      </x:c>
      <x:c r="B670" s="25" t="str">
        <x:v>Reference and Ambiguity in Complex Demonstratives</x:v>
      </x:c>
      <x:c r="C670" s="25" t="n">
        <x:v>2012</x:v>
      </x:c>
      <x:c r="D670" s="25" t="str">
        <x:v>Geoff Georgi</x:v>
      </x:c>
      <x:c r="E670" s="25" t="str">
        <x:v>Reference and Referring</x:v>
      </x:c>
      <x:c r="F670" s="25" t="str">
        <x:v>10.7551/mitpress/9581.003.0015</x:v>
      </x:c>
      <x:c r="G670" s="25" t="str">
        <x:v>https://doi.org/10.7551/mitpress/9581.003.0015</x:v>
      </x:c>
      <x:c r="H670" s="25" t="str">
        <x:v>Crossref</x:v>
      </x:c>
      <x:c r="I670" s="25" t="str">
        <x:v>C17_3D_gesture_ambiguity</x:v>
      </x:c>
      <x:c r="J670" s="25" t="str">
        <x:v>Exclude</x:v>
      </x:c>
      <x:c r="K670" s="25" t="str">
        <x:v>Exclude: topic mismatch</x:v>
      </x:c>
    </x:row>
    <x:row r="671">
      <x:c r="A671" s="20" t="str">
        <x:v>R0667</x:v>
      </x:c>
      <x:c r="B671" s="25" t="str">
        <x:v>Semantics of families of objects</x:v>
      </x:c>
      <x:c r="C671" s="25" t="n">
        <x:v>2008</x:v>
      </x:c>
      <x:c r="D671" s="25" t="str">
        <x:v>Hilderick A. van der Meiden</x:v>
      </x:c>
      <x:c r="E671" s="25" t="str">
        <x:v>Research Repository (Delft University of Technology)</x:v>
      </x:c>
      <x:c r="F671" s="25" t="str"/>
      <x:c r="G671" s="25" t="str">
        <x:v>http://resolver.tudelft.nl/uuid:bc1278ca-851f-45d7-9495-45e3f79c0214</x:v>
      </x:c>
      <x:c r="H671" s="25" t="str">
        <x:v>OpenAlex</x:v>
      </x:c>
      <x:c r="I671" s="25" t="str">
        <x:v>C13_CAD_design_intent</x:v>
      </x:c>
      <x:c r="J671" s="25" t="str">
        <x:v>Exclude</x:v>
      </x:c>
      <x:c r="K671" s="25" t="str">
        <x:v>Exclude: topic mismatch</x:v>
      </x:c>
    </x:row>
    <x:row r="672">
      <x:c r="A672" s="20" t="str">
        <x:v>R0668</x:v>
      </x:c>
      <x:c r="B672" s="25" t="str">
        <x:v>Visual Grounding in 2D and 3D: A unified perspective and survey</x:v>
      </x:c>
      <x:c r="C672" s="25" t="n">
        <x:v>2025</x:v>
      </x:c>
      <x:c r="D672" s="25" t="str">
        <x:v>Keyu Guo; Yongle Huang; Tinglei Jia; Xiangyu Song; Shijie Sun; Hongkai Wei; Xian-Feng Han; Shuwen Huang; Nicola Strisciuglio; Shuyan Li</x:v>
      </x:c>
      <x:c r="E672" s="25" t="str">
        <x:v>Information Fusion</x:v>
      </x:c>
      <x:c r="F672" s="25" t="str">
        <x:v>10.1016/j.inffus.2025.103625</x:v>
      </x:c>
      <x:c r="G672" s="25" t="str">
        <x:v>https://doi.org/10.1016/j.inffus.2025.103625</x:v>
      </x:c>
      <x:c r="H672" s="25" t="str">
        <x:v>OpenAlex</x:v>
      </x:c>
      <x:c r="I672" s="25" t="str">
        <x:v>C18_video_intent_coding_VLM_annotation</x:v>
      </x:c>
      <x:c r="J672" s="25" t="str">
        <x:v>Exclude</x:v>
      </x:c>
      <x:c r="K672" s="25" t="str">
        <x:v>Exclude: adjacent/redundant or insufficiently theory-generative for DC1</x:v>
      </x:c>
    </x:row>
    <x:row r="673">
      <x:c r="A673" s="20" t="str">
        <x:v>R0669</x:v>
      </x:c>
      <x:c r="B673" s="25" t="str">
        <x:v>AI-Enabled Art Education: Unleashing Creative Potential and Exploring Co-Creation Frontiers</x:v>
      </x:c>
      <x:c r="C673" s="25" t="n">
        <x:v>2024</x:v>
      </x:c>
      <x:c r="D673" s="25" t="str">
        <x:v>Vassilis Evangelidis; Helena Theodoropoulou; Vassilis Katsouros; Chairi Kiourt</x:v>
      </x:c>
      <x:c r="E673" s="25" t="str">
        <x:v>Proceedings of the 16th International Conference on Computer Supported Education</x:v>
      </x:c>
      <x:c r="F673" s="25" t="str">
        <x:v>10.5220/0012747300003693</x:v>
      </x:c>
      <x:c r="G673" s="25" t="str">
        <x:v>https://doi.org/10.5220/0012747300003693</x:v>
      </x:c>
      <x:c r="H673" s="25" t="str">
        <x:v>Crossref</x:v>
      </x:c>
      <x:c r="I673" s="25" t="str">
        <x:v>C14_agency_ownership; C7_creative_agency</x:v>
      </x:c>
      <x:c r="J673" s="25" t="str">
        <x:v>Exclude</x:v>
      </x:c>
      <x:c r="K673" s="25" t="str">
        <x:v>Exclude: adjacent/redundant or insufficiently theory-generative for DC1</x:v>
      </x:c>
    </x:row>
    <x:row r="674">
      <x:c r="A674" s="20" t="str">
        <x:v>R0670</x:v>
      </x:c>
      <x:c r="B674" s="25" t="str">
        <x:v>Doing cybersecurity at home: A human-centred approach for mitigating attacks in AI-enabled home devices</x:v>
      </x:c>
      <x:c r="C674" s="25" t="n">
        <x:v>2024</x:v>
      </x:c>
      <x:c r="D674" s="25" t="str">
        <x:v>Asimina Vasalou; Laura Benton; Ana Luisa Serta; A. Gauthier; Ceylan Beşevli; Sarah Turner; R. Gill; Rachael Payler; Etienne B. Roesch; Kevin McAreavey; Kim Bauters; Weiru Liu; Hsueh-Ju Chen; Dennis Ivory; Manos Panaousis; Georgios Loukas</x:v>
      </x:c>
      <x:c r="E674" s="25" t="str">
        <x:v>Computers &amp; Security</x:v>
      </x:c>
      <x:c r="F674" s="25" t="str">
        <x:v>10.1016/j.cose.2024.104112</x:v>
      </x:c>
      <x:c r="G674" s="25" t="str">
        <x:v>https://doi.org/10.1016/j.cose.2024.104112</x:v>
      </x:c>
      <x:c r="H674" s="25" t="str">
        <x:v>OpenAlex</x:v>
      </x:c>
      <x:c r="I674" s="25" t="str">
        <x:v>C15_proactive_interruption</x:v>
      </x:c>
      <x:c r="J674" s="25" t="str">
        <x:v>Exclude</x:v>
      </x:c>
      <x:c r="K674" s="25" t="str">
        <x:v>Exclude: topic mismatch</x:v>
      </x:c>
    </x:row>
    <x:row r="675">
      <x:c r="A675" s="20" t="str">
        <x:v>R0671</x:v>
      </x:c>
      <x:c r="B675" s="25" t="str">
        <x:v>Graph-aware isomorphic attention for adaptive dynamics in
                    transformers</x:v>
      </x:c>
      <x:c r="C675" s="25" t="n">
        <x:v>2025</x:v>
      </x:c>
      <x:c r="D675" s="25" t="str">
        <x:v>Markus J. Buehler</x:v>
      </x:c>
      <x:c r="E675" s="25" t="str">
        <x:v>APL Machine Learning</x:v>
      </x:c>
      <x:c r="F675" s="25" t="str">
        <x:v>10.1063/5.0256873</x:v>
      </x:c>
      <x:c r="G675" s="25" t="str">
        <x:v>https://doi.org/10.1063/5.0256873</x:v>
      </x:c>
      <x:c r="H675" s="25" t="str">
        <x:v>Crossref</x:v>
      </x:c>
      <x:c r="I675" s="25" t="str">
        <x:v>C15_proactive_interruption</x:v>
      </x:c>
      <x:c r="J675" s="25" t="str">
        <x:v>Exclude</x:v>
      </x:c>
      <x:c r="K675" s="25" t="str">
        <x:v>Exclude: topic mismatch</x:v>
      </x:c>
    </x:row>
    <x:row r="676">
      <x:c r="A676" s="20" t="str">
        <x:v>R0672</x:v>
      </x:c>
      <x:c r="B676" s="25" t="str">
        <x:v>Grounding explanations in evolving, diagnostic situations</x:v>
      </x:c>
      <x:c r="C676" s="25" t="n">
        <x:v>1995</x:v>
      </x:c>
      <x:c r="D676" s="25" t="str">
        <x:v>Leila Johannesen</x:v>
      </x:c>
      <x:c r="E676" s="25" t="str">
        <x:v>NASA Technical Reports Server (NASA)</x:v>
      </x:c>
      <x:c r="F676" s="25" t="str">
        <x:v>10.1113/jphysiol.1981.sp013993</x:v>
      </x:c>
      <x:c r="G676" s="25" t="str">
        <x:v>https://ntrs.nasa.gov/api/citations/19950018915/downloads/19950018915.pdf</x:v>
      </x:c>
      <x:c r="H676" s="25" t="str">
        <x:v>OpenAlex</x:v>
      </x:c>
      <x:c r="I676" s="25" t="str">
        <x:v>C12_common_ground_repair</x:v>
      </x:c>
      <x:c r="J676" s="25" t="str">
        <x:v>Exclude</x:v>
      </x:c>
      <x:c r="K676" s="25" t="str">
        <x:v>Exclude: topic mismatch</x:v>
      </x:c>
    </x:row>
    <x:row r="677">
      <x:c r="A677" s="20" t="str">
        <x:v>R0673</x:v>
      </x:c>
      <x:c r="B677" s="25" t="str">
        <x:v>Mechanisms of Common Ground in Human-Agent Interaction: A Systematic Review of Conversational Agent Research</x:v>
      </x:c>
      <x:c r="C677" s="25" t="n">
        <x:v>2023</x:v>
      </x:c>
      <x:c r="D677" s="25" t="str">
        <x:v>Antonia Tolzin; Andreas Janson</x:v>
      </x:c>
      <x:c r="E677" s="25" t="str">
        <x:v>Proceedings of the ... Annual Hawaii International Conference on System Sciences/Proceedings of the Annual Hawaii International Conference on System Sciences</x:v>
      </x:c>
      <x:c r="F677" s="25" t="str">
        <x:v>10.24251/hicss.2023.042</x:v>
      </x:c>
      <x:c r="G677" s="25" t="str">
        <x:v>https://doi.org/10.24251/hicss.2023.042</x:v>
      </x:c>
      <x:c r="H677" s="25" t="str">
        <x:v>OpenAlex</x:v>
      </x:c>
      <x:c r="I677" s="25" t="str">
        <x:v>C12_common_ground_repair</x:v>
      </x:c>
      <x:c r="J677" s="25" t="str">
        <x:v>Exclude</x:v>
      </x:c>
      <x:c r="K677" s="25" t="str">
        <x:v>Exclude: topic mismatch</x:v>
      </x:c>
    </x:row>
    <x:row r="678">
      <x:c r="A678" s="20" t="str">
        <x:v>R0674</x:v>
      </x:c>
      <x:c r="B678" s="25" t="str">
        <x:v>Real|Unreal: Crafting Actuality in the Documentary Videogame</x:v>
      </x:c>
      <x:c r="C678" s="25" t="n">
        <x:v>2011</x:v>
      </x:c>
      <x:c r="D678" s="25" t="str">
        <x:v>Cynthia K Poremba</x:v>
      </x:c>
      <x:c r="E678" s="25" t="str">
        <x:v>Spectrum Research Repository (Concordia University)</x:v>
      </x:c>
      <x:c r="F678" s="25" t="str"/>
      <x:c r="G678" s="25" t="str">
        <x:v>https://openalex.org/W128297108</x:v>
      </x:c>
      <x:c r="H678" s="25" t="str">
        <x:v>OpenAlex</x:v>
      </x:c>
      <x:c r="I678" s="25" t="str">
        <x:v>C17_3D_gesture_ambiguity</x:v>
      </x:c>
      <x:c r="J678" s="25" t="str">
        <x:v>Exclude</x:v>
      </x:c>
      <x:c r="K678" s="25" t="str">
        <x:v>Exclude: adjacent/redundant or insufficiently theory-generative for DC1</x:v>
      </x:c>
    </x:row>
    <x:row r="679">
      <x:c r="A679" s="20" t="str">
        <x:v>R0675</x:v>
      </x:c>
      <x:c r="B679" s="25" t="str">
        <x:v>The Article III Problem in Bankruptcy</x:v>
      </x:c>
      <x:c r="C679" s="25" t="n">
        <x:v>2014</x:v>
      </x:c>
      <x:c r="D679" s="25" t="str">
        <x:v>Anthony J. Casey; Aziz Z. Huq</x:v>
      </x:c>
      <x:c r="E679" s="25" t="str"/>
      <x:c r="F679" s="25" t="str"/>
      <x:c r="G679" s="25" t="str">
        <x:v>https://chicagounbound.uchicago.edu/law_and_economics/721</x:v>
      </x:c>
      <x:c r="H679" s="25" t="str">
        <x:v>OpenAlex</x:v>
      </x:c>
      <x:c r="I679" s="25" t="str">
        <x:v>C17_3D_gesture_ambiguity</x:v>
      </x:c>
      <x:c r="J679" s="25" t="str">
        <x:v>Exclude</x:v>
      </x:c>
      <x:c r="K679" s="25" t="str">
        <x:v>Exclude: topic mismatch</x:v>
      </x:c>
    </x:row>
    <x:row r="680">
      <x:c r="A680" s="20" t="str">
        <x:v>R0676</x:v>
      </x:c>
      <x:c r="B680" s="25" t="str">
        <x:v>Assessment of predictive probability models for effective mechanical design feature reuse</x:v>
      </x:c>
      <x:c r="C680" s="25" t="n">
        <x:v>2022</x:v>
      </x:c>
      <x:c r="D680" s="25" t="str">
        <x:v>Gokula Vasantha; David Purves; John M. Quigley; Jonathan Corney; Andrew Sherlock; Geevin Randika</x:v>
      </x:c>
      <x:c r="E680" s="25" t="str">
        <x:v>Artificial intelligence for engineering design analysis and manufacturing</x:v>
      </x:c>
      <x:c r="F680" s="25" t="str">
        <x:v>10.1017/s0890060422000014</x:v>
      </x:c>
      <x:c r="G680" s="25" t="str">
        <x:v>https://doi.org/10.1017/s0890060422000014</x:v>
      </x:c>
      <x:c r="H680" s="25" t="str">
        <x:v>OpenAlex</x:v>
      </x:c>
      <x:c r="I680" s="25" t="str">
        <x:v>C13_CAD_design_intent</x:v>
      </x:c>
      <x:c r="J680" s="25" t="str">
        <x:v>Exclude</x:v>
      </x:c>
      <x:c r="K680" s="25" t="str">
        <x:v>Exclude: adjacent/redundant or insufficiently theory-generative for DC1</x:v>
      </x:c>
    </x:row>
    <x:row r="681">
      <x:c r="A681" s="20" t="str">
        <x:v>R0677</x:v>
      </x:c>
      <x:c r="B681" s="25" t="str">
        <x:v>Cybersecurity for Analyzing Artificial Intelligence (AI)-Based Assistive Technology and Systems in Digital Health</x:v>
      </x:c>
      <x:c r="C681" s="25" t="n">
        <x:v>2025</x:v>
      </x:c>
      <x:c r="D681" s="25" t="str">
        <x:v>Abdullah Algarni; Vijey Thayananthan</x:v>
      </x:c>
      <x:c r="E681" s="25" t="str">
        <x:v>Systems</x:v>
      </x:c>
      <x:c r="F681" s="25" t="str">
        <x:v>10.3390/systems13060439</x:v>
      </x:c>
      <x:c r="G681" s="25" t="str">
        <x:v>https://doi.org/10.3390/systems13060439</x:v>
      </x:c>
      <x:c r="H681" s="25" t="str">
        <x:v>OpenAlex</x:v>
      </x:c>
      <x:c r="I681" s="25" t="str">
        <x:v>C15_proactive_interruption</x:v>
      </x:c>
      <x:c r="J681" s="25" t="str">
        <x:v>Exclude</x:v>
      </x:c>
      <x:c r="K681" s="25" t="str">
        <x:v>Exclude: topic mismatch</x:v>
      </x:c>
    </x:row>
    <x:row r="682">
      <x:c r="A682" s="20" t="str">
        <x:v>R0678</x:v>
      </x:c>
      <x:c r="B682" s="25" t="str">
        <x:v>Generative AI in Multimodal User Interfaces: Trends, Challenges, and Cross-Platform Adaptability</x:v>
      </x:c>
      <x:c r="C682" s="25" t="n">
        <x:v>2024</x:v>
      </x:c>
      <x:c r="D682" s="25" t="str">
        <x:v>J. Bieniek; Mohamed Rahouti; Dinesh Verma</x:v>
      </x:c>
      <x:c r="E682" s="25" t="str">
        <x:v>arXiv (Cornell University)</x:v>
      </x:c>
      <x:c r="F682" s="25" t="str">
        <x:v>10.48550/arxiv.2411.10234</x:v>
      </x:c>
      <x:c r="G682" s="25" t="str">
        <x:v>http://arxiv.org/abs/2411.10234</x:v>
      </x:c>
      <x:c r="H682" s="25" t="str">
        <x:v>OpenAlex</x:v>
      </x:c>
      <x:c r="I682" s="25" t="str">
        <x:v>C6_frontend_GUI_intent</x:v>
      </x:c>
      <x:c r="J682" s="25" t="str">
        <x:v>Exclude</x:v>
      </x:c>
      <x:c r="K682" s="25" t="str">
        <x:v>Exclude: adjacent/redundant or insufficiently theory-generative for DC1</x:v>
      </x:c>
    </x:row>
    <x:row r="683">
      <x:c r="A683" s="20" t="str">
        <x:v>R0679</x:v>
      </x:c>
      <x:c r="B683" s="25" t="str">
        <x:v>Identity-Expression Ambiguity in 3D Morphable Face Models</x:v>
      </x:c>
      <x:c r="C683" s="25" t="n">
        <x:v>2021</x:v>
      </x:c>
      <x:c r="D683" s="25" t="str">
        <x:v>Bernhard Egger; Skylar Sutherland; Safa C. Medin; Joshua Tenenbaum</x:v>
      </x:c>
      <x:c r="E683" s="25" t="str">
        <x:v>2021 16th IEEE International Conference on Automatic Face and Gesture Recognition (FG 2021)</x:v>
      </x:c>
      <x:c r="F683" s="25" t="str">
        <x:v>10.1109/fg52635.2021.9667002</x:v>
      </x:c>
      <x:c r="G683" s="25" t="str">
        <x:v>https://doi.org/10.1109/fg52635.2021.9667002</x:v>
      </x:c>
      <x:c r="H683" s="25" t="str">
        <x:v>Crossref</x:v>
      </x:c>
      <x:c r="I683" s="25" t="str">
        <x:v>C17_3D_gesture_ambiguity</x:v>
      </x:c>
      <x:c r="J683" s="25" t="str">
        <x:v>Exclude</x:v>
      </x:c>
      <x:c r="K683" s="25" t="str">
        <x:v>Exclude: adjacent/redundant or insufficiently theory-generative for DC1</x:v>
      </x:c>
    </x:row>
    <x:row r="684">
      <x:c r="A684" s="20" t="str">
        <x:v>R0680</x:v>
      </x:c>
      <x:c r="B684" s="25" t="str">
        <x:v>Integrating multiple 3D views through frame-of-reference interaction</x:v>
      </x:c>
      <x:c r="C684" s="25" t="str"/>
      <x:c r="D684" s="25" t="str">
        <x:v>M. Plumlee; C. Ware</x:v>
      </x:c>
      <x:c r="E684" s="25" t="str">
        <x:v>Proceedings International Conference on Coordinated and Multiple Views in Exploratory Visualization - CMV 2003 -</x:v>
      </x:c>
      <x:c r="F684" s="25" t="str">
        <x:v>10.1109/cmv.2003.1215001</x:v>
      </x:c>
      <x:c r="G684" s="25" t="str">
        <x:v>https://doi.org/10.1109/cmv.2003.1215001</x:v>
      </x:c>
      <x:c r="H684" s="25" t="str">
        <x:v>Crossref</x:v>
      </x:c>
      <x:c r="I684" s="25" t="str">
        <x:v>C17_3D_gesture_ambiguity</x:v>
      </x:c>
      <x:c r="J684" s="25" t="str">
        <x:v>Exclude</x:v>
      </x:c>
      <x:c r="K684" s="25" t="str">
        <x:v>Exclude: adjacent/redundant or insufficiently theory-generative for DC1</x:v>
      </x:c>
    </x:row>
    <x:row r="685">
      <x:c r="A685" s="20" t="str">
        <x:v>R0681</x:v>
      </x:c>
      <x:c r="B685" s="25" t="str">
        <x:v>Interactive Reconfiguration Techniques of Reference Frame Hierarchy in the Multi-viewport Interface</x:v>
      </x:c>
      <x:c r="C685" s="25" t="str"/>
      <x:c r="D685" s="25" t="str">
        <x:v>K. Hirose; T. Ogawa; K. Kiyokawa; H. Takemura</x:v>
      </x:c>
      <x:c r="E685" s="25" t="str">
        <x:v>3D User Interfaces (3DUI'06)</x:v>
      </x:c>
      <x:c r="F685" s="25" t="str">
        <x:v>10.1109/vr.2006.89</x:v>
      </x:c>
      <x:c r="G685" s="25" t="str">
        <x:v>https://doi.org/10.1109/vr.2006.89</x:v>
      </x:c>
      <x:c r="H685" s="25" t="str">
        <x:v>Crossref</x:v>
      </x:c>
      <x:c r="I685" s="25" t="str">
        <x:v>C17_3D_gesture_ambiguity</x:v>
      </x:c>
      <x:c r="J685" s="25" t="str">
        <x:v>Exclude</x:v>
      </x:c>
      <x:c r="K685" s="25" t="str">
        <x:v>Exclude: topic mismatch</x:v>
      </x:c>
    </x:row>
    <x:row r="686">
      <x:c r="A686" s="20" t="str">
        <x:v>R0682</x:v>
      </x:c>
      <x:c r="B686" s="25" t="str">
        <x:v>Real Women, Real Rape</x:v>
      </x:c>
      <x:c r="C686" s="25" t="n">
        <x:v>2013</x:v>
      </x:c>
      <x:c r="D686" s="25" t="str">
        <x:v>Bennett Capers</x:v>
      </x:c>
      <x:c r="E686" s="25" t="str"/>
      <x:c r="F686" s="25" t="str"/>
      <x:c r="G686" s="25" t="str">
        <x:v>https://brooklynworks.brooklaw.edu/faculty/113</x:v>
      </x:c>
      <x:c r="H686" s="25" t="str">
        <x:v>OpenAlex</x:v>
      </x:c>
      <x:c r="I686" s="25" t="str">
        <x:v>C17_3D_gesture_ambiguity</x:v>
      </x:c>
      <x:c r="J686" s="25" t="str">
        <x:v>Exclude</x:v>
      </x:c>
      <x:c r="K686" s="25" t="str">
        <x:v>Exclude: topic mismatch</x:v>
      </x:c>
    </x:row>
    <x:row r="687">
      <x:c r="A687" s="20" t="str">
        <x:v>R0683</x:v>
      </x:c>
      <x:c r="B687" s="25" t="str">
        <x:v>Rethinking Knowledge Distillation in Collaborative Machine Learning: Memory, Knowledge, and Their Interactions</x:v>
      </x:c>
      <x:c r="C687" s="25" t="n">
        <x:v>2025</x:v>
      </x:c>
      <x:c r="D687" s="25" t="str">
        <x:v>Pengchao Han; Xi Huang; Yi Fang; Guojun Han</x:v>
      </x:c>
      <x:c r="E687" s="25" t="str">
        <x:v>IEEE Transactions on Network Science and Engineering</x:v>
      </x:c>
      <x:c r="F687" s="25" t="str">
        <x:v>10.1109/tnse.2025.3572362</x:v>
      </x:c>
      <x:c r="G687" s="25" t="str">
        <x:v>https://doi.org/10.1109/tnse.2025.3572362</x:v>
      </x:c>
      <x:c r="H687" s="25" t="str">
        <x:v>OpenAlex</x:v>
      </x:c>
      <x:c r="I687" s="25" t="str">
        <x:v>C5_agent_memory</x:v>
      </x:c>
      <x:c r="J687" s="25" t="str">
        <x:v>Exclude</x:v>
      </x:c>
      <x:c r="K687" s="25" t="str">
        <x:v>Exclude: adjacent/redundant or insufficiently theory-generative for DC1</x:v>
      </x:c>
    </x:row>
    <x:row r="688">
      <x:c r="A688" s="20" t="str">
        <x:v>R0684</x:v>
      </x:c>
      <x:c r="B688" s="25" t="str">
        <x:v>The Design and Evaluation of Embodied Interfaces for Supporting Spatial Ability</x:v>
      </x:c>
      <x:c r="C688" s="25" t="n">
        <x:v>2017</x:v>
      </x:c>
      <x:c r="D688" s="25" t="str">
        <x:v>Jack Shen-Kuen Chang</x:v>
      </x:c>
      <x:c r="E688" s="25" t="str">
        <x:v>Proceedings of the Eleventh International Conference on Tangible, Embedded, and Embodied Interaction</x:v>
      </x:c>
      <x:c r="F688" s="25" t="str">
        <x:v>10.1145/3024969.3025033</x:v>
      </x:c>
      <x:c r="G688" s="25" t="str">
        <x:v>https://doi.org/10.1145/3024969.3025033</x:v>
      </x:c>
      <x:c r="H688" s="25" t="str">
        <x:v>Crossref</x:v>
      </x:c>
      <x:c r="I688" s="25" t="str">
        <x:v>C10_affordance_embodied</x:v>
      </x:c>
      <x:c r="J688" s="25" t="str">
        <x:v>Exclude</x:v>
      </x:c>
      <x:c r="K688" s="25" t="str">
        <x:v>Exclude: topic mismatch</x:v>
      </x:c>
    </x:row>
    <x:row r="689">
      <x:c r="A689" s="20" t="str">
        <x:v>R0685</x:v>
      </x:c>
      <x:c r="B689" s="25" t="str">
        <x:v>The Metaphorical Brain</x:v>
      </x:c>
      <x:c r="C689" s="25" t="n">
        <x:v>2016</x:v>
      </x:c>
      <x:c r="D689" s="25" t="str"/>
      <x:c r="E689" s="25" t="str">
        <x:v>Frontiers research topics</x:v>
      </x:c>
      <x:c r="F689" s="25" t="str">
        <x:v>10.3389/978-2-88919-772-9</x:v>
      </x:c>
      <x:c r="G689" s="25" t="str">
        <x:v>https://doi.org/10.3389/978-2-88919-772-9</x:v>
      </x:c>
      <x:c r="H689" s="25" t="str">
        <x:v>OpenAlex</x:v>
      </x:c>
      <x:c r="I689" s="25" t="str">
        <x:v>C17_3D_gesture_ambiguity</x:v>
      </x:c>
      <x:c r="J689" s="25" t="str">
        <x:v>Exclude</x:v>
      </x:c>
      <x:c r="K689" s="25" t="str">
        <x:v>Exclude: topic mismatch</x:v>
      </x:c>
    </x:row>
    <x:row r="690">
      <x:c r="A690" s="20" t="str">
        <x:v>R0686</x:v>
      </x:c>
      <x:c r="B690" s="25" t="str">
        <x:v>Thumble: One-Handed 3D Object Manipulation Using a Thimble-Shaped Wearable Device in Virtual Reality</x:v>
      </x:c>
      <x:c r="C690" s="25" t="n">
        <x:v>2022</x:v>
      </x:c>
      <x:c r="D690" s="25" t="str">
        <x:v>Changsung Lim; Jina Kim; Myung Jin Kim</x:v>
      </x:c>
      <x:c r="E690" s="25" t="str">
        <x:v>Adjunct Proceedings of the 35th Annual ACM Symposium on User Interface Software and Technology</x:v>
      </x:c>
      <x:c r="F690" s="25" t="str">
        <x:v>10.1145/3526114.3558703</x:v>
      </x:c>
      <x:c r="G690" s="25" t="str">
        <x:v>https://doi.org/10.1145/3526114.3558703</x:v>
      </x:c>
      <x:c r="H690" s="25" t="str">
        <x:v>Crossref</x:v>
      </x:c>
      <x:c r="I690" s="25" t="str">
        <x:v>C1_3D_mental_models</x:v>
      </x:c>
      <x:c r="J690" s="25" t="str">
        <x:v>Exclude</x:v>
      </x:c>
      <x:c r="K690" s="25" t="str">
        <x:v>Exclude: adjacent/redundant or insufficiently theory-generative for DC1</x:v>
      </x:c>
    </x:row>
    <x:row r="691">
      <x:c r="A691" s="20" t="str">
        <x:v>R0687</x:v>
      </x:c>
      <x:c r="B691" s="25" t="str">
        <x:v>A Framework for Modeling and Capturing Social Interactions</x:v>
      </x:c>
      <x:c r="C691" s="25" t="n">
        <x:v>2015</x:v>
      </x:c>
      <x:c r="D691" s="25" t="str">
        <x:v>Tao Ma</x:v>
      </x:c>
      <x:c r="E691" s="25" t="str">
        <x:v>OhioLink ETD Center (Ohio Library and Information Network)</x:v>
      </x:c>
      <x:c r="F691" s="25" t="str"/>
      <x:c r="G691" s="25" t="str">
        <x:v>http://rave.ohiolink.edu/etdc/view?acc_num=ucin1423581254</x:v>
      </x:c>
      <x:c r="H691" s="25" t="str">
        <x:v>OpenAlex</x:v>
      </x:c>
      <x:c r="I691" s="25" t="str">
        <x:v>C11_hierarchical_goal_recognition</x:v>
      </x:c>
      <x:c r="J691" s="25" t="str">
        <x:v>Exclude</x:v>
      </x:c>
      <x:c r="K691" s="25" t="str">
        <x:v>Exclude: topic mismatch</x:v>
      </x:c>
    </x:row>
    <x:row r="692">
      <x:c r="A692" s="20" t="str">
        <x:v>R0688</x:v>
      </x:c>
      <x:c r="B692" s="25" t="str">
        <x:v>A Lineage-Based Referencing DSL for Computer-Aided Design</x:v>
      </x:c>
      <x:c r="C692" s="25" t="n">
        <x:v>2023</x:v>
      </x:c>
      <x:c r="D692" s="25" t="str">
        <x:v>Dan Cascaval; Rastislav Bodík; Adriana Schulz</x:v>
      </x:c>
      <x:c r="E692" s="25" t="str">
        <x:v>Proceedings of the ACM on Programming Languages</x:v>
      </x:c>
      <x:c r="F692" s="25" t="str">
        <x:v>10.1145/3591223</x:v>
      </x:c>
      <x:c r="G692" s="25" t="str">
        <x:v>https://doi.org/10.1145/3591223</x:v>
      </x:c>
      <x:c r="H692" s="25" t="str">
        <x:v>OpenAlex</x:v>
      </x:c>
      <x:c r="I692" s="25" t="str">
        <x:v>C13_CAD_design_intent</x:v>
      </x:c>
      <x:c r="J692" s="25" t="str">
        <x:v>Exclude</x:v>
      </x:c>
      <x:c r="K692" s="25" t="str">
        <x:v>Exclude: adjacent/redundant or insufficiently theory-generative for DC1</x:v>
      </x:c>
    </x:row>
    <x:row r="693">
      <x:c r="A693" s="20" t="str">
        <x:v>R0689</x:v>
      </x:c>
      <x:c r="B693" s="25" t="str">
        <x:v>A Survey on Large Language Model-Based Game Agents</x:v>
      </x:c>
      <x:c r="C693" s="25" t="n">
        <x:v>2024</x:v>
      </x:c>
      <x:c r="D693" s="25" t="str">
        <x:v>Sihao Hu; Tiansheng Huang; Gaowen Liu; Ramana Rao Kompella; Fatih İlhan; Selim Furkan Tekin; Xu, Yichang; Yahn, Zachary; Ling Liu</x:v>
      </x:c>
      <x:c r="E693" s="25" t="str">
        <x:v>arXiv (Cornell University)</x:v>
      </x:c>
      <x:c r="F693" s="25" t="str">
        <x:v>10.48550/arxiv.2404.02039</x:v>
      </x:c>
      <x:c r="G693" s="25" t="str">
        <x:v>https://arxiv.org/abs/2404.02039</x:v>
      </x:c>
      <x:c r="H693" s="25" t="str">
        <x:v>OpenAlex</x:v>
      </x:c>
      <x:c r="I693" s="25" t="str">
        <x:v>C18_video_intent_coding_VLM_annotation; C5_agent_memory</x:v>
      </x:c>
      <x:c r="J693" s="25" t="str">
        <x:v>Exclude</x:v>
      </x:c>
      <x:c r="K693" s="25" t="str">
        <x:v>Exclude: adjacent/redundant or insufficiently theory-generative for DC1</x:v>
      </x:c>
    </x:row>
    <x:row r="694">
      <x:c r="A694" s="20" t="str">
        <x:v>R0690</x:v>
      </x:c>
      <x:c r="B694" s="25" t="str">
        <x:v>A Theory of Preferred Stock</x:v>
      </x:c>
      <x:c r="C694" s="25" t="n">
        <x:v>2013</x:v>
      </x:c>
      <x:c r="D694" s="25" t="str">
        <x:v>William W. Bratton; Michael L. Wachter</x:v>
      </x:c>
      <x:c r="E694" s="25" t="str">
        <x:v>Penn Carey Law Legal Scholarship Repository (University of Pennsylvania)</x:v>
      </x:c>
      <x:c r="F694" s="25" t="str"/>
      <x:c r="G694" s="25" t="str">
        <x:v>https://scholarship.law.upenn.edu/faculty_scholarship/1391</x:v>
      </x:c>
      <x:c r="H694" s="25" t="str">
        <x:v>OpenAlex</x:v>
      </x:c>
      <x:c r="I694" s="25" t="str">
        <x:v>C17_3D_gesture_ambiguity</x:v>
      </x:c>
      <x:c r="J694" s="25" t="str">
        <x:v>Exclude</x:v>
      </x:c>
      <x:c r="K694" s="25" t="str">
        <x:v>Exclude: adjacent/redundant or insufficiently theory-generative for DC1</x:v>
      </x:c>
    </x:row>
    <x:row r="695">
      <x:c r="A695" s="20" t="str">
        <x:v>R0691</x:v>
      </x:c>
      <x:c r="B695" s="25" t="str">
        <x:v>A direct manipulation interface for time navigation in scientific visualizations</x:v>
      </x:c>
      <x:c r="C695" s="25" t="n">
        <x:v>2009</x:v>
      </x:c>
      <x:c r="D695" s="25" t="str">
        <x:v>Marc Wolter; Bernd Hentschel; Irene Tedjo-Palczynski; Torsten Kuhlen</x:v>
      </x:c>
      <x:c r="E695" s="25" t="str">
        <x:v>2009 IEEE Symposium on 3D User Interfaces</x:v>
      </x:c>
      <x:c r="F695" s="25" t="str">
        <x:v>10.1109/3dui.2009.4811199</x:v>
      </x:c>
      <x:c r="G695" s="25" t="str">
        <x:v>https://doi.org/10.1109/3dui.2009.4811199</x:v>
      </x:c>
      <x:c r="H695" s="25" t="str">
        <x:v>Crossref</x:v>
      </x:c>
      <x:c r="I695" s="25" t="str">
        <x:v>C1_3D_mental_models</x:v>
      </x:c>
      <x:c r="J695" s="25" t="str">
        <x:v>Exclude</x:v>
      </x:c>
      <x:c r="K695" s="25" t="str">
        <x:v>Exclude: adjacent/redundant or insufficiently theory-generative for DC1</x:v>
      </x:c>
    </x:row>
    <x:row r="696">
      <x:c r="A696" s="20" t="str">
        <x:v>R0692</x:v>
      </x:c>
      <x:c r="B696" s="25" t="str">
        <x:v>AI takeover and human disempowerment</x:v>
      </x:c>
      <x:c r="C696" s="25" t="n">
        <x:v>2024</x:v>
      </x:c>
      <x:c r="D696" s="25" t="str">
        <x:v>Adam Bales</x:v>
      </x:c>
      <x:c r="E696" s="25" t="str">
        <x:v>The Philosophical Quarterly</x:v>
      </x:c>
      <x:c r="F696" s="25" t="str">
        <x:v>10.1093/pq/pqae034</x:v>
      </x:c>
      <x:c r="G696" s="25" t="str">
        <x:v>https://doi.org/10.1093/pq/pqae034</x:v>
      </x:c>
      <x:c r="H696" s="25" t="str">
        <x:v>Crossref</x:v>
      </x:c>
      <x:c r="I696" s="25" t="str">
        <x:v>C9_human_agent_handoff</x:v>
      </x:c>
      <x:c r="J696" s="25" t="str">
        <x:v>Exclude</x:v>
      </x:c>
      <x:c r="K696" s="25" t="str">
        <x:v>Exclude: topic mismatch</x:v>
      </x:c>
    </x:row>
    <x:row r="697">
      <x:c r="A697" s="20" t="str">
        <x:v>R0693</x:v>
      </x:c>
      <x:c r="B697" s="25" t="str">
        <x:v>Agentic AI in Healthcare and Medicine: A Seven-Dimensional Taxonomy for Empirical Evaluation of LLM-Based Agents</x:v>
      </x:c>
      <x:c r="C697" s="25" t="n">
        <x:v>2026</x:v>
      </x:c>
      <x:c r="D697" s="25" t="str">
        <x:v>Shubham Vatsal; Harsh Dubey; Aditi Singh</x:v>
      </x:c>
      <x:c r="E697" s="25" t="str">
        <x:v>IEEE Access</x:v>
      </x:c>
      <x:c r="F697" s="25" t="str">
        <x:v>10.1109/access.2026.3651218</x:v>
      </x:c>
      <x:c r="G697" s="25" t="str">
        <x:v>https://doi.org/10.1109/access.2026.3651218</x:v>
      </x:c>
      <x:c r="H697" s="25" t="str">
        <x:v>OpenAlex</x:v>
      </x:c>
      <x:c r="I697" s="25" t="str">
        <x:v>C16_memory_conflict_bias; C5_agent_memory</x:v>
      </x:c>
      <x:c r="J697" s="25" t="str">
        <x:v>Exclude</x:v>
      </x:c>
      <x:c r="K697" s="25" t="str">
        <x:v>Exclude: adjacent/redundant or insufficiently theory-generative for DC1</x:v>
      </x:c>
    </x:row>
    <x:row r="698">
      <x:c r="A698" s="20" t="str">
        <x:v>R0694</x:v>
      </x:c>
      <x:c r="B698" s="25" t="str">
        <x:v>Challenges and Paths Towards AI for Software Engineering</x:v>
      </x:c>
      <x:c r="C698" s="25" t="n">
        <x:v>2025</x:v>
      </x:c>
      <x:c r="D698" s="25" t="str">
        <x:v>Alex Gu; Naman Jain; Weizhong Li; Manish Shetty; Yijia Shao; Ziyang Li; Diyi Yang; Kevin Ellis; Koushik Sen; Armando Solar-Lezama</x:v>
      </x:c>
      <x:c r="E698" s="25" t="str">
        <x:v>Qeios</x:v>
      </x:c>
      <x:c r="F698" s="25" t="str">
        <x:v>10.32388/vv1661</x:v>
      </x:c>
      <x:c r="G698" s="25" t="str">
        <x:v>https://doi.org/10.32388/vv1661</x:v>
      </x:c>
      <x:c r="H698" s="25" t="str">
        <x:v>OpenAlex</x:v>
      </x:c>
      <x:c r="I698" s="25" t="str">
        <x:v>C12_common_ground_repair</x:v>
      </x:c>
      <x:c r="J698" s="25" t="str">
        <x:v>Exclude</x:v>
      </x:c>
      <x:c r="K698" s="25" t="str">
        <x:v>Exclude: adjacent/redundant or insufficiently theory-generative for DC1</x:v>
      </x:c>
    </x:row>
    <x:row r="699">
      <x:c r="A699" s="20" t="str">
        <x:v>R0695</x:v>
      </x:c>
      <x:c r="B699" s="25" t="str">
        <x:v>Children's collaboration styles in a Newtonian microworld</x:v>
      </x:c>
      <x:c r="C699" s="25" t="n">
        <x:v>1996</x:v>
      </x:c>
      <x:c r="D699" s="25" t="str">
        <x:v>Andy Cockburn; Saul Greenberg</x:v>
      </x:c>
      <x:c r="E699" s="25" t="str">
        <x:v>Conference companion on Human factors in computing systems common ground - CHI '96</x:v>
      </x:c>
      <x:c r="F699" s="25" t="str">
        <x:v>10.1145/257089.257247</x:v>
      </x:c>
      <x:c r="G699" s="25" t="str">
        <x:v>https://doi.org/10.1145/257089.257247</x:v>
      </x:c>
      <x:c r="H699" s="25" t="str">
        <x:v>Crossref</x:v>
      </x:c>
      <x:c r="I699" s="25" t="str">
        <x:v>C12_common_ground_repair</x:v>
      </x:c>
      <x:c r="J699" s="25" t="str">
        <x:v>Exclude</x:v>
      </x:c>
      <x:c r="K699" s="25" t="str">
        <x:v>Exclude: topic mismatch</x:v>
      </x:c>
    </x:row>
    <x:row r="700">
      <x:c r="A700" s="20" t="str">
        <x:v>R0696</x:v>
      </x:c>
      <x:c r="B700" s="25" t="str">
        <x:v>Codified Canons and the Common Law of Interpretation</x:v>
      </x:c>
      <x:c r="C700" s="25" t="n">
        <x:v>2008</x:v>
      </x:c>
      <x:c r="D700" s="25" t="str">
        <x:v>Jacob Scott</x:v>
      </x:c>
      <x:c r="E700" s="25" t="str"/>
      <x:c r="F700" s="25" t="str"/>
      <x:c r="G700" s="25" t="str">
        <x:v>https://digitalcommons.law.yale.edu/ylsspps_papers/32</x:v>
      </x:c>
      <x:c r="H700" s="25" t="str">
        <x:v>OpenAlex</x:v>
      </x:c>
      <x:c r="I700" s="25" t="str">
        <x:v>C17_3D_gesture_ambiguity</x:v>
      </x:c>
      <x:c r="J700" s="25" t="str">
        <x:v>Exclude</x:v>
      </x:c>
      <x:c r="K700" s="25" t="str">
        <x:v>Exclude: topic mismatch</x:v>
      </x:c>
    </x:row>
    <x:row r="701">
      <x:c r="A701" s="20" t="str">
        <x:v>R0697</x:v>
      </x:c>
      <x:c r="B701" s="25" t="str">
        <x:v>Complex QA and language models hybrid architectures, Survey</x:v>
      </x:c>
      <x:c r="C701" s="25" t="n">
        <x:v>2023</x:v>
      </x:c>
      <x:c r="D701" s="25" t="str">
        <x:v>Xavier Daull; Patrice Bellot; Emmanuel Bruno; Vincent Martin; Élisabeth Murisasco</x:v>
      </x:c>
      <x:c r="E701" s="25" t="str">
        <x:v>arXiv (Cornell University)</x:v>
      </x:c>
      <x:c r="F701" s="25" t="str">
        <x:v>10.48550/arxiv.2302.09051</x:v>
      </x:c>
      <x:c r="G701" s="25" t="str">
        <x:v>http://arxiv.org/abs/2302.09051</x:v>
      </x:c>
      <x:c r="H701" s="25" t="str">
        <x:v>OpenAlex</x:v>
      </x:c>
      <x:c r="I701" s="25" t="str">
        <x:v>C5_agent_memory</x:v>
      </x:c>
      <x:c r="J701" s="25" t="str">
        <x:v>Exclude</x:v>
      </x:c>
      <x:c r="K701" s="25" t="str">
        <x:v>Exclude: topic mismatch</x:v>
      </x:c>
    </x:row>
    <x:row r="702">
      <x:c r="A702" s="20" t="str">
        <x:v>R0698</x:v>
      </x:c>
      <x:c r="B702" s="25" t="str">
        <x:v>Direct 3D object manipulation on a collaborative stereoscopic display</x:v>
      </x:c>
      <x:c r="C702" s="25" t="n">
        <x:v>2013</x:v>
      </x:c>
      <x:c r="D702" s="25" t="str">
        <x:v>Kasım Özacar; Kazuki Takashima; Yoshifumi Kitamura</x:v>
      </x:c>
      <x:c r="E702" s="25" t="str">
        <x:v>Proceedings of the 1st symposium on Spatial user interaction</x:v>
      </x:c>
      <x:c r="F702" s="25" t="str">
        <x:v>10.1145/2491367.2491374</x:v>
      </x:c>
      <x:c r="G702" s="25" t="str">
        <x:v>https://doi.org/10.1145/2491367.2491374</x:v>
      </x:c>
      <x:c r="H702" s="25" t="str">
        <x:v>Crossref</x:v>
      </x:c>
      <x:c r="I702" s="25" t="str">
        <x:v>C1_3D_mental_models</x:v>
      </x:c>
      <x:c r="J702" s="25" t="str">
        <x:v>Exclude</x:v>
      </x:c>
      <x:c r="K702" s="25" t="str">
        <x:v>Exclude: adjacent/redundant or insufficiently theory-generative for DC1</x:v>
      </x:c>
    </x:row>
    <x:row r="703">
      <x:c r="A703" s="20" t="str">
        <x:v>R0699</x:v>
      </x:c>
      <x:c r="B703" s="25" t="str">
        <x:v>Embodied Cognition and Digital Musical Instruments</x:v>
      </x:c>
      <x:c r="C703" s="25" t="n">
        <x:v>2017</x:v>
      </x:c>
      <x:c r="D703" s="25" t="str">
        <x:v>Joseph Malloch; Marcelo M. Wanderley</x:v>
      </x:c>
      <x:c r="E703" s="25" t="str">
        <x:v>The Routledge Companion to Embodied Music Interaction</x:v>
      </x:c>
      <x:c r="F703" s="25" t="str">
        <x:v>10.4324/9781315621364-48</x:v>
      </x:c>
      <x:c r="G703" s="25" t="str">
        <x:v>https://doi.org/10.4324/9781315621364-48</x:v>
      </x:c>
      <x:c r="H703" s="25" t="str">
        <x:v>Crossref</x:v>
      </x:c>
      <x:c r="I703" s="25" t="str">
        <x:v>C10_affordance_embodied</x:v>
      </x:c>
      <x:c r="J703" s="25" t="str">
        <x:v>Exclude</x:v>
      </x:c>
      <x:c r="K703" s="25" t="str">
        <x:v>Exclude: topic mismatch</x:v>
      </x:c>
    </x:row>
    <x:row r="704">
      <x:c r="A704" s="20" t="str">
        <x:v>R0700</x:v>
      </x:c>
      <x:c r="B704" s="25" t="str">
        <x:v>Enhancing memory retrieval in generative agents through LLM-trained cross attention networks</x:v>
      </x:c>
      <x:c r="C704" s="25" t="n">
        <x:v>2025</x:v>
      </x:c>
      <x:c r="D704" s="25" t="str">
        <x:v>Chuanyang Hong; Qi He</x:v>
      </x:c>
      <x:c r="E704" s="25" t="str">
        <x:v>Frontiers in Psychology</x:v>
      </x:c>
      <x:c r="F704" s="25" t="str">
        <x:v>10.3389/fpsyg.2025.1591618</x:v>
      </x:c>
      <x:c r="G704" s="25" t="str">
        <x:v>https://doi.org/10.3389/fpsyg.2025.1591618</x:v>
      </x:c>
      <x:c r="H704" s="25" t="str">
        <x:v>OpenAlex</x:v>
      </x:c>
      <x:c r="I704" s="25" t="str">
        <x:v>C5_agent_memory</x:v>
      </x:c>
      <x:c r="J704" s="25" t="str">
        <x:v>Exclude</x:v>
      </x:c>
      <x:c r="K704" s="25" t="str">
        <x:v>Exclude: adjacent/redundant or insufficiently theory-generative for DC1</x:v>
      </x:c>
    </x:row>
    <x:row r="705">
      <x:c r="A705" s="20" t="str">
        <x:v>R0701</x:v>
      </x:c>
      <x:c r="B705" s="25" t="str">
        <x:v>Exploring entities in text with descriptive non-photorealistic rendering</x:v>
      </x:c>
      <x:c r="C705" s="25" t="n">
        <x:v>2013</x:v>
      </x:c>
      <x:c r="D705" s="25" t="str">
        <x:v>Meng-Wei Chang; Christopher Collins</x:v>
      </x:c>
      <x:c r="E705" s="25" t="str"/>
      <x:c r="F705" s="25" t="str">
        <x:v>10.1109/pacificvis.2013.6596122</x:v>
      </x:c>
      <x:c r="G705" s="25" t="str">
        <x:v>https://doi.org/10.1109/pacificvis.2013.6596122</x:v>
      </x:c>
      <x:c r="H705" s="25" t="str">
        <x:v>OpenAlex</x:v>
      </x:c>
      <x:c r="I705" s="25" t="str">
        <x:v>C17_3D_gesture_ambiguity</x:v>
      </x:c>
      <x:c r="J705" s="25" t="str">
        <x:v>Exclude</x:v>
      </x:c>
      <x:c r="K705" s="25" t="str">
        <x:v>Exclude: adjacent/redundant or insufficiently theory-generative for DC1</x:v>
      </x:c>
    </x:row>
    <x:row r="706">
      <x:c r="A706" s="20" t="str">
        <x:v>R0702</x:v>
      </x:c>
      <x:c r="B706" s="25" t="str">
        <x:v>Free-convection flow about a wedge under mixed thermal boundary conditions and a magnetic field</x:v>
      </x:c>
      <x:c r="C706" s="25" t="n">
        <x:v>2004</x:v>
      </x:c>
      <x:c r="D706" s="25" t="str">
        <x:v>M. C. Ece</x:v>
      </x:c>
      <x:c r="E706" s="25" t="str">
        <x:v>Heat and Mass Transfer</x:v>
      </x:c>
      <x:c r="F706" s="25" t="str">
        <x:v>10.1007/s00231-004-0531-7</x:v>
      </x:c>
      <x:c r="G706" s="25" t="str">
        <x:v>https://doi.org/10.1007/s00231-004-0531-7</x:v>
      </x:c>
      <x:c r="H706" s="25" t="str">
        <x:v>Crossref</x:v>
      </x:c>
      <x:c r="I706" s="25" t="str">
        <x:v>C9_human_agent_handoff</x:v>
      </x:c>
      <x:c r="J706" s="25" t="str">
        <x:v>Exclude</x:v>
      </x:c>
      <x:c r="K706" s="25" t="str">
        <x:v>Exclude: topic mismatch</x:v>
      </x:c>
    </x:row>
    <x:row r="707">
      <x:c r="A707" s="20" t="str">
        <x:v>R0703</x:v>
      </x:c>
      <x:c r="B707" s="25" t="str">
        <x:v>Image-Enabled Discourse: Investigating the Creation of Visual Information as Communicative Practice</x:v>
      </x:c>
      <x:c r="C707" s="25" t="n">
        <x:v>2012</x:v>
      </x:c>
      <x:c r="D707" s="25" t="str">
        <x:v>Jaime Snyder</x:v>
      </x:c>
      <x:c r="E707" s="25" t="str">
        <x:v>Syracuse University Libraries (Syracuse University)</x:v>
      </x:c>
      <x:c r="F707" s="25" t="str"/>
      <x:c r="G707" s="25" t="str">
        <x:v>https://surface.syr.edu/it_etd/70</x:v>
      </x:c>
      <x:c r="H707" s="25" t="str">
        <x:v>OpenAlex</x:v>
      </x:c>
      <x:c r="I707" s="25" t="str">
        <x:v>C17_3D_gesture_ambiguity</x:v>
      </x:c>
      <x:c r="J707" s="25" t="str">
        <x:v>Exclude</x:v>
      </x:c>
      <x:c r="K707" s="25" t="str">
        <x:v>Exclude: topic mismatch</x:v>
      </x:c>
    </x:row>
    <x:row r="708">
      <x:c r="A708" s="20" t="str">
        <x:v>R0704</x:v>
      </x:c>
      <x:c r="B708" s="25" t="str">
        <x:v>Learning Latent Activities from Social Signals with Hierarchical Dirichlet Processes</x:v>
      </x:c>
      <x:c r="C708" s="25" t="n">
        <x:v>2014</x:v>
      </x:c>
      <x:c r="D708" s="25" t="str">
        <x:v>Dinh Phung; Thuong Nguyen; Sunil Gupta; Svetha Venkatesh</x:v>
      </x:c>
      <x:c r="E708" s="25" t="str">
        <x:v>Plan, Activity, and Intent Recognition</x:v>
      </x:c>
      <x:c r="F708" s="25" t="str">
        <x:v>10.1016/b978-0-12-398532-3.00006-3</x:v>
      </x:c>
      <x:c r="G708" s="25" t="str">
        <x:v>https://doi.org/10.1016/b978-0-12-398532-3.00006-3</x:v>
      </x:c>
      <x:c r="H708" s="25" t="str">
        <x:v>Crossref</x:v>
      </x:c>
      <x:c r="I708" s="25" t="str">
        <x:v>C11_hierarchical_goal_recognition</x:v>
      </x:c>
      <x:c r="J708" s="25" t="str">
        <x:v>Exclude</x:v>
      </x:c>
      <x:c r="K708" s="25" t="str">
        <x:v>Exclude: topic mismatch</x:v>
      </x:c>
    </x:row>
    <x:row r="709">
      <x:c r="A709" s="20" t="str">
        <x:v>R0705</x:v>
      </x:c>
      <x:c r="B709" s="25" t="str">
        <x:v>On-site quantitative detection of fentanyl in heroin by machine learning-enabled SERS on super absorbing metasurfaces</x:v>
      </x:c>
      <x:c r="C709" s="25" t="n">
        <x:v>2025</x:v>
      </x:c>
      <x:c r="D709" s="25" t="str">
        <x:v>Yingkun Zhu; Haomin Song; Ruiying Liu; Yunyun Mu; Murali Gedda; Abdullah N. Alodhay; Lei Ying; Qiaoqiang Gan</x:v>
      </x:c>
      <x:c r="E709" s="25" t="str">
        <x:v>npj Nanophotonics</x:v>
      </x:c>
      <x:c r="F709" s="25" t="str">
        <x:v>10.1038/s44310-025-00055-8</x:v>
      </x:c>
      <x:c r="G709" s="25" t="str">
        <x:v>https://doi.org/10.1038/s44310-025-00055-8</x:v>
      </x:c>
      <x:c r="H709" s="25" t="str">
        <x:v>Crossref</x:v>
      </x:c>
      <x:c r="I709" s="25" t="str">
        <x:v>C15_proactive_interruption</x:v>
      </x:c>
      <x:c r="J709" s="25" t="str">
        <x:v>Exclude</x:v>
      </x:c>
      <x:c r="K709" s="25" t="str">
        <x:v>Exclude: topic mismatch</x:v>
      </x:c>
    </x:row>
    <x:row r="710">
      <x:c r="A710" s="20" t="str">
        <x:v>R0706</x:v>
      </x:c>
      <x:c r="B710" s="25" t="str">
        <x:v>OneProt: Towards multi-modal protein foundation models via latent space alignment of sequence, structure, binding sites and text encoders</x:v>
      </x:c>
      <x:c r="C710" s="25" t="n">
        <x:v>2025</x:v>
      </x:c>
      <x:c r="D710" s="25" t="str">
        <x:v>Klemens Flöge; Srisruthi Udayakumar; Johanna Sommer; Marie Piraud; Stefan Kesselheim; Vincent Fortuin; Stephan Günnemann; Karel J. van der Weg; Holger Gohlke; Erinc Merdivan; Alina Bazarova</x:v>
      </x:c>
      <x:c r="E710" s="25" t="str">
        <x:v>PLOS Computational Biology</x:v>
      </x:c>
      <x:c r="F710" s="25" t="str">
        <x:v>10.1371/journal.pcbi.1013679</x:v>
      </x:c>
      <x:c r="G710" s="25" t="str">
        <x:v>https://doi.org/10.1371/journal.pcbi.1013679</x:v>
      </x:c>
      <x:c r="H710" s="25" t="str">
        <x:v>Crossref</x:v>
      </x:c>
      <x:c r="I710" s="25" t="str">
        <x:v>C15_proactive_interruption</x:v>
      </x:c>
      <x:c r="J710" s="25" t="str">
        <x:v>Exclude</x:v>
      </x:c>
      <x:c r="K710" s="25" t="str">
        <x:v>Exclude: adjacent/redundant or insufficiently theory-generative for DC1</x:v>
      </x:c>
    </x:row>
    <x:row r="711">
      <x:c r="A711" s="20" t="str">
        <x:v>R0707</x:v>
      </x:c>
      <x:c r="B711" s="25" t="str">
        <x:v>Probabilistic Plan Recognition for Proactive Assistant Agents</x:v>
      </x:c>
      <x:c r="C711" s="25" t="n">
        <x:v>2014</x:v>
      </x:c>
      <x:c r="D711" s="25" t="str">
        <x:v>Jean Oh; Felipe Meneguzzi; Katia Sycara</x:v>
      </x:c>
      <x:c r="E711" s="25" t="str">
        <x:v>Plan, Activity, and Intent Recognition</x:v>
      </x:c>
      <x:c r="F711" s="25" t="str">
        <x:v>10.1016/b978-0-12-398532-3.00011-7</x:v>
      </x:c>
      <x:c r="G711" s="25" t="str">
        <x:v>https://doi.org/10.1016/b978-0-12-398532-3.00011-7</x:v>
      </x:c>
      <x:c r="H711" s="25" t="str">
        <x:v>Crossref</x:v>
      </x:c>
      <x:c r="I711" s="25" t="str">
        <x:v>C11_hierarchical_goal_recognition</x:v>
      </x:c>
      <x:c r="J711" s="25" t="str">
        <x:v>Exclude</x:v>
      </x:c>
      <x:c r="K711" s="25" t="str">
        <x:v>Exclude: topic mismatch</x:v>
      </x:c>
    </x:row>
    <x:row r="712">
      <x:c r="A712" s="20" t="str">
        <x:v>R0708</x:v>
      </x:c>
      <x:c r="B712" s="25" t="str">
        <x:v>Providing awareness information to support transitions in remote computer-mediated collaboration</x:v>
      </x:c>
      <x:c r="C712" s="25" t="n">
        <x:v>1996</x:v>
      </x:c>
      <x:c r="D712" s="25" t="str">
        <x:v>Susan E. McDaniel</x:v>
      </x:c>
      <x:c r="E712" s="25" t="str">
        <x:v>Conference companion on Human factors in computing systems common ground - CHI '96</x:v>
      </x:c>
      <x:c r="F712" s="25" t="str">
        <x:v>10.1145/257089.257136</x:v>
      </x:c>
      <x:c r="G712" s="25" t="str">
        <x:v>https://doi.org/10.1145/257089.257136</x:v>
      </x:c>
      <x:c r="H712" s="25" t="str">
        <x:v>Crossref</x:v>
      </x:c>
      <x:c r="I712" s="25" t="str">
        <x:v>C12_common_ground_repair</x:v>
      </x:c>
      <x:c r="J712" s="25" t="str">
        <x:v>Exclude</x:v>
      </x:c>
      <x:c r="K712" s="25" t="str">
        <x:v>Exclude: topic mismatch</x:v>
      </x:c>
    </x:row>
    <x:row r="713">
      <x:c r="A713" s="20" t="str">
        <x:v>R0709</x:v>
      </x:c>
      <x:c r="B713" s="25" t="str">
        <x:v>Research in constraint-based layout, visualization, CAD, and related topics : a bibliographical survey</x:v>
      </x:c>
      <x:c r="C713" s="25" t="n">
        <x:v>1995</x:v>
      </x:c>
      <x:c r="D713" s="25" t="str">
        <x:v>Walter Hower; Winfried Graf</x:v>
      </x:c>
      <x:c r="E713" s="25" t="str">
        <x:v>Publications of the UdS (Saarland University)</x:v>
      </x:c>
      <x:c r="F713" s="25" t="str">
        <x:v>10.22028/d291-24966</x:v>
      </x:c>
      <x:c r="G713" s="25" t="str">
        <x:v>http://doi.org/10.22028/D291-24966</x:v>
      </x:c>
      <x:c r="H713" s="25" t="str">
        <x:v>OpenAlex</x:v>
      </x:c>
      <x:c r="I713" s="25" t="str">
        <x:v>C13_CAD_design_intent</x:v>
      </x:c>
      <x:c r="J713" s="25" t="str">
        <x:v>Exclude</x:v>
      </x:c>
      <x:c r="K713" s="25" t="str">
        <x:v>Exclude: topic mismatch</x:v>
      </x:c>
    </x:row>
    <x:row r="714">
      <x:c r="A714" s="20" t="str">
        <x:v>R0710</x:v>
      </x:c>
      <x:c r="B714" s="25" t="str">
        <x:v>Sculpt-to-Image: Exploring Clay-based Sculpting to Support Human-AI-Co-Creation of Images</x:v>
      </x:c>
      <x:c r="C714" s="25" t="n">
        <x:v>2025</x:v>
      </x:c>
      <x:c r="D714" s="25" t="str">
        <x:v>Lisa Hesselbarth; Nina Wenig; Tanja Döring; Rainer Malaka</x:v>
      </x:c>
      <x:c r="E714" s="25" t="str">
        <x:v>Proceedings of the 2025 Conference on Creativity and Cognition</x:v>
      </x:c>
      <x:c r="F714" s="25" t="str">
        <x:v>10.1145/3698061.3734408</x:v>
      </x:c>
      <x:c r="G714" s="25" t="str">
        <x:v>https://doi.org/10.1145/3698061.3734408</x:v>
      </x:c>
      <x:c r="H714" s="25" t="str">
        <x:v>Crossref</x:v>
      </x:c>
      <x:c r="I714" s="25" t="str">
        <x:v>C3_mixed_initiative_cocreation</x:v>
      </x:c>
      <x:c r="J714" s="25" t="str">
        <x:v>Exclude</x:v>
      </x:c>
      <x:c r="K714" s="25" t="str">
        <x:v>Exclude: topic mismatch</x:v>
      </x:c>
    </x:row>
    <x:row r="715">
      <x:c r="A715" s="20" t="str">
        <x:v>R0711</x:v>
      </x:c>
      <x:c r="B715" s="25" t="str">
        <x:v>Spatial user interface : augmenting human sensibilities in a domestic kitchen</x:v>
      </x:c>
      <x:c r="C715" s="25" t="n">
        <x:v>2005</x:v>
      </x:c>
      <x:c r="D715" s="25" t="str">
        <x:v>Jackie Chia-Hsun Lee</x:v>
      </x:c>
      <x:c r="E715" s="25" t="str">
        <x:v>DSpace@MIT (Massachusetts Institute of Technology)</x:v>
      </x:c>
      <x:c r="F715" s="25" t="str"/>
      <x:c r="G715" s="25" t="str">
        <x:v>http://hdl.handle.net/1721.1/33887</x:v>
      </x:c>
      <x:c r="H715" s="25" t="str">
        <x:v>OpenAlex</x:v>
      </x:c>
      <x:c r="I715" s="25" t="str">
        <x:v>C6_frontend_GUI_intent</x:v>
      </x:c>
      <x:c r="J715" s="25" t="str">
        <x:v>Exclude</x:v>
      </x:c>
      <x:c r="K715" s="25" t="str">
        <x:v>Exclude: topic mismatch</x:v>
      </x:c>
    </x:row>
    <x:row r="716">
      <x:c r="A716" s="20" t="str">
        <x:v>R0712</x:v>
      </x:c>
      <x:c r="B716" s="25" t="str">
        <x:v>The 4Es and the 4As (Affect, Agency, Affordance, Autonomy) in the Meshed Architecture of Social Cognition</x:v>
      </x:c>
      <x:c r="C716" s="25" t="n">
        <x:v>2021</x:v>
      </x:c>
      <x:c r="D716" s="25" t="str">
        <x:v>Shaun Gallagher</x:v>
      </x:c>
      <x:c r="E716" s="25" t="str">
        <x:v>Handbook of Embodied Psychology</x:v>
      </x:c>
      <x:c r="F716" s="25" t="str">
        <x:v>10.1007/978-3-030-78471-3_16</x:v>
      </x:c>
      <x:c r="G716" s="25" t="str">
        <x:v>https://doi.org/10.1007/978-3-030-78471-3_16</x:v>
      </x:c>
      <x:c r="H716" s="25" t="str">
        <x:v>Crossref</x:v>
      </x:c>
      <x:c r="I716" s="25" t="str">
        <x:v>C10_affordance_embodied</x:v>
      </x:c>
      <x:c r="J716" s="25" t="str">
        <x:v>Exclude</x:v>
      </x:c>
      <x:c r="K716" s="25" t="str">
        <x:v>Exclude: adjacent/redundant or insufficiently theory-generative for DC1</x:v>
      </x:c>
    </x:row>
    <x:row r="717">
      <x:c r="A717" s="20" t="str">
        <x:v>R0713</x:v>
      </x:c>
      <x:c r="B717" s="25" t="str">
        <x:v>Towards Scientific Intelligence: A Survey of LLM-based Scientific Agents</x:v>
      </x:c>
      <x:c r="C717" s="25" t="n">
        <x:v>2025</x:v>
      </x:c>
      <x:c r="D717" s="25" t="str">
        <x:v>Shengwei Ren; Can Xie; Jian Pu; Ren, Zhenjiang; Leng, Chunlin; Jiajun Zhang</x:v>
      </x:c>
      <x:c r="E717" s="25" t="str">
        <x:v>arXiv (Cornell University)</x:v>
      </x:c>
      <x:c r="F717" s="25" t="str">
        <x:v>10.48550/arxiv.2503.24047</x:v>
      </x:c>
      <x:c r="G717" s="25" t="str">
        <x:v>http://arxiv.org/abs/2503.24047</x:v>
      </x:c>
      <x:c r="H717" s="25" t="str">
        <x:v>OpenAlex</x:v>
      </x:c>
      <x:c r="I717" s="25" t="str">
        <x:v>C16_memory_conflict_bias; C5_agent_memory</x:v>
      </x:c>
      <x:c r="J717" s="25" t="str">
        <x:v>Exclude</x:v>
      </x:c>
      <x:c r="K717" s="25" t="str">
        <x:v>Exclude: topic mismatch</x:v>
      </x:c>
    </x:row>
    <x:row r="718">
      <x:c r="A718" s="20" t="str">
        <x:v>R0714</x:v>
      </x:c>
      <x:c r="B718" s="25" t="str">
        <x:v>Working with troubles and failures in conversation between humans and robots: workshop report</x:v>
      </x:c>
      <x:c r="C718" s="25" t="n">
        <x:v>2023</x:v>
      </x:c>
      <x:c r="D718" s="25" t="str">
        <x:v>Frank Förster; Marta Romeo; Patrick Holthaus; Luke Wood; Christian Dondrup; Joel E. Fischer; Farhana Ferdousi Liza; Sara Kaszuba; Julian Hough; Birthe Nesset; Daniel Hernández García; Dimosthenis Kontogiorgos; Jennifer Williams; Elif Ecem Özkan; Pepita Barnard; Gustavo Berumen; Dominic Price; Sue Cobb; Martina Wiltschko; Lucien Tisserand; Martin Porcheron; Manuel Giuliani; Gabriel Skantze; Patrick G. T. Healey; Ioannis Papaioannou; Dimitra Gkatzia; Saul Albert; Guanyu Huang; Vladislav Maraev; Epaminondas Kapetanios</x:v>
      </x:c>
      <x:c r="E718" s="25" t="str">
        <x:v>Frontiers in Robotics and AI</x:v>
      </x:c>
      <x:c r="F718" s="25" t="str">
        <x:v>10.3389/frobt.2023.1202306</x:v>
      </x:c>
      <x:c r="G718" s="25" t="str">
        <x:v>https://doi.org/10.3389/frobt.2023.1202306</x:v>
      </x:c>
      <x:c r="H718" s="25" t="str">
        <x:v>OpenAlex</x:v>
      </x:c>
      <x:c r="I718" s="25" t="str">
        <x:v>C12_common_ground_repair</x:v>
      </x:c>
      <x:c r="J718" s="25" t="str">
        <x:v>Exclude</x:v>
      </x:c>
      <x:c r="K718" s="25" t="str">
        <x:v>Exclude: topic mismatch</x:v>
      </x:c>
    </x:row>
    <x:row r="719">
      <x:c r="A719" s="20" t="str">
        <x:v>R0715</x:v>
      </x:c>
      <x:c r="B719" s="25" t="str">
        <x:v>A Negotiation-Theoretic Framework for Control Authority Transfer in Mixed-Initiative Robotic Systems</x:v>
      </x:c>
      <x:c r="C719" s="25" t="n">
        <x:v>2022</x:v>
      </x:c>
      <x:c r="D719" s="25" t="str">
        <x:v>Simon Rothfus; Manolis Chiou; Jairo Inga; Soren Hohmann; Rustam Stolkin</x:v>
      </x:c>
      <x:c r="E719" s="25" t="str">
        <x:v>2022 IEEE International Conference on Systems, Man, and Cybernetics (SMC)</x:v>
      </x:c>
      <x:c r="F719" s="25" t="str">
        <x:v>10.1109/smc53654.2022.9945196</x:v>
      </x:c>
      <x:c r="G719" s="25" t="str">
        <x:v>https://doi.org/10.1109/smc53654.2022.9945196</x:v>
      </x:c>
      <x:c r="H719" s="25" t="str">
        <x:v>Crossref</x:v>
      </x:c>
      <x:c r="I719" s="25" t="str">
        <x:v>C9_human_agent_handoff</x:v>
      </x:c>
      <x:c r="J719" s="25" t="str">
        <x:v>Include</x:v>
      </x:c>
      <x:c r="K719" s="25" t="str">
        <x:v>Included in focused synthesis</x:v>
      </x:c>
    </x:row>
    <x:row r="720">
      <x:c r="A720" s="20" t="str">
        <x:v>R0716</x:v>
      </x:c>
      <x:c r="B720" s="25" t="str">
        <x:v>A Survey on Deep Learning in 3D CAD Reconstruction</x:v>
      </x:c>
      <x:c r="C720" s="25" t="n">
        <x:v>2025</x:v>
      </x:c>
      <x:c r="D720" s="25" t="str">
        <x:v>Ruiquan Lin; Yonggang Ji; Wanting Ding; Tianxiang Wu; Y. S. Zhu; Mengxi Jiang</x:v>
      </x:c>
      <x:c r="E720" s="25" t="str">
        <x:v>Applied Sciences</x:v>
      </x:c>
      <x:c r="F720" s="25" t="str">
        <x:v>10.3390/app15126681</x:v>
      </x:c>
      <x:c r="G720" s="25" t="str">
        <x:v>https://doi.org/10.3390/app15126681</x:v>
      </x:c>
      <x:c r="H720" s="25" t="str">
        <x:v>OpenAlex</x:v>
      </x:c>
      <x:c r="I720" s="25" t="str">
        <x:v>C13_CAD_design_intent</x:v>
      </x:c>
      <x:c r="J720" s="25" t="str">
        <x:v>Exclude</x:v>
      </x:c>
      <x:c r="K720" s="25" t="str">
        <x:v>Exclude: adjacent/redundant or insufficiently theory-generative for DC1</x:v>
      </x:c>
    </x:row>
    <x:row r="721">
      <x:c r="A721" s="20" t="str">
        <x:v>R0717</x:v>
      </x:c>
      <x:c r="B721" s="25" t="str">
        <x:v>A design toolkit for task support with mixed reality and artificial intelligence</x:v>
      </x:c>
      <x:c r="C721" s="25" t="n">
        <x:v>2025</x:v>
      </x:c>
      <x:c r="D721" s="25" t="str">
        <x:v>Arthur Caetano; Alejandro Aponte; Misha Sra</x:v>
      </x:c>
      <x:c r="E721" s="25" t="str">
        <x:v>Frontiers in Virtual Reality</x:v>
      </x:c>
      <x:c r="F721" s="25" t="str">
        <x:v>10.3389/frvir.2025.1536393</x:v>
      </x:c>
      <x:c r="G721" s="25" t="str">
        <x:v>https://doi.org/10.3389/frvir.2025.1536393</x:v>
      </x:c>
      <x:c r="H721" s="25" t="str">
        <x:v>OpenAlex</x:v>
      </x:c>
      <x:c r="I721" s="25" t="str">
        <x:v>C15_proactive_interruption</x:v>
      </x:c>
      <x:c r="J721" s="25" t="str">
        <x:v>Exclude</x:v>
      </x:c>
      <x:c r="K721" s="25" t="str">
        <x:v>Exclude: topic mismatch</x:v>
      </x:c>
    </x:row>
    <x:row r="722">
      <x:c r="A722" s="20" t="str">
        <x:v>R0718</x:v>
      </x:c>
      <x:c r="B722" s="25" t="str">
        <x:v>An Approach to Mixed Initiative Spoken Information Retrieval Dialogue</x:v>
      </x:c>
      <x:c r="C722" s="25" t="n">
        <x:v>1999</x:v>
      </x:c>
      <x:c r="D722" s="25" t="str">
        <x:v>Eli Hagen</x:v>
      </x:c>
      <x:c r="E722" s="25" t="str">
        <x:v>Computational Models of Mixed-Initiative Interaction</x:v>
      </x:c>
      <x:c r="F722" s="25" t="str">
        <x:v>10.1007/978-94-017-1118-0_10</x:v>
      </x:c>
      <x:c r="G722" s="25" t="str">
        <x:v>https://doi.org/10.1007/978-94-017-1118-0_10</x:v>
      </x:c>
      <x:c r="H722" s="25" t="str">
        <x:v>Crossref</x:v>
      </x:c>
      <x:c r="I722" s="25" t="str">
        <x:v>C15_proactive_interruption</x:v>
      </x:c>
      <x:c r="J722" s="25" t="str">
        <x:v>Exclude</x:v>
      </x:c>
      <x:c r="K722" s="25" t="str">
        <x:v>Exclude: adjacent/redundant or insufficiently theory-generative for DC1</x:v>
      </x:c>
    </x:row>
    <x:row r="723">
      <x:c r="A723" s="20" t="str">
        <x:v>R0719</x:v>
      </x:c>
      <x:c r="B723" s="25" t="str">
        <x:v>Boosting Mixed-Initiative Co-Creativity in Game Design: A Tutorial</x:v>
      </x:c>
      <x:c r="C723" s="25" t="n">
        <x:v>2024</x:v>
      </x:c>
      <x:c r="D723" s="25" t="str">
        <x:v>Solange Margarido; Licínio Roque; Penousal Machado; Pedro Martins</x:v>
      </x:c>
      <x:c r="E723" s="25" t="str">
        <x:v>arXiv (Cornell University)</x:v>
      </x:c>
      <x:c r="F723" s="25" t="str">
        <x:v>10.48550/arxiv.2401.05999</x:v>
      </x:c>
      <x:c r="G723" s="25" t="str">
        <x:v>http://arxiv.org/abs/2401.05999</x:v>
      </x:c>
      <x:c r="H723" s="25" t="str">
        <x:v>OpenAlex</x:v>
      </x:c>
      <x:c r="I723" s="25" t="str">
        <x:v>C15_proactive_interruption</x:v>
      </x:c>
      <x:c r="J723" s="25" t="str">
        <x:v>Exclude</x:v>
      </x:c>
      <x:c r="K723" s="25" t="str">
        <x:v>Exclude: adjacent/redundant or insufficiently theory-generative for DC1</x:v>
      </x:c>
    </x:row>
    <x:row r="724">
      <x:c r="A724" s="20" t="str">
        <x:v>R0720</x:v>
      </x:c>
      <x:c r="B724" s="25" t="str">
        <x:v>Brain-inspired Artificial Intelligence: A Comprehensive Review</x:v>
      </x:c>
      <x:c r="C724" s="25" t="n">
        <x:v>2024</x:v>
      </x:c>
      <x:c r="D724" s="25" t="str">
        <x:v>Jing Ren; Xia, Feng</x:v>
      </x:c>
      <x:c r="E724" s="25" t="str">
        <x:v>arXiv (Cornell University)</x:v>
      </x:c>
      <x:c r="F724" s="25" t="str">
        <x:v>10.48550/arxiv.2408.14811</x:v>
      </x:c>
      <x:c r="G724" s="25" t="str">
        <x:v>http://arxiv.org/abs/2408.14811</x:v>
      </x:c>
      <x:c r="H724" s="25" t="str">
        <x:v>OpenAlex</x:v>
      </x:c>
      <x:c r="I724" s="25" t="str">
        <x:v>C18_video_intent_coding_VLM_annotation</x:v>
      </x:c>
      <x:c r="J724" s="25" t="str">
        <x:v>Exclude</x:v>
      </x:c>
      <x:c r="K724" s="25" t="str">
        <x:v>Exclude: adjacent/redundant or insufficiently theory-generative for DC1</x:v>
      </x:c>
    </x:row>
    <x:row r="725">
      <x:c r="A725" s="20" t="str">
        <x:v>R0721</x:v>
      </x:c>
      <x:c r="B725" s="25" t="str">
        <x:v>Embodied Cognition Guides Virtual-Real Interaction Design to Help Yicheng Flower Drum Intangible Cultural Heritage Dissemination</x:v>
      </x:c>
      <x:c r="C725" s="25" t="n">
        <x:v>2023</x:v>
      </x:c>
      <x:c r="D725" s="25" t="str">
        <x:v>Yuhan Ma; Weiran Zhao; Xiaolin Zhang; Ze Gao</x:v>
      </x:c>
      <x:c r="E725" s="25" t="str">
        <x:v>2023 Asia Conference on Cognitive Engineering and Intelligent Interaction (CEII)</x:v>
      </x:c>
      <x:c r="F725" s="25" t="str">
        <x:v>10.1109/ceii60565.2023.00009</x:v>
      </x:c>
      <x:c r="G725" s="25" t="str">
        <x:v>https://doi.org/10.1109/ceii60565.2023.00009</x:v>
      </x:c>
      <x:c r="H725" s="25" t="str">
        <x:v>Crossref</x:v>
      </x:c>
      <x:c r="I725" s="25" t="str">
        <x:v>C10_affordance_embodied</x:v>
      </x:c>
      <x:c r="J725" s="25" t="str">
        <x:v>Exclude</x:v>
      </x:c>
      <x:c r="K725" s="25" t="str">
        <x:v>Exclude: topic mismatch</x:v>
      </x:c>
    </x:row>
    <x:row r="726">
      <x:c r="A726" s="20" t="str">
        <x:v>R0722</x:v>
      </x:c>
      <x:c r="B726" s="25" t="str">
        <x:v>Flight deck human-automation issue detection via intent inference</x:v>
      </x:c>
      <x:c r="C726" s="25" t="n">
        <x:v>2014</x:v>
      </x:c>
      <x:c r="D726" s="25" t="str">
        <x:v>Sangjin Lee; Inseok Hwang; Kenneth Leiden</x:v>
      </x:c>
      <x:c r="E726" s="25" t="str">
        <x:v>Proceedings of the International Conference on Human-Computer Interaction in Aerospace</x:v>
      </x:c>
      <x:c r="F726" s="25" t="str">
        <x:v>10.1145/2669592.2669690</x:v>
      </x:c>
      <x:c r="G726" s="25" t="str">
        <x:v>https://doi.org/10.1145/2669592.2669690</x:v>
      </x:c>
      <x:c r="H726" s="25" t="str">
        <x:v>Crossref</x:v>
      </x:c>
      <x:c r="I726" s="25" t="str">
        <x:v>C2_interaction_signals; C4_uncertainty_shared_autonomy</x:v>
      </x:c>
      <x:c r="J726" s="25" t="str">
        <x:v>Exclude</x:v>
      </x:c>
      <x:c r="K726" s="25" t="str">
        <x:v>Exclude: adjacent/redundant or insufficiently theory-generative for DC1</x:v>
      </x:c>
    </x:row>
    <x:row r="727">
      <x:c r="A727" s="20" t="str">
        <x:v>R0723</x:v>
      </x:c>
      <x:c r="B727" s="25" t="str">
        <x:v>Hybrid sketching: a new middle ground between 2- and 3-d</x:v>
      </x:c>
      <x:c r="C727" s="25" t="n">
        <x:v>2005</x:v>
      </x:c>
      <x:c r="D727" s="25" t="str">
        <x:v>E. John Alex; Julie Dorsey; William L. Porter</x:v>
      </x:c>
      <x:c r="E727" s="25" t="str">
        <x:v>DSpace@MIT (Massachusetts Institute of Technology)</x:v>
      </x:c>
      <x:c r="F727" s="25" t="str"/>
      <x:c r="G727" s="25" t="str">
        <x:v>http://hdl.handle.net/1721.1/28749</x:v>
      </x:c>
      <x:c r="H727" s="25" t="str">
        <x:v>OpenAlex</x:v>
      </x:c>
      <x:c r="I727" s="25" t="str">
        <x:v>C17_3D_gesture_ambiguity</x:v>
      </x:c>
      <x:c r="J727" s="25" t="str">
        <x:v>Exclude</x:v>
      </x:c>
      <x:c r="K727" s="25" t="str">
        <x:v>Exclude: topic mismatch</x:v>
      </x:c>
    </x:row>
    <x:row r="728">
      <x:c r="A728" s="20" t="str">
        <x:v>R0724</x:v>
      </x:c>
      <x:c r="B728" s="25" t="str">
        <x:v>Interaction with constraints in 3D modeling</x:v>
      </x:c>
      <x:c r="C728" s="25" t="n">
        <x:v>1991</x:v>
      </x:c>
      <x:c r="D728" s="25" t="str">
        <x:v>Wolfgang Sohrt; Beat D. Brüderlin</x:v>
      </x:c>
      <x:c r="E728" s="25" t="str">
        <x:v>Proceedings of the first ACM symposium on Solid modeling foundations and CAD/CAM applications  - SMA '91</x:v>
      </x:c>
      <x:c r="F728" s="25" t="str">
        <x:v>10.1145/112515.112570</x:v>
      </x:c>
      <x:c r="G728" s="25" t="str">
        <x:v>https://doi.org/10.1145/112515.112570</x:v>
      </x:c>
      <x:c r="H728" s="25" t="str">
        <x:v>Crossref</x:v>
      </x:c>
      <x:c r="I728" s="25" t="str">
        <x:v>C13_CAD_design_intent</x:v>
      </x:c>
      <x:c r="J728" s="25" t="str">
        <x:v>Exclude</x:v>
      </x:c>
      <x:c r="K728" s="25" t="str">
        <x:v>Exclude: adjacent/redundant or insufficiently theory-generative for DC1</x:v>
      </x:c>
    </x:row>
    <x:row r="729">
      <x:c r="A729" s="20" t="str">
        <x:v>R0725</x:v>
      </x:c>
      <x:c r="B729" s="25" t="str">
        <x:v>Long Term Memory: The Foundation of AI Self-Evolution</x:v>
      </x:c>
      <x:c r="C729" s="25" t="n">
        <x:v>2024</x:v>
      </x:c>
      <x:c r="D729" s="25" t="str">
        <x:v>Xun Jiang; Feng Li; Han Zhao; Qiu, Jiahao; Jiaying Wang; Jun Shao; Shihao Xu; Shu Zhang; Weiling Chen; Tang, Xavier; Yize Chen; Mengyue Wu; Weizhi Ma; Mengdi Wang; Tianqiao Chen</x:v>
      </x:c>
      <x:c r="E729" s="25" t="str">
        <x:v>arXiv (Cornell University)</x:v>
      </x:c>
      <x:c r="F729" s="25" t="str">
        <x:v>10.48550/arxiv.2410.15665</x:v>
      </x:c>
      <x:c r="G729" s="25" t="str">
        <x:v>http://arxiv.org/abs/2410.15665</x:v>
      </x:c>
      <x:c r="H729" s="25" t="str">
        <x:v>OpenAlex</x:v>
      </x:c>
      <x:c r="I729" s="25" t="str">
        <x:v>C5_agent_memory</x:v>
      </x:c>
      <x:c r="J729" s="25" t="str">
        <x:v>Exclude</x:v>
      </x:c>
      <x:c r="K729" s="25" t="str">
        <x:v>Exclude: adjacent/redundant or insufficiently theory-generative for DC1</x:v>
      </x:c>
    </x:row>
    <x:row r="730">
      <x:c r="A730" s="20" t="str">
        <x:v>R0726</x:v>
      </x:c>
      <x:c r="B730" s="25" t="str">
        <x:v>Procedural Memory Is Not All You Need</x:v>
      </x:c>
      <x:c r="C730" s="25" t="n">
        <x:v>2025</x:v>
      </x:c>
      <x:c r="D730" s="25" t="str">
        <x:v>Schaun Wheeler; Olivier Jeunen</x:v>
      </x:c>
      <x:c r="E730" s="25" t="str"/>
      <x:c r="F730" s="25" t="str">
        <x:v>10.1145/3708319.3734172</x:v>
      </x:c>
      <x:c r="G730" s="25" t="str">
        <x:v>https://doi.org/10.1145/3708319.3734172</x:v>
      </x:c>
      <x:c r="H730" s="25" t="str">
        <x:v>OpenAlex</x:v>
      </x:c>
      <x:c r="I730" s="25" t="str">
        <x:v>C5_agent_memory</x:v>
      </x:c>
      <x:c r="J730" s="25" t="str">
        <x:v>Exclude</x:v>
      </x:c>
      <x:c r="K730" s="25" t="str">
        <x:v>Exclude: adjacent/redundant or insufficiently theory-generative for DC1</x:v>
      </x:c>
    </x:row>
    <x:row r="731">
      <x:c r="A731" s="20" t="str">
        <x:v>R0727</x:v>
      </x:c>
      <x:c r="B731" s="25" t="str">
        <x:v>Rotordynamic Analysis Using 3D Elements in Fixed and Rotating Reference Frame</x:v>
      </x:c>
      <x:c r="C731" s="25" t="n">
        <x:v>2016</x:v>
      </x:c>
      <x:c r="D731" s="25" t="str">
        <x:v>Devesh Kumar</x:v>
      </x:c>
      <x:c r="E731" s="25" t="str">
        <x:v>Volume 1: Advances in Aerospace Technology</x:v>
      </x:c>
      <x:c r="F731" s="25" t="str">
        <x:v>10.1115/imece2016-67043</x:v>
      </x:c>
      <x:c r="G731" s="25" t="str">
        <x:v>https://doi.org/10.1115/imece2016-67043</x:v>
      </x:c>
      <x:c r="H731" s="25" t="str">
        <x:v>Crossref</x:v>
      </x:c>
      <x:c r="I731" s="25" t="str">
        <x:v>C17_3D_gesture_ambiguity</x:v>
      </x:c>
      <x:c r="J731" s="25" t="str">
        <x:v>Exclude</x:v>
      </x:c>
      <x:c r="K731" s="25" t="str">
        <x:v>Exclude: adjacent/redundant or insufficiently theory-generative for DC1</x:v>
      </x:c>
    </x:row>
    <x:row r="732">
      <x:c r="A732" s="20" t="str">
        <x:v>R0728</x:v>
      </x:c>
      <x:c r="B732" s="25" t="str">
        <x:v>Semantically Aligned Task Decomposition in Multi-Agent Reinforcement Learning</x:v>
      </x:c>
      <x:c r="C732" s="25" t="n">
        <x:v>2023</x:v>
      </x:c>
      <x:c r="D732" s="25" t="str">
        <x:v>Wenhao Li; Dan Qiao; Baoxiang Wang; Xiangfeng Wang; Bo Jin; Hongyuan Zha</x:v>
      </x:c>
      <x:c r="E732" s="25" t="str">
        <x:v>arXiv (Cornell University)</x:v>
      </x:c>
      <x:c r="F732" s="25" t="str">
        <x:v>10.48550/arxiv.2305.10865</x:v>
      </x:c>
      <x:c r="G732" s="25" t="str">
        <x:v>http://arxiv.org/abs/2305.10865</x:v>
      </x:c>
      <x:c r="H732" s="25" t="str">
        <x:v>OpenAlex</x:v>
      </x:c>
      <x:c r="I732" s="25" t="str">
        <x:v>C5_agent_memory</x:v>
      </x:c>
      <x:c r="J732" s="25" t="str">
        <x:v>Exclude</x:v>
      </x:c>
      <x:c r="K732" s="25" t="str">
        <x:v>Exclude: topic mismatch</x:v>
      </x:c>
    </x:row>
    <x:row r="733">
      <x:c r="A733" s="20" t="str">
        <x:v>R0729</x:v>
      </x:c>
      <x:c r="B733" s="25" t="str">
        <x:v>The Anti-Democratic Major Questions Doctrine</x:v>
      </x:c>
      <x:c r="C733" s="25" t="n">
        <x:v>2023</x:v>
      </x:c>
      <x:c r="D733" s="25" t="str">
        <x:v>Jody Freeman; Matthew C. Stephenson</x:v>
      </x:c>
      <x:c r="E733" s="25" t="str">
        <x:v>The Supreme Court Review</x:v>
      </x:c>
      <x:c r="F733" s="25" t="str">
        <x:v>10.1086/724919</x:v>
      </x:c>
      <x:c r="G733" s="25" t="str">
        <x:v>https://doi.org/10.1086/724919</x:v>
      </x:c>
      <x:c r="H733" s="25" t="str">
        <x:v>OpenAlex</x:v>
      </x:c>
      <x:c r="I733" s="25" t="str">
        <x:v>C17_3D_gesture_ambiguity</x:v>
      </x:c>
      <x:c r="J733" s="25" t="str">
        <x:v>Exclude</x:v>
      </x:c>
      <x:c r="K733" s="25" t="str">
        <x:v>Exclude: topic mismatch</x:v>
      </x:c>
    </x:row>
    <x:row r="734">
      <x:c r="A734" s="20" t="str">
        <x:v>R0730</x:v>
      </x:c>
      <x:c r="B734" s="25" t="str">
        <x:v>The Memorial Culture of Early Modern English Lawyers: Memory as Keyword, Shelter and Identity, 1560-1640</x:v>
      </x:c>
      <x:c r="C734" s="25" t="n">
        <x:v>1998</x:v>
      </x:c>
      <x:c r="D734" s="25" t="str">
        <x:v>Richard J. Ross</x:v>
      </x:c>
      <x:c r="E734" s="25" t="str"/>
      <x:c r="F734" s="25" t="str"/>
      <x:c r="G734" s="25" t="str">
        <x:v>https://digitalcommons.law.yale.edu/yjlh/vol10/iss2/1</x:v>
      </x:c>
      <x:c r="H734" s="25" t="str">
        <x:v>OpenAlex</x:v>
      </x:c>
      <x:c r="I734" s="25" t="str">
        <x:v>C17_3D_gesture_ambiguity</x:v>
      </x:c>
      <x:c r="J734" s="25" t="str">
        <x:v>Exclude</x:v>
      </x:c>
      <x:c r="K734" s="25" t="str">
        <x:v>Exclude: adjacent/redundant or insufficiently theory-generative for DC1</x:v>
      </x:c>
    </x:row>
    <x:row r="735">
      <x:c r="A735" s="20" t="str">
        <x:v>R0731</x:v>
      </x:c>
      <x:c r="B735" s="25" t="str">
        <x:v>The Mosaic of Human-AI Co-Creation: Emerging human-technology relationships in a co-design process with generative AI</x:v>
      </x:c>
      <x:c r="C735" s="25" t="n">
        <x:v>2023</x:v>
      </x:c>
      <x:c r="D735" s="25" t="str">
        <x:v>Henriikka Vartiainen; Päivikki Liukkonen; Matti Tedre</x:v>
      </x:c>
      <x:c r="E735" s="25" t="str"/>
      <x:c r="F735" s="25" t="str">
        <x:v>10.35542/osf.io/g5fb8</x:v>
      </x:c>
      <x:c r="G735" s="25" t="str">
        <x:v>https://doi.org/10.35542/osf.io/g5fb8</x:v>
      </x:c>
      <x:c r="H735" s="25" t="str">
        <x:v>Crossref</x:v>
      </x:c>
      <x:c r="I735" s="25" t="str">
        <x:v>C14_agency_ownership; C3_mixed_initiative_cocreation; C7_creative_agency</x:v>
      </x:c>
      <x:c r="J735" s="25" t="str">
        <x:v>Exclude</x:v>
      </x:c>
      <x:c r="K735" s="25" t="str">
        <x:v>Exclude: topic mismatch</x:v>
      </x:c>
    </x:row>
    <x:row r="736">
      <x:c r="A736" s="20" t="str">
        <x:v>R0732</x:v>
      </x:c>
      <x:c r="B736" s="25" t="str">
        <x:v>The impact of CAAD on design methodology and visual thinking in architectural education</x:v>
      </x:c>
      <x:c r="C736" s="25" t="n">
        <x:v>2011</x:v>
      </x:c>
      <x:c r="D736" s="25" t="str">
        <x:v>Huda Shakir Salman</x:v>
      </x:c>
      <x:c r="E736" s="25" t="str">
        <x:v>Open Access Institutional Repository at Robert Gordon University (Robert Gordon University)</x:v>
      </x:c>
      <x:c r="F736" s="25" t="str"/>
      <x:c r="G736" s="25" t="str">
        <x:v>http://hdl.handle.net/10059/655</x:v>
      </x:c>
      <x:c r="H736" s="25" t="str">
        <x:v>OpenAlex</x:v>
      </x:c>
      <x:c r="I736" s="25" t="str">
        <x:v>C17_3D_gesture_ambiguity</x:v>
      </x:c>
      <x:c r="J736" s="25" t="str">
        <x:v>Exclude</x:v>
      </x:c>
      <x:c r="K736" s="25" t="str">
        <x:v>Exclude: adjacent/redundant or insufficiently theory-generative for DC1</x:v>
      </x:c>
    </x:row>
    <x:row r="737">
      <x:c r="A737" s="20" t="str">
        <x:v>R0733</x:v>
      </x:c>
      <x:c r="B737" s="25" t="str">
        <x:v>Towards Aligning Personalized AI Agents with Users' Privacy Preference</x:v>
      </x:c>
      <x:c r="C737" s="25" t="n">
        <x:v>2025</x:v>
      </x:c>
      <x:c r="D737" s="25" t="str">
        <x:v>Shuning Zhang; Ying Ma; Jingruo Chen; Simin Li; Xin Yi; Hewu Li</x:v>
      </x:c>
      <x:c r="E737" s="25" t="str"/>
      <x:c r="F737" s="25" t="str">
        <x:v>10.1145/3733816.3760752</x:v>
      </x:c>
      <x:c r="G737" s="25" t="str">
        <x:v>https://doi.org/10.1145/3733816.3760752</x:v>
      </x:c>
      <x:c r="H737" s="25" t="str">
        <x:v>OpenAlex</x:v>
      </x:c>
      <x:c r="I737" s="25" t="str">
        <x:v>C6_frontend_GUI_intent</x:v>
      </x:c>
      <x:c r="J737" s="25" t="str">
        <x:v>Exclude</x:v>
      </x:c>
      <x:c r="K737" s="25" t="str">
        <x:v>Exclude: topic mismatch</x:v>
      </x:c>
    </x:row>
    <x:row r="738">
      <x:c r="A738" s="20" t="str">
        <x:v>R0734</x:v>
      </x:c>
      <x:c r="B738" s="25" t="str">
        <x:v>User Intent Inference for Web Search and Conversational Agents</x:v>
      </x:c>
      <x:c r="C738" s="25" t="n">
        <x:v>2020</x:v>
      </x:c>
      <x:c r="D738" s="25" t="str">
        <x:v>Ali Ahmadvand</x:v>
      </x:c>
      <x:c r="E738" s="25" t="str">
        <x:v>Proceedings of the 13th International Conference on Web Search and Data Mining</x:v>
      </x:c>
      <x:c r="F738" s="25" t="str">
        <x:v>10.1145/3336191.3372187</x:v>
      </x:c>
      <x:c r="G738" s="25" t="str">
        <x:v>https://doi.org/10.1145/3336191.3372187</x:v>
      </x:c>
      <x:c r="H738" s="25" t="str">
        <x:v>Crossref</x:v>
      </x:c>
      <x:c r="I738" s="25" t="str">
        <x:v>C2_interaction_signals</x:v>
      </x:c>
      <x:c r="J738" s="25" t="str">
        <x:v>Exclude</x:v>
      </x:c>
      <x:c r="K738" s="25" t="str">
        <x:v>Exclude: adjacent/redundant or insufficiently theory-generative for DC1</x:v>
      </x:c>
    </x:row>
    <x:row r="739">
      <x:c r="A739" s="20" t="str">
        <x:v>R0735</x:v>
      </x:c>
      <x:c r="B739" s="25" t="str">
        <x:v>3D shape constraint for facial feature localization using probabilistic-like output</x:v>
      </x:c>
      <x:c r="C739" s="25" t="str"/>
      <x:c r="D739" s="25" t="str">
        <x:v>Longbin Chen; Lei Zhang; Hongjiang Zhang; M. Abdel-Mottaleb</x:v>
      </x:c>
      <x:c r="E739" s="25" t="str">
        <x:v>Sixth IEEE International Conference on Automatic Face and Gesture Recognition, 2004. Proceedings.</x:v>
      </x:c>
      <x:c r="F739" s="25" t="str">
        <x:v>10.1109/afgr.2004.1301548</x:v>
      </x:c>
      <x:c r="G739" s="25" t="str">
        <x:v>https://doi.org/10.1109/afgr.2004.1301548</x:v>
      </x:c>
      <x:c r="H739" s="25" t="str">
        <x:v>Crossref</x:v>
      </x:c>
      <x:c r="I739" s="25" t="str">
        <x:v>C17_3D_gesture_ambiguity</x:v>
      </x:c>
      <x:c r="J739" s="25" t="str">
        <x:v>Exclude</x:v>
      </x:c>
      <x:c r="K739" s="25" t="str">
        <x:v>Exclude: adjacent/redundant or insufficiently theory-generative for DC1</x:v>
      </x:c>
    </x:row>
    <x:row r="740">
      <x:c r="A740" s="20" t="str">
        <x:v>R0736</x:v>
      </x:c>
      <x:c r="B740" s="25" t="str">
        <x:v>ACCOUNTING FOR EPISODIC, SEMANTIC AND PROCEDURAL MEMORY IN THE RECOMMENDATION ARCHITECTURE COGNITIVE MODEL</x:v>
      </x:c>
      <x:c r="C740" s="25" t="n">
        <x:v>2005</x:v>
      </x:c>
      <x:c r="D740" s="25" t="str">
        <x:v>L. ANDREW COWARD</x:v>
      </x:c>
      <x:c r="E740" s="25" t="str">
        <x:v>Modeling Language, Cognition and Action</x:v>
      </x:c>
      <x:c r="F740" s="25" t="str">
        <x:v>10.1142/9789812701886_0032</x:v>
      </x:c>
      <x:c r="G740" s="25" t="str">
        <x:v>https://doi.org/10.1142/9789812701886_0032</x:v>
      </x:c>
      <x:c r="H740" s="25" t="str">
        <x:v>Crossref</x:v>
      </x:c>
      <x:c r="I740" s="25" t="str">
        <x:v>C5_agent_memory</x:v>
      </x:c>
      <x:c r="J740" s="25" t="str">
        <x:v>Exclude</x:v>
      </x:c>
      <x:c r="K740" s="25" t="str">
        <x:v>Exclude: adjacent/redundant or insufficiently theory-generative for DC1</x:v>
      </x:c>
    </x:row>
    <x:row r="741">
      <x:c r="A741" s="20" t="str">
        <x:v>R0737</x:v>
      </x:c>
      <x:c r="B741" s="25" t="str">
        <x:v>An Evidential Model for Tracking Initiative in Collaborative Dialogue Interactions</x:v>
      </x:c>
      <x:c r="C741" s="25" t="n">
        <x:v>1998</x:v>
      </x:c>
      <x:c r="D741" s="25" t="str">
        <x:v>Jennifer Chu-Carroll; Michael K. Brown</x:v>
      </x:c>
      <x:c r="E741" s="25" t="str">
        <x:v>Computational Models of Mixed-Initiative Interaction</x:v>
      </x:c>
      <x:c r="F741" s="25" t="str">
        <x:v>10.1007/978-94-017-1118-0_2</x:v>
      </x:c>
      <x:c r="G741" s="25" t="str">
        <x:v>https://doi.org/10.1007/978-94-017-1118-0_2</x:v>
      </x:c>
      <x:c r="H741" s="25" t="str">
        <x:v>Crossref</x:v>
      </x:c>
      <x:c r="I741" s="25" t="str">
        <x:v>C15_proactive_interruption</x:v>
      </x:c>
      <x:c r="J741" s="25" t="str">
        <x:v>Exclude</x:v>
      </x:c>
      <x:c r="K741" s="25" t="str">
        <x:v>Exclude: adjacent/redundant or insufficiently theory-generative for DC1</x:v>
      </x:c>
    </x:row>
    <x:row r="742">
      <x:c r="A742" s="20" t="str">
        <x:v>R0738</x:v>
      </x:c>
      <x:c r="B742" s="25" t="str">
        <x:v>AriGraph: Learning Knowledge Graph World Models with Episodic Memory for LLM Agents</x:v>
      </x:c>
      <x:c r="C742" s="25" t="n">
        <x:v>2024</x:v>
      </x:c>
      <x:c r="D742" s="25" t="str">
        <x:v>Petr Anokhin; Nikita Semenov; Artyom Sorokin; Dmitry Evseev; Kravchenko, Andrey; Mikhail Burtsev; Evgeny Burnaev</x:v>
      </x:c>
      <x:c r="E742" s="25" t="str">
        <x:v>arXiv (Cornell University)</x:v>
      </x:c>
      <x:c r="F742" s="25" t="str">
        <x:v>10.48550/arxiv.2407.04363</x:v>
      </x:c>
      <x:c r="G742" s="25" t="str">
        <x:v>http://arxiv.org/abs/2407.04363</x:v>
      </x:c>
      <x:c r="H742" s="25" t="str">
        <x:v>OpenAlex</x:v>
      </x:c>
      <x:c r="I742" s="25" t="str">
        <x:v>C5_agent_memory</x:v>
      </x:c>
      <x:c r="J742" s="25" t="str">
        <x:v>Exclude</x:v>
      </x:c>
      <x:c r="K742" s="25" t="str">
        <x:v>Exclude: adjacent/redundant or insufficiently theory-generative for DC1</x:v>
      </x:c>
    </x:row>
    <x:row r="743">
      <x:c r="A743" s="20" t="str">
        <x:v>R0739</x:v>
      </x:c>
      <x:c r="B743" s="25" t="str">
        <x:v>Beyond Common Ground: A Transdisciplinary Approach to
                        Interdisciplinary Communication and Collaboration</x:v>
      </x:c>
      <x:c r="C743" s="25" t="n">
        <x:v>2014</x:v>
      </x:c>
      <x:c r="D743" s="25" t="str">
        <x:v>David A. Stone</x:v>
      </x:c>
      <x:c r="E743" s="25" t="str">
        <x:v>Enhancing Communication &amp;amp; Collaboration in Interdisciplinary
                    Research</x:v>
      </x:c>
      <x:c r="F743" s="25" t="str">
        <x:v>10.4135/9781483352947.n5</x:v>
      </x:c>
      <x:c r="G743" s="25" t="str">
        <x:v>https://doi.org/10.4135/9781483352947.n5</x:v>
      </x:c>
      <x:c r="H743" s="25" t="str">
        <x:v>Crossref</x:v>
      </x:c>
      <x:c r="I743" s="25" t="str">
        <x:v>C12_common_ground_repair</x:v>
      </x:c>
      <x:c r="J743" s="25" t="str">
        <x:v>Exclude</x:v>
      </x:c>
      <x:c r="K743" s="25" t="str">
        <x:v>Exclude: topic mismatch</x:v>
      </x:c>
    </x:row>
    <x:row r="744">
      <x:c r="A744" s="20" t="str">
        <x:v>R0740</x:v>
      </x:c>
      <x:c r="B744" s="25" t="str">
        <x:v>Data Analysis in the Era of Generative AI</x:v>
      </x:c>
      <x:c r="C744" s="25" t="n">
        <x:v>2024</x:v>
      </x:c>
      <x:c r="D744" s="25" t="str">
        <x:v>Jeevana Priya Inala; Chenglong Wang; Steven M. Drucker; Gonzalo Ramos; Victor Dibia; Nathalie Henry Riche; Dave Brown; Dan Marshall; Jianfeng Gao</x:v>
      </x:c>
      <x:c r="E744" s="25" t="str">
        <x:v>arXiv (Cornell University)</x:v>
      </x:c>
      <x:c r="F744" s="25" t="str">
        <x:v>10.48550/arxiv.2409.18475</x:v>
      </x:c>
      <x:c r="G744" s="25" t="str">
        <x:v>http://arxiv.org/abs/2409.18475</x:v>
      </x:c>
      <x:c r="H744" s="25" t="str">
        <x:v>OpenAlex</x:v>
      </x:c>
      <x:c r="I744" s="25" t="str">
        <x:v>C12_common_ground_repair</x:v>
      </x:c>
      <x:c r="J744" s="25" t="str">
        <x:v>Exclude</x:v>
      </x:c>
      <x:c r="K744" s="25" t="str">
        <x:v>Exclude: adjacent/redundant or insufficiently theory-generative for DC1</x:v>
      </x:c>
    </x:row>
    <x:row r="745">
      <x:c r="A745" s="20" t="str">
        <x:v>R0741</x:v>
      </x:c>
      <x:c r="B745" s="25" t="str">
        <x:v>Direct Manipulation User Interface</x:v>
      </x:c>
      <x:c r="C745" s="25" t="n">
        <x:v>1992</x:v>
      </x:c>
      <x:c r="D745" s="25" t="str">
        <x:v>Claus Görner; Paulus Vossen; Jürgen Ziegler</x:v>
      </x:c>
      <x:c r="E745" s="25" t="str">
        <x:v>Human Factors in Information Technology</x:v>
      </x:c>
      <x:c r="F745" s="25" t="str">
        <x:v>10.1016/b978-0-444-89301-7.50014-9</x:v>
      </x:c>
      <x:c r="G745" s="25" t="str">
        <x:v>https://doi.org/10.1016/b978-0-444-89301-7.50014-9</x:v>
      </x:c>
      <x:c r="H745" s="25" t="str">
        <x:v>Crossref</x:v>
      </x:c>
      <x:c r="I745" s="25" t="str">
        <x:v>C1_3D_mental_models</x:v>
      </x:c>
      <x:c r="J745" s="25" t="str">
        <x:v>Exclude</x:v>
      </x:c>
      <x:c r="K745" s="25" t="str">
        <x:v>Exclude: adjacent/redundant or insufficiently theory-generative for DC1</x:v>
      </x:c>
    </x:row>
    <x:row r="746">
      <x:c r="A746" s="20" t="str">
        <x:v>R0742</x:v>
      </x:c>
      <x:c r="B746" s="25" t="str">
        <x:v>Elevated level design intent and behavior driven feature definition for product modeling</x:v>
      </x:c>
      <x:c r="C746" s="25" t="n">
        <x:v>2013</x:v>
      </x:c>
      <x:c r="D746" s="25" t="str">
        <x:v>Laszlo Horvath; Imre J. Rudas</x:v>
      </x:c>
      <x:c r="E746" s="25" t="str">
        <x:v>IECON 2013 - 39th Annual Conference of the IEEE Industrial Electronics Society</x:v>
      </x:c>
      <x:c r="F746" s="25" t="str">
        <x:v>10.1109/iecon.2013.6699839</x:v>
      </x:c>
      <x:c r="G746" s="25" t="str">
        <x:v>https://doi.org/10.1109/iecon.2013.6699839</x:v>
      </x:c>
      <x:c r="H746" s="25" t="str">
        <x:v>Crossref</x:v>
      </x:c>
      <x:c r="I746" s="25" t="str">
        <x:v>C13_CAD_design_intent</x:v>
      </x:c>
      <x:c r="J746" s="25" t="str">
        <x:v>Exclude</x:v>
      </x:c>
      <x:c r="K746" s="25" t="str">
        <x:v>Exclude: adjacent/redundant or insufficiently theory-generative for DC1</x:v>
      </x:c>
    </x:row>
    <x:row r="747">
      <x:c r="A747" s="20" t="str">
        <x:v>R0743</x:v>
      </x:c>
      <x:c r="B747" s="25" t="str">
        <x:v>Feature-based validation reasoning for intent-driven engineering design</x:v>
      </x:c>
      <x:c r="C747" s="25" t="n">
        <x:v>1998</x:v>
      </x:c>
      <x:c r="D747" s="25" t="str">
        <x:v>Marcelo da Silva Hounsell</x:v>
      </x:c>
      <x:c r="E747" s="25" t="str">
        <x:v>Figshare</x:v>
      </x:c>
      <x:c r="F747" s="25" t="str"/>
      <x:c r="G747" s="25" t="str">
        <x:v>https://openalex.org/W2805589021</x:v>
      </x:c>
      <x:c r="H747" s="25" t="str">
        <x:v>OpenAlex</x:v>
      </x:c>
      <x:c r="I747" s="25" t="str">
        <x:v>C13_CAD_design_intent</x:v>
      </x:c>
      <x:c r="J747" s="25" t="str">
        <x:v>Exclude</x:v>
      </x:c>
      <x:c r="K747" s="25" t="str">
        <x:v>Exclude: adjacent/redundant or insufficiently theory-generative for DC1</x:v>
      </x:c>
    </x:row>
    <x:row r="748">
      <x:c r="A748" s="20" t="str">
        <x:v>R0744</x:v>
      </x:c>
      <x:c r="B748" s="25" t="str">
        <x:v>GABAA receptor-mediated seizure liabilities: a mixed-methods screening approach</x:v>
      </x:c>
      <x:c r="C748" s="25" t="n">
        <x:v>2023</x:v>
      </x:c>
      <x:c r="D748" s="25" t="str">
        <x:v>Konstantina Bampali; Filip Koniuszewski; Florian D. Vogel; Jure Fabjan; Christos Andronis; Eftychia Lekka; Vassilis Virvillis; Thomas Seidel; Annie Delaunois; Leandro Royer; Michael G. Rolf; Chiara Giuliano; Martin Traebert; Gautier Roussignol; Magali Fric-Bordat; Ludmilla Mazelin-Winum; Sharon D. Bryant; Thierry Langer; Margot Ernst</x:v>
      </x:c>
      <x:c r="E748" s="25" t="str">
        <x:v>Cell Biology and Toxicology</x:v>
      </x:c>
      <x:c r="F748" s="25" t="str">
        <x:v>10.1007/s10565-023-09803-y</x:v>
      </x:c>
      <x:c r="G748" s="25" t="str">
        <x:v>https://doi.org/10.1007/s10565-023-09803-y</x:v>
      </x:c>
      <x:c r="H748" s="25" t="str">
        <x:v>Crossref</x:v>
      </x:c>
      <x:c r="I748" s="25" t="str">
        <x:v>C15_proactive_interruption</x:v>
      </x:c>
      <x:c r="J748" s="25" t="str">
        <x:v>Exclude</x:v>
      </x:c>
      <x:c r="K748" s="25" t="str">
        <x:v>Exclude: adjacent/redundant or insufficiently theory-generative for DC1</x:v>
      </x:c>
    </x:row>
    <x:row r="749">
      <x:c r="A749" s="20" t="str">
        <x:v>R0745</x:v>
      </x:c>
      <x:c r="B749" s="25" t="str">
        <x:v>Grounding and Common Ground: Modal Particles and Their Translation Equivalents</x:v>
      </x:c>
      <x:c r="C749" s="25" t="n">
        <x:v>2006</x:v>
      </x:c>
      <x:c r="D749" s="25" t="str">
        <x:v>Kerstin Fischer</x:v>
      </x:c>
      <x:c r="E749" s="25" t="str">
        <x:v>Lexical Markers of Common Grounds</x:v>
      </x:c>
      <x:c r="F749" s="25" t="str">
        <x:v>10.1163/9780080466316_005</x:v>
      </x:c>
      <x:c r="G749" s="25" t="str">
        <x:v>https://doi.org/10.1163/9780080466316_005</x:v>
      </x:c>
      <x:c r="H749" s="25" t="str">
        <x:v>Crossref</x:v>
      </x:c>
      <x:c r="I749" s="25" t="str">
        <x:v>C12_common_ground_repair</x:v>
      </x:c>
      <x:c r="J749" s="25" t="str">
        <x:v>Exclude</x:v>
      </x:c>
      <x:c r="K749" s="25" t="str">
        <x:v>Exclude: topic mismatch</x:v>
      </x:c>
    </x:row>
    <x:row r="750">
      <x:c r="A750" s="20" t="str">
        <x:v>R0746</x:v>
      </x:c>
      <x:c r="B750" s="25" t="str">
        <x:v>Identifying the impact of Human-AI co-creation on students' creativity development: a conceptual framework</x:v>
      </x:c>
      <x:c r="C750" s="25" t="n">
        <x:v>2023</x:v>
      </x:c>
      <x:c r="D750" s="25" t="str">
        <x:v>Jinping Zhong; Yunxiang Zheng</x:v>
      </x:c>
      <x:c r="E750" s="25" t="str">
        <x:v>2023 3rd International Conference on Educational Technology (ICET)</x:v>
      </x:c>
      <x:c r="F750" s="25" t="str">
        <x:v>10.1109/icet59358.2023.10424147</x:v>
      </x:c>
      <x:c r="G750" s="25" t="str">
        <x:v>https://doi.org/10.1109/icet59358.2023.10424147</x:v>
      </x:c>
      <x:c r="H750" s="25" t="str">
        <x:v>Crossref</x:v>
      </x:c>
      <x:c r="I750" s="25" t="str">
        <x:v>C3_mixed_initiative_cocreation</x:v>
      </x:c>
      <x:c r="J750" s="25" t="str">
        <x:v>Exclude</x:v>
      </x:c>
      <x:c r="K750" s="25" t="str">
        <x:v>Exclude: adjacent/redundant or insufficiently theory-generative for DC1</x:v>
      </x:c>
    </x:row>
    <x:row r="751">
      <x:c r="A751" s="20" t="str">
        <x:v>R0747</x:v>
      </x:c>
      <x:c r="B751" s="25" t="str">
        <x:v>On adiabatic-isothermal mixed boundary conditions in heat transfer</x:v>
      </x:c>
      <x:c r="C751" s="25" t="n">
        <x:v>1994</x:v>
      </x:c>
      <x:c r="D751" s="25" t="str">
        <x:v>R. Ben Yedder; E. Bilgen</x:v>
      </x:c>
      <x:c r="E751" s="25" t="str">
        <x:v>Wärme- und Stoffübertragung</x:v>
      </x:c>
      <x:c r="F751" s="25" t="str">
        <x:v>10.1007/bf01584048</x:v>
      </x:c>
      <x:c r="G751" s="25" t="str">
        <x:v>https://doi.org/10.1007/bf01584048</x:v>
      </x:c>
      <x:c r="H751" s="25" t="str">
        <x:v>Crossref</x:v>
      </x:c>
      <x:c r="I751" s="25" t="str">
        <x:v>C9_human_agent_handoff</x:v>
      </x:c>
      <x:c r="J751" s="25" t="str">
        <x:v>Exclude</x:v>
      </x:c>
      <x:c r="K751" s="25" t="str">
        <x:v>Exclude: topic mismatch</x:v>
      </x:c>
    </x:row>
    <x:row r="752">
      <x:c r="A752" s="20" t="str">
        <x:v>R0748</x:v>
      </x:c>
      <x:c r="B752" s="25" t="str">
        <x:v>Shape Does Matter: Designing materials in products</x:v>
      </x:c>
      <x:c r="C752" s="25" t="n">
        <x:v>2010</x:v>
      </x:c>
      <x:c r="D752" s="25" t="str">
        <x:v>Daniel Saakes</x:v>
      </x:c>
      <x:c r="E752" s="25" t="str">
        <x:v>Research Repository (Delft University of Technology)</x:v>
      </x:c>
      <x:c r="F752" s="25" t="str"/>
      <x:c r="G752" s="25" t="str">
        <x:v>http://resolver.tudelft.nl/uuid:44df0c24-c558-47df-9cc4-348ec0f9bba1</x:v>
      </x:c>
      <x:c r="H752" s="25" t="str">
        <x:v>OpenAlex</x:v>
      </x:c>
      <x:c r="I752" s="25" t="str">
        <x:v>C17_3D_gesture_ambiguity</x:v>
      </x:c>
      <x:c r="J752" s="25" t="str">
        <x:v>Exclude</x:v>
      </x:c>
      <x:c r="K752" s="25" t="str">
        <x:v>Exclude: topic mismatch</x:v>
      </x:c>
    </x:row>
    <x:row r="753">
      <x:c r="A753" s="20" t="str">
        <x:v>R0749</x:v>
      </x:c>
      <x:c r="B753" s="25" t="str">
        <x:v>State-of-the-Art Review of Cognitive Task Analysis Techniques</x:v>
      </x:c>
      <x:c r="C753" s="25" t="n">
        <x:v>2000</x:v>
      </x:c>
      <x:c r="D753" s="25" t="str"/>
      <x:c r="E753" s="25" t="str">
        <x:v>Cognitive Task Analysis</x:v>
      </x:c>
      <x:c r="F753" s="25" t="str">
        <x:v>10.4324/9781410605795-40</x:v>
      </x:c>
      <x:c r="G753" s="25" t="str">
        <x:v>https://doi.org/10.4324/9781410605795-40</x:v>
      </x:c>
      <x:c r="H753" s="25" t="str">
        <x:v>Crossref</x:v>
      </x:c>
      <x:c r="I753" s="25" t="str">
        <x:v>C18_video_intent_coding_VLM_annotation</x:v>
      </x:c>
      <x:c r="J753" s="25" t="str">
        <x:v>Exclude</x:v>
      </x:c>
      <x:c r="K753" s="25" t="str">
        <x:v>Exclude: topic mismatch</x:v>
      </x:c>
    </x:row>
    <x:row r="754">
      <x:c r="A754" s="20" t="str">
        <x:v>R0750</x:v>
      </x:c>
      <x:c r="B754" s="25" t="str">
        <x:v>Stream Sequence Mining for Human Activity Discovery</x:v>
      </x:c>
      <x:c r="C754" s="25" t="n">
        <x:v>2014</x:v>
      </x:c>
      <x:c r="D754" s="25" t="str">
        <x:v>Parisa Rashidi</x:v>
      </x:c>
      <x:c r="E754" s="25" t="str">
        <x:v>Plan, Activity, and Intent Recognition</x:v>
      </x:c>
      <x:c r="F754" s="25" t="str">
        <x:v>10.1016/b978-0-12-398532-3.00005-1</x:v>
      </x:c>
      <x:c r="G754" s="25" t="str">
        <x:v>https://doi.org/10.1016/b978-0-12-398532-3.00005-1</x:v>
      </x:c>
      <x:c r="H754" s="25" t="str">
        <x:v>Crossref</x:v>
      </x:c>
      <x:c r="I754" s="25" t="str">
        <x:v>C11_hierarchical_goal_recognition</x:v>
      </x:c>
      <x:c r="J754" s="25" t="str">
        <x:v>Exclude</x:v>
      </x:c>
      <x:c r="K754" s="25" t="str">
        <x:v>Exclude: topic mismatch</x:v>
      </x:c>
    </x:row>
    <x:row r="755">
      <x:c r="A755" s="20" t="str">
        <x:v>R0751</x:v>
      </x:c>
      <x:c r="B755" s="25" t="str">
        <x:v>T4T: Tangible interface for tuning 3D object manipulation tools</x:v>
      </x:c>
      <x:c r="C755" s="25" t="n">
        <x:v>2017</x:v>
      </x:c>
      <x:c r="D755" s="25" t="str">
        <x:v>Alberto Cannavo; Fabio Cermelli; Vincenzo Chiaramida; Giovanni Ciccone; Fabrizio Lamberti; Paolo Montuschi; Gianluca Paravati</x:v>
      </x:c>
      <x:c r="E755" s="25" t="str">
        <x:v>2017 IEEE Symposium on 3D User Interfaces (3DUI)</x:v>
      </x:c>
      <x:c r="F755" s="25" t="str">
        <x:v>10.1109/3dui.2017.7893374</x:v>
      </x:c>
      <x:c r="G755" s="25" t="str">
        <x:v>https://doi.org/10.1109/3dui.2017.7893374</x:v>
      </x:c>
      <x:c r="H755" s="25" t="str">
        <x:v>Crossref</x:v>
      </x:c>
      <x:c r="I755" s="25" t="str">
        <x:v>C1_3D_mental_models</x:v>
      </x:c>
      <x:c r="J755" s="25" t="str">
        <x:v>Exclude</x:v>
      </x:c>
      <x:c r="K755" s="25" t="str">
        <x:v>Exclude: adjacent/redundant or insufficiently theory-generative for DC1</x:v>
      </x:c>
    </x:row>
    <x:row r="756">
      <x:c r="A756" s="20" t="str">
        <x:v>R0752</x:v>
      </x:c>
      <x:c r="B756" s="25" t="str">
        <x:v>Task Analysis, Task Allocation and Supervisory Control</x:v>
      </x:c>
      <x:c r="C756" s="25" t="n">
        <x:v>1997</x:v>
      </x:c>
      <x:c r="D756" s="25" t="str">
        <x:v>T SHERIDAN</x:v>
      </x:c>
      <x:c r="E756" s="25" t="str">
        <x:v>Handbook of Human-Computer Interaction</x:v>
      </x:c>
      <x:c r="F756" s="25" t="str">
        <x:v>10.1016/b978-044481862-1/50071-6</x:v>
      </x:c>
      <x:c r="G756" s="25" t="str">
        <x:v>https://doi.org/10.1016/b978-044481862-1/50071-6</x:v>
      </x:c>
      <x:c r="H756" s="25" t="str">
        <x:v>Crossref</x:v>
      </x:c>
      <x:c r="I756" s="25" t="str">
        <x:v>C18_video_intent_coding_VLM_annotation</x:v>
      </x:c>
      <x:c r="J756" s="25" t="str">
        <x:v>Exclude</x:v>
      </x:c>
      <x:c r="K756" s="25" t="str">
        <x:v>Exclude: topic mismatch</x:v>
      </x:c>
    </x:row>
    <x:row r="757">
      <x:c r="A757" s="20" t="str">
        <x:v>R0753</x:v>
      </x:c>
      <x:c r="B757" s="25" t="str">
        <x:v>Tell Me What I Missed: Interacting with GPT during Recalling of One-Time Witnessed Events</x:v>
      </x:c>
      <x:c r="C757" s="25" t="n">
        <x:v>2026</x:v>
      </x:c>
      <x:c r="D757" s="25" t="str">
        <x:v>Suifang Zhou; Qi Gong; Ximing Shen; Ray Lc</x:v>
      </x:c>
      <x:c r="E757" s="25" t="str"/>
      <x:c r="F757" s="25" t="str">
        <x:v>10.1145/3772318.3791863</x:v>
      </x:c>
      <x:c r="G757" s="25" t="str">
        <x:v>https://doi.org/10.1145/3772318.3791863</x:v>
      </x:c>
      <x:c r="H757" s="25" t="str">
        <x:v>OpenAlex</x:v>
      </x:c>
      <x:c r="I757" s="25" t="str">
        <x:v>C5_agent_memory</x:v>
      </x:c>
      <x:c r="J757" s="25" t="str">
        <x:v>Exclude</x:v>
      </x:c>
      <x:c r="K757" s="25" t="str">
        <x:v>Exclude: adjacent/redundant or insufficiently theory-generative for DC1</x:v>
      </x:c>
    </x:row>
    <x:row r="758">
      <x:c r="A758" s="20" t="str">
        <x:v>R0754</x:v>
      </x:c>
      <x:c r="B758" s="25" t="str">
        <x:v>Toward Zero-Shot User Intent Recognition in Shared Autonomy</x:v>
      </x:c>
      <x:c r="C758" s="25" t="n">
        <x:v>2025</x:v>
      </x:c>
      <x:c r="D758" s="25" t="str">
        <x:v>Atharv Belsare; Zohre Karimi; Connor Mattson; Daniel S. Brown</x:v>
      </x:c>
      <x:c r="E758" s="25" t="str">
        <x:v>2025 20th ACM/IEEE International Conference on Human-Robot Interaction (HRI)</x:v>
      </x:c>
      <x:c r="F758" s="25" t="str">
        <x:v>10.1109/hri61500.2025.10973985</x:v>
      </x:c>
      <x:c r="G758" s="25" t="str">
        <x:v>https://doi.org/10.1109/hri61500.2025.10973985</x:v>
      </x:c>
      <x:c r="H758" s="25" t="str">
        <x:v>Crossref</x:v>
      </x:c>
      <x:c r="I758" s="25" t="str">
        <x:v>C4_uncertainty_shared_autonomy</x:v>
      </x:c>
      <x:c r="J758" s="25" t="str">
        <x:v>Exclude</x:v>
      </x:c>
      <x:c r="K758" s="25" t="str">
        <x:v>Exclude: adjacent/redundant or insufficiently theory-generative for DC1</x:v>
      </x:c>
    </x:row>
    <x:row r="759">
      <x:c r="A759" s="20" t="str">
        <x:v>R0755</x:v>
      </x:c>
      <x:c r="B759" s="25" t="str">
        <x:v>Truly Self-Improving Agents Require Intrinsic Metacognitive Learning</x:v>
      </x:c>
      <x:c r="C759" s="25" t="n">
        <x:v>2025</x:v>
      </x:c>
      <x:c r="D759" s="25" t="str">
        <x:v>Tennison Liu; Mihaela van der Schaar</x:v>
      </x:c>
      <x:c r="E759" s="25" t="str">
        <x:v>arXiv (Cornell University)</x:v>
      </x:c>
      <x:c r="F759" s="25" t="str">
        <x:v>10.48550/arxiv.2506.05109</x:v>
      </x:c>
      <x:c r="G759" s="25" t="str">
        <x:v>http://arxiv.org/abs/2506.05109</x:v>
      </x:c>
      <x:c r="H759" s="25" t="str">
        <x:v>OpenAlex</x:v>
      </x:c>
      <x:c r="I759" s="25" t="str">
        <x:v>C5_agent_memory</x:v>
      </x:c>
      <x:c r="J759" s="25" t="str">
        <x:v>Exclude</x:v>
      </x:c>
      <x:c r="K759" s="25" t="str">
        <x:v>Exclude: topic mismatch</x:v>
      </x:c>
    </x:row>
    <x:row r="760">
      <x:c r="A760" s="20" t="str">
        <x:v>R0756</x:v>
      </x:c>
      <x:c r="B760" s="25" t="str">
        <x:v>Video-Stimulated Verbal Recall: A Method for Researching Cognitive Processes and
            Strategic Behaviors</x:v>
      </x:c>
      <x:c r="C760" s="25" t="n">
        <x:v>2014</x:v>
      </x:c>
      <x:c r="D760" s="25" t="str">
        <x:v>Li-Shih Huang</x:v>
      </x:c>
      <x:c r="E760" s="25" t="str"/>
      <x:c r="F760" s="25" t="str">
        <x:v>10.4135/978144627305013508883</x:v>
      </x:c>
      <x:c r="G760" s="25" t="str">
        <x:v>https://doi.org/10.4135/978144627305013508883</x:v>
      </x:c>
      <x:c r="H760" s="25" t="str">
        <x:v>Crossref</x:v>
      </x:c>
      <x:c r="I760" s="25" t="str">
        <x:v>C18_video_intent_coding_VLM_annotation</x:v>
      </x:c>
      <x:c r="J760" s="25" t="str">
        <x:v>Exclude</x:v>
      </x:c>
      <x:c r="K760" s="25" t="str">
        <x:v>Exclude: topic mismatch</x:v>
      </x:c>
    </x:row>
    <x:row r="761">
      <x:c r="A761" s="20" t="str">
        <x:v>R0757</x:v>
      </x:c>
      <x:c r="B761" s="25" t="str">
        <x:v>Vision-based 3D direct manipulation interface for smart interaction</x:v>
      </x:c>
      <x:c r="C761" s="25" t="str"/>
      <x:c r="D761" s="25" t="str">
        <x:v>S. Yonemoto; R. Taniguchi</x:v>
      </x:c>
      <x:c r="E761" s="25" t="str">
        <x:v>Object recognition supported by user interaction for service robots</x:v>
      </x:c>
      <x:c r="F761" s="25" t="str">
        <x:v>10.1109/icpr.2002.1048387</x:v>
      </x:c>
      <x:c r="G761" s="25" t="str">
        <x:v>https://doi.org/10.1109/icpr.2002.1048387</x:v>
      </x:c>
      <x:c r="H761" s="25" t="str">
        <x:v>Crossref</x:v>
      </x:c>
      <x:c r="I761" s="25" t="str">
        <x:v>C1_3D_mental_models</x:v>
      </x:c>
      <x:c r="J761" s="25" t="str">
        <x:v>Exclude</x:v>
      </x:c>
      <x:c r="K761" s="25" t="str">
        <x:v>Exclude: adjacent/redundant or insufficiently theory-generative for DC1</x:v>
      </x:c>
    </x:row>
    <x:row r="762">
      <x:c r="A762" s="20" t="str">
        <x:v>R0758</x:v>
      </x:c>
      <x:c r="B762" s="25" t="str">
        <x:v>Working Memory Identifies Reasoning Limits in Language Models</x:v>
      </x:c>
      <x:c r="C762" s="25" t="n">
        <x:v>2024</x:v>
      </x:c>
      <x:c r="D762" s="25" t="str">
        <x:v>Chunhui Zhang; Yiren Jian; Zhongyu Ouyang; Soroush Vosoughi</x:v>
      </x:c>
      <x:c r="E762" s="25" t="str"/>
      <x:c r="F762" s="25" t="str">
        <x:v>10.18653/v1/2024.emnlp-main.938</x:v>
      </x:c>
      <x:c r="G762" s="25" t="str">
        <x:v>https://doi.org/10.18653/v1/2024.emnlp-main.938</x:v>
      </x:c>
      <x:c r="H762" s="25" t="str">
        <x:v>OpenAlex</x:v>
      </x:c>
      <x:c r="I762" s="25" t="str">
        <x:v>C5_agent_memory</x:v>
      </x:c>
      <x:c r="J762" s="25" t="str">
        <x:v>Exclude</x:v>
      </x:c>
      <x:c r="K762" s="25" t="str">
        <x:v>Exclude: adjacent/redundant or insufficiently theory-generative for DC1</x:v>
      </x:c>
    </x:row>
    <x:row r="763">
      <x:c r="A763" s="20" t="str">
        <x:v>R0759</x:v>
      </x:c>
      <x:c r="B763" s="25" t="str">
        <x:v>3D ANIMATION AS A MEDIUM OF CULTURAL REPRESENTATION AND EDUCATION: A CASE STUDY OF MAGIC CELLAR PART 1</x:v>
      </x:c>
      <x:c r="C763" s="25" t="n">
        <x:v>2010</x:v>
      </x:c>
      <x:c r="D763" s="25" t="str">
        <x:v>Roland N. Kangong</x:v>
      </x:c>
      <x:c r="E763" s="25" t="str">
        <x:v>University of the Witwatersrand, Johannesburg Institutional Repository on DSpace (University of the Witwatersrand, Johannesburg)</x:v>
      </x:c>
      <x:c r="F763" s="25" t="str">
        <x:v>10.13140/rg.2.2.20496.97289</x:v>
      </x:c>
      <x:c r="G763" s="25" t="str">
        <x:v>http://hdl.handle.net/10539/9630</x:v>
      </x:c>
      <x:c r="H763" s="25" t="str">
        <x:v>OpenAlex</x:v>
      </x:c>
      <x:c r="I763" s="25" t="str">
        <x:v>C17_3D_gesture_ambiguity</x:v>
      </x:c>
      <x:c r="J763" s="25" t="str">
        <x:v>Exclude</x:v>
      </x:c>
      <x:c r="K763" s="25" t="str">
        <x:v>Exclude: adjacent/redundant or insufficiently theory-generative for DC1</x:v>
      </x:c>
    </x:row>
    <x:row r="764">
      <x:c r="A764" s="20" t="str">
        <x:v>R0760</x:v>
      </x:c>
      <x:c r="B764" s="25" t="str">
        <x:v>A Computational Mechanism for Initiative in Answer Generation</x:v>
      </x:c>
      <x:c r="C764" s="25" t="n">
        <x:v>1999</x:v>
      </x:c>
      <x:c r="D764" s="25" t="str">
        <x:v>Nancy Green; Sandra Carberry</x:v>
      </x:c>
      <x:c r="E764" s="25" t="str">
        <x:v>Computational Models of Mixed-Initiative Interaction</x:v>
      </x:c>
      <x:c r="F764" s="25" t="str">
        <x:v>10.1007/978-94-017-1118-0_8</x:v>
      </x:c>
      <x:c r="G764" s="25" t="str">
        <x:v>https://doi.org/10.1007/978-94-017-1118-0_8</x:v>
      </x:c>
      <x:c r="H764" s="25" t="str">
        <x:v>Crossref</x:v>
      </x:c>
      <x:c r="I764" s="25" t="str">
        <x:v>C15_proactive_interruption</x:v>
      </x:c>
      <x:c r="J764" s="25" t="str">
        <x:v>Exclude</x:v>
      </x:c>
      <x:c r="K764" s="25" t="str">
        <x:v>Exclude: adjacent/redundant or insufficiently theory-generative for DC1</x:v>
      </x:c>
    </x:row>
    <x:row r="765">
      <x:c r="A765" s="20" t="str">
        <x:v>R0761</x:v>
      </x:c>
      <x:c r="B765" s="25" t="str">
        <x:v>A Hierarchical Variable Autonomy Mixed-Initiative Framework for Human-Robot Teaming in Mobile Robotics</x:v>
      </x:c>
      <x:c r="C765" s="25" t="n">
        <x:v>2022</x:v>
      </x:c>
      <x:c r="D765" s="25" t="str">
        <x:v>Dimitris Panagopoulos; Giannis Petousakis; Aniketh Ramesh; Tianshu Ruan; Grigoris Nikolaou; Rustam Stolkin; Manolis Chiou</x:v>
      </x:c>
      <x:c r="E765" s="25" t="str">
        <x:v>2022 IEEE 3rd International Conference on Human-Machine Systems (ICHMS)</x:v>
      </x:c>
      <x:c r="F765" s="25" t="str">
        <x:v>10.1109/ichms56717.2022.9980686</x:v>
      </x:c>
      <x:c r="G765" s="25" t="str">
        <x:v>https://doi.org/10.1109/ichms56717.2022.9980686</x:v>
      </x:c>
      <x:c r="H765" s="25" t="str">
        <x:v>Crossref</x:v>
      </x:c>
      <x:c r="I765" s="25" t="str">
        <x:v>C9_human_agent_handoff</x:v>
      </x:c>
      <x:c r="J765" s="25" t="str">
        <x:v>Include</x:v>
      </x:c>
      <x:c r="K765" s="25" t="str">
        <x:v>Included in focused synthesis</x:v>
      </x:c>
    </x:row>
    <x:row r="766">
      <x:c r="A766" s="20" t="str">
        <x:v>R0762</x:v>
      </x:c>
      <x:c r="B766" s="25" t="str">
        <x:v>AUITestAgent: Automatic Requirements Oriented GUI Function Testing</x:v>
      </x:c>
      <x:c r="C766" s="25" t="n">
        <x:v>2024</x:v>
      </x:c>
      <x:c r="D766" s="25" t="str">
        <x:v>Yongxiang Hu; Xuan Wang; Yingchuan Wang; Yu Zhang; Shiyu Guo; Chaoyi Chen; Xin Wang; Yangfan Zhou</x:v>
      </x:c>
      <x:c r="E766" s="25" t="str">
        <x:v>arXiv (Cornell University)</x:v>
      </x:c>
      <x:c r="F766" s="25" t="str">
        <x:v>10.48550/arxiv.2407.09018</x:v>
      </x:c>
      <x:c r="G766" s="25" t="str">
        <x:v>http://arxiv.org/abs/2407.09018</x:v>
      </x:c>
      <x:c r="H766" s="25" t="str">
        <x:v>OpenAlex</x:v>
      </x:c>
      <x:c r="I766" s="25" t="str">
        <x:v>C11_hierarchical_goal_recognition</x:v>
      </x:c>
      <x:c r="J766" s="25" t="str">
        <x:v>Exclude</x:v>
      </x:c>
      <x:c r="K766" s="25" t="str">
        <x:v>Exclude: topic mismatch</x:v>
      </x:c>
    </x:row>
    <x:row r="767">
      <x:c r="A767" s="20" t="str">
        <x:v>R0763</x:v>
      </x:c>
      <x:c r="B767" s="25" t="str">
        <x:v>Blended Memory: The Changing Balance of Technologically-Mediated Semantic and Episodic Memory</x:v>
      </x:c>
      <x:c r="C767" s="25" t="n">
        <x:v>2011</x:v>
      </x:c>
      <x:c r="D767" s="25" t="str">
        <x:v>Tim Fawns</x:v>
      </x:c>
      <x:c r="E767" s="25" t="str">
        <x:v>Navigating Landscapes of Mediated Memory</x:v>
      </x:c>
      <x:c r="F767" s="25" t="str">
        <x:v>10.1163/9781848880900_013</x:v>
      </x:c>
      <x:c r="G767" s="25" t="str">
        <x:v>https://doi.org/10.1163/9781848880900_013</x:v>
      </x:c>
      <x:c r="H767" s="25" t="str">
        <x:v>Crossref</x:v>
      </x:c>
      <x:c r="I767" s="25" t="str">
        <x:v>C5_agent_memory</x:v>
      </x:c>
      <x:c r="J767" s="25" t="str">
        <x:v>Exclude</x:v>
      </x:c>
      <x:c r="K767" s="25" t="str">
        <x:v>Exclude: adjacent/redundant or insufficiently theory-generative for DC1</x:v>
      </x:c>
    </x:row>
    <x:row r="768">
      <x:c r="A768" s="20" t="str">
        <x:v>R0764</x:v>
      </x:c>
      <x:c r="B768" s="25" t="str">
        <x:v>Can A Cognitive Architecture Fundamentally Enhance LLMs? Or Vice Versa?</x:v>
      </x:c>
      <x:c r="C768" s="25" t="n">
        <x:v>2024</x:v>
      </x:c>
      <x:c r="D768" s="25" t="str">
        <x:v>Ron Sun</x:v>
      </x:c>
      <x:c r="E768" s="25" t="str">
        <x:v>arXiv (Cornell University)</x:v>
      </x:c>
      <x:c r="F768" s="25" t="str">
        <x:v>10.48550/arxiv.2401.10444</x:v>
      </x:c>
      <x:c r="G768" s="25" t="str">
        <x:v>http://arxiv.org/abs/2401.10444</x:v>
      </x:c>
      <x:c r="H768" s="25" t="str">
        <x:v>OpenAlex</x:v>
      </x:c>
      <x:c r="I768" s="25" t="str">
        <x:v>C5_agent_memory</x:v>
      </x:c>
      <x:c r="J768" s="25" t="str">
        <x:v>Exclude</x:v>
      </x:c>
      <x:c r="K768" s="25" t="str">
        <x:v>Exclude: adjacent/redundant or insufficiently theory-generative for DC1</x:v>
      </x:c>
    </x:row>
    <x:row r="769">
      <x:c r="A769" s="20" t="str">
        <x:v>R0765</x:v>
      </x:c>
      <x:c r="B769" s="25" t="str">
        <x:v>Constraint-conscious smoothing framework for the recovery of 3D articulated motion from image sequences</x:v>
      </x:c>
      <x:c r="C769" s="25" t="str"/>
      <x:c r="D769" s="25" t="str">
        <x:v>H. Segawa; H. Shioya; N. Hiraki; T. Totsuka</x:v>
      </x:c>
      <x:c r="E769" s="25" t="str">
        <x:v>Proceedings Fourth IEEE International Conference on Automatic Face and Gesture Recognition (Cat. No. PR00580)</x:v>
      </x:c>
      <x:c r="F769" s="25" t="str">
        <x:v>10.1109/afgr.2000.840677</x:v>
      </x:c>
      <x:c r="G769" s="25" t="str">
        <x:v>https://doi.org/10.1109/afgr.2000.840677</x:v>
      </x:c>
      <x:c r="H769" s="25" t="str">
        <x:v>Crossref</x:v>
      </x:c>
      <x:c r="I769" s="25" t="str">
        <x:v>C17_3D_gesture_ambiguity</x:v>
      </x:c>
      <x:c r="J769" s="25" t="str">
        <x:v>Exclude</x:v>
      </x:c>
      <x:c r="K769" s="25" t="str">
        <x:v>Exclude: adjacent/redundant or insufficiently theory-generative for DC1</x:v>
      </x:c>
    </x:row>
    <x:row r="770">
      <x:c r="A770" s="20" t="str">
        <x:v>R0766</x:v>
      </x:c>
      <x:c r="B770" s="25" t="str">
        <x:v>Design Intent Information Exchange of Feature-Based CAD Models</x:v>
      </x:c>
      <x:c r="C770" s="25" t="n">
        <x:v>2009</x:v>
      </x:c>
      <x:c r="D770" s="25" t="str">
        <x:v>Yingzhong Zhang; Xiaofang Luo</x:v>
      </x:c>
      <x:c r="E770" s="25" t="str">
        <x:v>2009 WRI World Congress on Computer Science and Information Engineering</x:v>
      </x:c>
      <x:c r="F770" s="25" t="str">
        <x:v>10.1109/csie.2009.536</x:v>
      </x:c>
      <x:c r="G770" s="25" t="str">
        <x:v>https://doi.org/10.1109/csie.2009.536</x:v>
      </x:c>
      <x:c r="H770" s="25" t="str">
        <x:v>Crossref</x:v>
      </x:c>
      <x:c r="I770" s="25" t="str">
        <x:v>C13_CAD_design_intent</x:v>
      </x:c>
      <x:c r="J770" s="25" t="str">
        <x:v>Exclude</x:v>
      </x:c>
      <x:c r="K770" s="25" t="str">
        <x:v>Exclude: adjacent/redundant or insufficiently theory-generative for DC1</x:v>
      </x:c>
    </x:row>
    <x:row r="771">
      <x:c r="A771" s="20" t="str">
        <x:v>R0767</x:v>
      </x:c>
      <x:c r="B771" s="25" t="str">
        <x:v>Designers Who Don’t Draw: An Investigation into Sketch Inhibition among Undergraduate Designers</x:v>
      </x:c>
      <x:c r="C771" s="25" t="n">
        <x:v>2019</x:v>
      </x:c>
      <x:c r="D771" s="25" t="str">
        <x:v>Lisa Thurlow</x:v>
      </x:c>
      <x:c r="E771" s="25" t="str">
        <x:v>DMU Open Research Archive (De Montfort University)</x:v>
      </x:c>
      <x:c r="F771" s="25" t="str"/>
      <x:c r="G771" s="25" t="str">
        <x:v>https://dora.dmu.ac.uk/handle/2086/18656</x:v>
      </x:c>
      <x:c r="H771" s="25" t="str">
        <x:v>OpenAlex</x:v>
      </x:c>
      <x:c r="I771" s="25" t="str">
        <x:v>C17_3D_gesture_ambiguity</x:v>
      </x:c>
      <x:c r="J771" s="25" t="str">
        <x:v>Exclude</x:v>
      </x:c>
      <x:c r="K771" s="25" t="str">
        <x:v>Exclude: adjacent/redundant or insufficiently theory-generative for DC1</x:v>
      </x:c>
    </x:row>
    <x:row r="772">
      <x:c r="A772" s="20" t="str">
        <x:v>R0768</x:v>
      </x:c>
      <x:c r="B772" s="25" t="str">
        <x:v>Digital Creativity Support: designing AI to augment human creativity</x:v>
      </x:c>
      <x:c r="C772" s="25" t="n">
        <x:v>2019</x:v>
      </x:c>
      <x:c r="D772" s="25" t="str">
        <x:v>Neil Maiden</x:v>
      </x:c>
      <x:c r="E772" s="25" t="str">
        <x:v>The Human Position in an Artificial World: Creativity, Ethics and AI in Knowledge Organization</x:v>
      </x:c>
      <x:c r="F772" s="25" t="str">
        <x:v>10.5771/9783956505508-145</x:v>
      </x:c>
      <x:c r="G772" s="25" t="str">
        <x:v>https://doi.org/10.5771/9783956505508-145</x:v>
      </x:c>
      <x:c r="H772" s="25" t="str">
        <x:v>Crossref</x:v>
      </x:c>
      <x:c r="I772" s="25" t="str">
        <x:v>C3_mixed_initiative_cocreation</x:v>
      </x:c>
      <x:c r="J772" s="25" t="str">
        <x:v>Exclude</x:v>
      </x:c>
      <x:c r="K772" s="25" t="str">
        <x:v>Exclude: adjacent/redundant or insufficiently theory-generative for DC1</x:v>
      </x:c>
    </x:row>
    <x:row r="773">
      <x:c r="A773" s="20" t="str">
        <x:v>R0769</x:v>
      </x:c>
      <x:c r="B773" s="25" t="str">
        <x:v>Effects of Timing on Users’ Agency during Mixed-Initiative Interaction</x:v>
      </x:c>
      <x:c r="C773" s="25" t="n">
        <x:v>2017</x:v>
      </x:c>
      <x:c r="D773" s="25" t="str">
        <x:v>Guo Yu; Alan Blackwell; Stephanie Wilson; Luis Anunciação</x:v>
      </x:c>
      <x:c r="E773" s="25" t="str">
        <x:v>Electronic Workshops in Computing</x:v>
      </x:c>
      <x:c r="F773" s="25" t="str">
        <x:v>10.14236/ewic/hci2017.35</x:v>
      </x:c>
      <x:c r="G773" s="25" t="str">
        <x:v>https://doi.org/10.14236/ewic/hci2017.35</x:v>
      </x:c>
      <x:c r="H773" s="25" t="str">
        <x:v>Crossref</x:v>
      </x:c>
      <x:c r="I773" s="25" t="str">
        <x:v>C15_proactive_interruption</x:v>
      </x:c>
      <x:c r="J773" s="25" t="str">
        <x:v>Exclude</x:v>
      </x:c>
      <x:c r="K773" s="25" t="str">
        <x:v>Exclude: adjacent/redundant or insufficiently theory-generative for DC1</x:v>
      </x:c>
    </x:row>
    <x:row r="774">
      <x:c r="A774" s="20" t="str">
        <x:v>R0770</x:v>
      </x:c>
      <x:c r="B774" s="25" t="str">
        <x:v>Evaluation of the Choice of LLM in a Multi-Agent Solution for GUI-Test Generation</x:v>
      </x:c>
      <x:c r="C774" s="25" t="n">
        <x:v>2025</x:v>
      </x:c>
      <x:c r="D774" s="25" t="str">
        <x:v>Stevan Tomic; Emil Alégroth; Maycel Isaac</x:v>
      </x:c>
      <x:c r="E774" s="25" t="str"/>
      <x:c r="F774" s="25" t="str">
        <x:v>10.1109/icst62969.2025.10989038</x:v>
      </x:c>
      <x:c r="G774" s="25" t="str">
        <x:v>https://doi.org/10.1109/icst62969.2025.10989038</x:v>
      </x:c>
      <x:c r="H774" s="25" t="str">
        <x:v>OpenAlex</x:v>
      </x:c>
      <x:c r="I774" s="25" t="str">
        <x:v>C6_frontend_GUI_intent</x:v>
      </x:c>
      <x:c r="J774" s="25" t="str">
        <x:v>Exclude</x:v>
      </x:c>
      <x:c r="K774" s="25" t="str">
        <x:v>Exclude: topic mismatch</x:v>
      </x:c>
    </x:row>
    <x:row r="775">
      <x:c r="A775" s="20" t="str">
        <x:v>R0771</x:v>
      </x:c>
      <x:c r="B775" s="25" t="str">
        <x:v>Heterogeneous CAD Hybrid Data Exchange Based on Feature Semantics and Geometry Representation</x:v>
      </x:c>
      <x:c r="C775" s="25" t="n">
        <x:v>2006</x:v>
      </x:c>
      <x:c r="D775" s="25" t="str">
        <x:v>Lei Chen; Wei Peng; Xiuzi Ye</x:v>
      </x:c>
      <x:c r="E775" s="25" t="str">
        <x:v>2006 10th International Conference on Computer Supported Cooperative Work in Design</x:v>
      </x:c>
      <x:c r="F775" s="25" t="str">
        <x:v>10.1109/cscwd.2006.253037</x:v>
      </x:c>
      <x:c r="G775" s="25" t="str">
        <x:v>https://doi.org/10.1109/cscwd.2006.253037</x:v>
      </x:c>
      <x:c r="H775" s="25" t="str">
        <x:v>Crossref</x:v>
      </x:c>
      <x:c r="I775" s="25" t="str">
        <x:v>C13_CAD_design_intent</x:v>
      </x:c>
      <x:c r="J775" s="25" t="str">
        <x:v>Exclude</x:v>
      </x:c>
      <x:c r="K775" s="25" t="str">
        <x:v>Exclude: topic mismatch</x:v>
      </x:c>
    </x:row>
    <x:row r="776">
      <x:c r="A776" s="20" t="str">
        <x:v>R0772</x:v>
      </x:c>
      <x:c r="B776" s="25" t="str">
        <x:v>HoloLeap</x:v>
      </x:c>
      <x:c r="C776" s="25" t="n">
        <x:v>2014</x:v>
      </x:c>
      <x:c r="D776" s="25" t="str">
        <x:v>Vamsi Kiran Adihikarla; Paweł Wozniak; Robert Teather</x:v>
      </x:c>
      <x:c r="E776" s="25" t="str">
        <x:v>Proceedings of the 2nd ACM symposium on Spatial user interaction</x:v>
      </x:c>
      <x:c r="F776" s="25" t="str">
        <x:v>10.1145/2659766.2661223</x:v>
      </x:c>
      <x:c r="G776" s="25" t="str">
        <x:v>https://doi.org/10.1145/2659766.2661223</x:v>
      </x:c>
      <x:c r="H776" s="25" t="str">
        <x:v>Crossref</x:v>
      </x:c>
      <x:c r="I776" s="25" t="str">
        <x:v>C1_3D_mental_models</x:v>
      </x:c>
      <x:c r="J776" s="25" t="str">
        <x:v>Exclude</x:v>
      </x:c>
      <x:c r="K776" s="25" t="str">
        <x:v>Exclude: topic mismatch</x:v>
      </x:c>
    </x:row>
    <x:row r="777">
      <x:c r="A777" s="20" t="str">
        <x:v>R0773</x:v>
      </x:c>
      <x:c r="B777" s="25" t="str">
        <x:v>How Do Data Analysts Respond to AI Assistance? A Wizard-of-Oz Study</x:v>
      </x:c>
      <x:c r="C777" s="25" t="n">
        <x:v>2023</x:v>
      </x:c>
      <x:c r="D777" s="25" t="str">
        <x:v>Ken Gu; Madeleine Grunde-McLaughlin; Andrew McNutt; Jeffrey Heer; Tim Althoff</x:v>
      </x:c>
      <x:c r="E777" s="25" t="str">
        <x:v>arXiv (Cornell University)</x:v>
      </x:c>
      <x:c r="F777" s="25" t="str">
        <x:v>10.48550/arxiv.2309.10108</x:v>
      </x:c>
      <x:c r="G777" s="25" t="str">
        <x:v>http://arxiv.org/abs/2309.10108</x:v>
      </x:c>
      <x:c r="H777" s="25" t="str">
        <x:v>OpenAlex</x:v>
      </x:c>
      <x:c r="I777" s="25" t="str">
        <x:v>C15_proactive_interruption</x:v>
      </x:c>
      <x:c r="J777" s="25" t="str">
        <x:v>Exclude</x:v>
      </x:c>
      <x:c r="K777" s="25" t="str">
        <x:v>Exclude: adjacent/redundant or insufficiently theory-generative for DC1</x:v>
      </x:c>
    </x:row>
    <x:row r="778">
      <x:c r="A778" s="20" t="str">
        <x:v>R0774</x:v>
      </x:c>
      <x:c r="B778" s="25" t="str">
        <x:v>Intent Recognition for Human–Robot Interaction</x:v>
      </x:c>
      <x:c r="C778" s="25" t="n">
        <x:v>2014</x:v>
      </x:c>
      <x:c r="D778" s="25" t="str">
        <x:v>Richard Kelley; Alireza Tavakkoli; Christopher King; Amol Ambardekar; Liesl Wigand; Monica Nicolescu; Mircea Nicolescu</x:v>
      </x:c>
      <x:c r="E778" s="25" t="str">
        <x:v>Plan, Activity, and Intent Recognition</x:v>
      </x:c>
      <x:c r="F778" s="25" t="str">
        <x:v>10.1016/b978-0-12-398532-3.00014-2</x:v>
      </x:c>
      <x:c r="G778" s="25" t="str">
        <x:v>https://doi.org/10.1016/b978-0-12-398532-3.00014-2</x:v>
      </x:c>
      <x:c r="H778" s="25" t="str">
        <x:v>Crossref</x:v>
      </x:c>
      <x:c r="I778" s="25" t="str">
        <x:v>C11_hierarchical_goal_recognition</x:v>
      </x:c>
      <x:c r="J778" s="25" t="str">
        <x:v>Exclude</x:v>
      </x:c>
      <x:c r="K778" s="25" t="str">
        <x:v>Exclude: adjacent/redundant or insufficiently theory-generative for DC1</x:v>
      </x:c>
    </x:row>
    <x:row r="779">
      <x:c r="A779" s="20" t="str">
        <x:v>R0775</x:v>
      </x:c>
      <x:c r="B779" s="25" t="str">
        <x:v>Interaction-Augmented Instruction: Modeling the Synergy of Prompts and Interactions in Human-GenAI Collaboration</x:v>
      </x:c>
      <x:c r="C779" s="25" t="n">
        <x:v>2026</x:v>
      </x:c>
      <x:c r="D779" s="25" t="str">
        <x:v>Leixian Shen; Yifang Wang; Huamin Qu; Xing Xie; Haotian Li</x:v>
      </x:c>
      <x:c r="E779" s="25" t="str"/>
      <x:c r="F779" s="25" t="str">
        <x:v>10.1145/3772318.3790505</x:v>
      </x:c>
      <x:c r="G779" s="25" t="str">
        <x:v>https://doi.org/10.1145/3772318.3790505</x:v>
      </x:c>
      <x:c r="H779" s="25" t="str">
        <x:v>OpenAlex</x:v>
      </x:c>
      <x:c r="I779" s="25" t="str">
        <x:v>C17_3D_gesture_ambiguity</x:v>
      </x:c>
      <x:c r="J779" s="25" t="str">
        <x:v>Exclude</x:v>
      </x:c>
      <x:c r="K779" s="25" t="str">
        <x:v>Exclude: adjacent/redundant or insufficiently theory-generative for DC1</x:v>
      </x:c>
    </x:row>
    <x:row r="780">
      <x:c r="A780" s="20" t="str">
        <x:v>R0776</x:v>
      </x:c>
      <x:c r="B780" s="25" t="str">
        <x:v>Knowledge as Embodied Performance</x:v>
      </x:c>
      <x:c r="C780" s="25" t="str"/>
      <x:c r="D780" s="25" t="str">
        <x:v>Satinder P. Gill</x:v>
      </x:c>
      <x:c r="E780" s="25" t="str">
        <x:v>Human-Computer Interaction Series</x:v>
      </x:c>
      <x:c r="F780" s="25" t="str">
        <x:v>10.1007/978-1-84628-927-9_1</x:v>
      </x:c>
      <x:c r="G780" s="25" t="str">
        <x:v>https://doi.org/10.1007/978-1-84628-927-9_1</x:v>
      </x:c>
      <x:c r="H780" s="25" t="str">
        <x:v>Crossref</x:v>
      </x:c>
      <x:c r="I780" s="25" t="str">
        <x:v>C10_affordance_embodied</x:v>
      </x:c>
      <x:c r="J780" s="25" t="str">
        <x:v>Exclude</x:v>
      </x:c>
      <x:c r="K780" s="25" t="str">
        <x:v>Exclude: topic mismatch</x:v>
      </x:c>
    </x:row>
    <x:row r="781">
      <x:c r="A781" s="20" t="str">
        <x:v>R0777</x:v>
      </x:c>
      <x:c r="B781" s="25" t="str">
        <x:v>Large Language Model (LLM) for Telecommunications: A Comprehensive Survey on Principles, Key Techniques, and Opportunities</x:v>
      </x:c>
      <x:c r="C781" s="25" t="n">
        <x:v>2024</x:v>
      </x:c>
      <x:c r="D781" s="25" t="str">
        <x:v>Hao Zhou; Chengming Hu; Ye Yuan; Yufei Cui; Yili Jin; Can Chen; Haolun Wu; Dun Yuan; Li Jiang; Di Wu; Xue Liu; Charlie Zhang; Xianbin Wang; Jiangchuan Liu</x:v>
      </x:c>
      <x:c r="E781" s="25" t="str">
        <x:v>arXiv (Cornell University)</x:v>
      </x:c>
      <x:c r="F781" s="25" t="str">
        <x:v>10.48550/arxiv.2405.10825</x:v>
      </x:c>
      <x:c r="G781" s="25" t="str">
        <x:v>http://arxiv.org/abs/2405.10825</x:v>
      </x:c>
      <x:c r="H781" s="25" t="str">
        <x:v>OpenAlex</x:v>
      </x:c>
      <x:c r="I781" s="25" t="str">
        <x:v>C5_agent_memory</x:v>
      </x:c>
      <x:c r="J781" s="25" t="str">
        <x:v>Exclude</x:v>
      </x:c>
      <x:c r="K781" s="25" t="str">
        <x:v>Exclude: adjacent/redundant or insufficiently theory-generative for DC1</x:v>
      </x:c>
    </x:row>
    <x:row r="782">
      <x:c r="A782" s="20" t="str">
        <x:v>R0778</x:v>
      </x:c>
      <x:c r="B782" s="25" t="str">
        <x:v>Metagent-P: A Neuro-Symbolic Planning Agent with Metacognition for Open Worlds</x:v>
      </x:c>
      <x:c r="C782" s="25" t="n">
        <x:v>2025</x:v>
      </x:c>
      <x:c r="D782" s="25" t="str">
        <x:v>YanfangZhou YanfangZhou; Yuntao Liu; Xiaodong Li; Yongqiang Zhao; Xintong Wang; Jinlong Tian; Zhenyu Li; Xinhai Xu</x:v>
      </x:c>
      <x:c r="E782" s="25" t="str"/>
      <x:c r="F782" s="25" t="str">
        <x:v>10.18653/v1/2025.findings-acl.1169</x:v>
      </x:c>
      <x:c r="G782" s="25" t="str">
        <x:v>https://doi.org/10.18653/v1/2025.findings-acl.1169</x:v>
      </x:c>
      <x:c r="H782" s="25" t="str">
        <x:v>OpenAlex</x:v>
      </x:c>
      <x:c r="I782" s="25" t="str">
        <x:v>C5_agent_memory</x:v>
      </x:c>
      <x:c r="J782" s="25" t="str">
        <x:v>Exclude</x:v>
      </x:c>
      <x:c r="K782" s="25" t="str">
        <x:v>Exclude: adjacent/redundant or insufficiently theory-generative for DC1</x:v>
      </x:c>
    </x:row>
    <x:row r="783">
      <x:c r="A783" s="20" t="str">
        <x:v>R0779</x:v>
      </x:c>
      <x:c r="B783" s="25" t="str">
        <x:v>Minimizing user cost for shared autonomy</x:v>
      </x:c>
      <x:c r="C783" s="25" t="n">
        <x:v>2016</x:v>
      </x:c>
      <x:c r="D783" s="25" t="str">
        <x:v>Shervin Javdani; J. Andrew Bagnell; Siddhartha S. Srinivasa</x:v>
      </x:c>
      <x:c r="E783" s="25" t="str">
        <x:v>2016 11th ACM/IEEE International Conference on Human-Robot Interaction (HRI)</x:v>
      </x:c>
      <x:c r="F783" s="25" t="str">
        <x:v>10.1109/hri.2016.7451886</x:v>
      </x:c>
      <x:c r="G783" s="25" t="str">
        <x:v>https://doi.org/10.1109/hri.2016.7451886</x:v>
      </x:c>
      <x:c r="H783" s="25" t="str">
        <x:v>Crossref</x:v>
      </x:c>
      <x:c r="I783" s="25" t="str">
        <x:v>C4_uncertainty_shared_autonomy</x:v>
      </x:c>
      <x:c r="J783" s="25" t="str">
        <x:v>Exclude</x:v>
      </x:c>
      <x:c r="K783" s="25" t="str">
        <x:v>Exclude: adjacent/redundant or insufficiently theory-generative for DC1</x:v>
      </x:c>
    </x:row>
    <x:row r="784">
      <x:c r="A784" s="20" t="str">
        <x:v>R0780</x:v>
      </x:c>
      <x:c r="B784" s="25" t="str">
        <x:v>Modeling Assembly Design Intent Based on Assembly Feature Pair</x:v>
      </x:c>
      <x:c r="C784" s="25" t="n">
        <x:v>2018</x:v>
      </x:c>
      <x:c r="D784" s="25" t="str">
        <x:v>Zhijia XU</x:v>
      </x:c>
      <x:c r="E784" s="25" t="str">
        <x:v>Journal of Mechanical Engineering</x:v>
      </x:c>
      <x:c r="F784" s="25" t="str">
        <x:v>10.3901/jme.2018.01.214</x:v>
      </x:c>
      <x:c r="G784" s="25" t="str">
        <x:v>https://doi.org/10.3901/jme.2018.01.214</x:v>
      </x:c>
      <x:c r="H784" s="25" t="str">
        <x:v>Crossref</x:v>
      </x:c>
      <x:c r="I784" s="25" t="str">
        <x:v>C13_CAD_design_intent</x:v>
      </x:c>
      <x:c r="J784" s="25" t="str">
        <x:v>Exclude</x:v>
      </x:c>
      <x:c r="K784" s="25" t="str">
        <x:v>Exclude: adjacent/redundant or insufficiently theory-generative for DC1</x:v>
      </x:c>
    </x:row>
    <x:row r="785">
      <x:c r="A785" s="20" t="str">
        <x:v>R0781</x:v>
      </x:c>
      <x:c r="B785" s="25" t="str">
        <x:v>Navigating Rifts in Human-LLM Grounding: Study and Benchmark</x:v>
      </x:c>
      <x:c r="C785" s="25" t="n">
        <x:v>2025</x:v>
      </x:c>
      <x:c r="D785" s="25" t="str">
        <x:v>Omar Shaikh; Hussein Mozannar; Gagan Bansal; Adam Fourney; Eric Horvitz</x:v>
      </x:c>
      <x:c r="E785" s="25" t="str"/>
      <x:c r="F785" s="25" t="str">
        <x:v>10.18653/v1/2025.acl-long.1016</x:v>
      </x:c>
      <x:c r="G785" s="25" t="str">
        <x:v>https://doi.org/10.18653/v1/2025.acl-long.1016</x:v>
      </x:c>
      <x:c r="H785" s="25" t="str">
        <x:v>OpenAlex</x:v>
      </x:c>
      <x:c r="I785" s="25" t="str">
        <x:v>C12_common_ground_repair</x:v>
      </x:c>
      <x:c r="J785" s="25" t="str">
        <x:v>Exclude</x:v>
      </x:c>
      <x:c r="K785" s="25" t="str">
        <x:v>Exclude: topic mismatch</x:v>
      </x:c>
    </x:row>
    <x:row r="786">
      <x:c r="A786" s="20" t="str">
        <x:v>R0782</x:v>
      </x:c>
      <x:c r="B786" s="25" t="str">
        <x:v>Need Help? Designing Proactive AI Assistants for Programming</x:v>
      </x:c>
      <x:c r="C786" s="25" t="n">
        <x:v>2024</x:v>
      </x:c>
      <x:c r="D786" s="25" t="str">
        <x:v>Valerie Chen; Alan Zhu; Sebastian Zhao; Hussein Mozannar; David Sontag; Ameet Talwalkar</x:v>
      </x:c>
      <x:c r="E786" s="25" t="str">
        <x:v>arXiv (Cornell University)</x:v>
      </x:c>
      <x:c r="F786" s="25" t="str">
        <x:v>10.48550/arxiv.2410.04596</x:v>
      </x:c>
      <x:c r="G786" s="25" t="str">
        <x:v>http://arxiv.org/abs/2410.04596</x:v>
      </x:c>
      <x:c r="H786" s="25" t="str">
        <x:v>OpenAlex</x:v>
      </x:c>
      <x:c r="I786" s="25" t="str">
        <x:v>C15_proactive_interruption</x:v>
      </x:c>
      <x:c r="J786" s="25" t="str">
        <x:v>Exclude</x:v>
      </x:c>
      <x:c r="K786" s="25" t="str">
        <x:v>Exclude: adjacent/redundant or insufficiently theory-generative for DC1</x:v>
      </x:c>
    </x:row>
    <x:row r="787">
      <x:c r="A787" s="20" t="str">
        <x:v>R0783</x:v>
      </x:c>
      <x:c r="B787" s="25" t="str">
        <x:v>Plan Recognition Using Statistical–Relational Models</x:v>
      </x:c>
      <x:c r="C787" s="25" t="n">
        <x:v>2014</x:v>
      </x:c>
      <x:c r="D787" s="25" t="str">
        <x:v>Sindhu Raghavan; Parag Singla; Raymond J. Mooney</x:v>
      </x:c>
      <x:c r="E787" s="25" t="str">
        <x:v>Plan, Activity, and Intent Recognition</x:v>
      </x:c>
      <x:c r="F787" s="25" t="str">
        <x:v>10.1016/b978-0-12-398532-3.00003-8</x:v>
      </x:c>
      <x:c r="G787" s="25" t="str">
        <x:v>https://doi.org/10.1016/b978-0-12-398532-3.00003-8</x:v>
      </x:c>
      <x:c r="H787" s="25" t="str">
        <x:v>Crossref</x:v>
      </x:c>
      <x:c r="I787" s="25" t="str">
        <x:v>C11_hierarchical_goal_recognition</x:v>
      </x:c>
      <x:c r="J787" s="25" t="str">
        <x:v>Exclude</x:v>
      </x:c>
      <x:c r="K787" s="25" t="str">
        <x:v>Exclude: topic mismatch</x:v>
      </x:c>
    </x:row>
    <x:row r="788">
      <x:c r="A788" s="20" t="str">
        <x:v>R0784</x:v>
      </x:c>
      <x:c r="B788" s="25" t="str">
        <x:v>Retrieval and Organizational Strategies in Conceptual Memory (PLE: Memory)</x:v>
      </x:c>
      <x:c r="C788" s="25" t="n">
        <x:v>2014</x:v>
      </x:c>
      <x:c r="D788" s="25" t="str">
        <x:v>Janet Kolodner</x:v>
      </x:c>
      <x:c r="E788" s="25" t="str"/>
      <x:c r="F788" s="25" t="str">
        <x:v>10.4324/9781315774930</x:v>
      </x:c>
      <x:c r="G788" s="25" t="str">
        <x:v>https://doi.org/10.4324/9781315774930</x:v>
      </x:c>
      <x:c r="H788" s="25" t="str">
        <x:v>Crossref</x:v>
      </x:c>
      <x:c r="I788" s="25" t="str">
        <x:v>C16_memory_conflict_bias</x:v>
      </x:c>
      <x:c r="J788" s="25" t="str">
        <x:v>Exclude</x:v>
      </x:c>
      <x:c r="K788" s="25" t="str">
        <x:v>Exclude: adjacent/redundant or insufficiently theory-generative for DC1</x:v>
      </x:c>
    </x:row>
    <x:row r="789">
      <x:c r="A789" s="20" t="str">
        <x:v>R0785</x:v>
      </x:c>
      <x:c r="B789" s="25" t="str">
        <x:v>Role-Based Ad Hoc Teamwork</x:v>
      </x:c>
      <x:c r="C789" s="25" t="n">
        <x:v>2014</x:v>
      </x:c>
      <x:c r="D789" s="25" t="str">
        <x:v>Katie Genter; Noa Agmon; Peter Stone</x:v>
      </x:c>
      <x:c r="E789" s="25" t="str">
        <x:v>Plan, Activity, and Intent Recognition</x:v>
      </x:c>
      <x:c r="F789" s="25" t="str">
        <x:v>10.1016/b978-0-12-398532-3.00010-5</x:v>
      </x:c>
      <x:c r="G789" s="25" t="str">
        <x:v>https://doi.org/10.1016/b978-0-12-398532-3.00010-5</x:v>
      </x:c>
      <x:c r="H789" s="25" t="str">
        <x:v>Crossref</x:v>
      </x:c>
      <x:c r="I789" s="25" t="str">
        <x:v>C11_hierarchical_goal_recognition</x:v>
      </x:c>
      <x:c r="J789" s="25" t="str">
        <x:v>Exclude</x:v>
      </x:c>
      <x:c r="K789" s="25" t="str">
        <x:v>Exclude: topic mismatch</x:v>
      </x:c>
    </x:row>
    <x:row r="790">
      <x:c r="A790" s="20" t="str">
        <x:v>R0786</x:v>
      </x:c>
      <x:c r="B790" s="25" t="str">
        <x:v>The Incompatibility of Substantive Canons and Textualism</x:v>
      </x:c>
      <x:c r="C790" s="25" t="n">
        <x:v>2023</x:v>
      </x:c>
      <x:c r="D790" s="25" t="str">
        <x:v>Benjamin Eidelson; Matthew Stephenson</x:v>
      </x:c>
      <x:c r="E790" s="25" t="str">
        <x:v>SSRN Electronic Journal</x:v>
      </x:c>
      <x:c r="F790" s="25" t="str">
        <x:v>10.2139/ssrn.4330403</x:v>
      </x:c>
      <x:c r="G790" s="25" t="str">
        <x:v>http://dx.doi.org/10.2139/ssrn.4330403</x:v>
      </x:c>
      <x:c r="H790" s="25" t="str">
        <x:v>OpenAlex</x:v>
      </x:c>
      <x:c r="I790" s="25" t="str">
        <x:v>C17_3D_gesture_ambiguity</x:v>
      </x:c>
      <x:c r="J790" s="25" t="str">
        <x:v>Exclude</x:v>
      </x:c>
      <x:c r="K790" s="25" t="str">
        <x:v>Exclude: topic mismatch</x:v>
      </x:c>
    </x:row>
    <x:row r="791">
      <x:c r="A791" s="20" t="str">
        <x:v>R0787</x:v>
      </x:c>
      <x:c r="B791" s="25" t="str">
        <x:v>Towards Human-centered Proactive Conversational Agents</x:v>
      </x:c>
      <x:c r="C791" s="25" t="n">
        <x:v>2024</x:v>
      </x:c>
      <x:c r="D791" s="25" t="str">
        <x:v>Yang Deng; Lizi Liao; Zhonghua Zheng; Grace Hui Yang; Tat‐Seng Chua</x:v>
      </x:c>
      <x:c r="E791" s="25" t="str">
        <x:v>arXiv (Cornell University)</x:v>
      </x:c>
      <x:c r="F791" s="25" t="str">
        <x:v>10.48550/arxiv.2404.12670</x:v>
      </x:c>
      <x:c r="G791" s="25" t="str">
        <x:v>http://arxiv.org/abs/2404.12670</x:v>
      </x:c>
      <x:c r="H791" s="25" t="str">
        <x:v>OpenAlex</x:v>
      </x:c>
      <x:c r="I791" s="25" t="str">
        <x:v>C15_proactive_interruption</x:v>
      </x:c>
      <x:c r="J791" s="25" t="str">
        <x:v>Exclude</x:v>
      </x:c>
      <x:c r="K791" s="25" t="str">
        <x:v>Exclude: adjacent/redundant or insufficiently theory-generative for DC1</x:v>
      </x:c>
    </x:row>
    <x:row r="792">
      <x:c r="A792" s="20" t="str">
        <x:v>R0788</x:v>
      </x:c>
      <x:c r="B792" s="25" t="str">
        <x:v>Towards Intelligent Companion Systems in General Aviation using Hierarchical Plan and Goal Recognition</x:v>
      </x:c>
      <x:c r="C792" s="25" t="n">
        <x:v>2023</x:v>
      </x:c>
      <x:c r="D792" s="25" t="str">
        <x:v>Prakash Jamakatel; Pascal Bercher; Axel Schulte; Jane Jean Kiam</x:v>
      </x:c>
      <x:c r="E792" s="25" t="str">
        <x:v>International Conference on Human-Agent Interaction</x:v>
      </x:c>
      <x:c r="F792" s="25" t="str">
        <x:v>10.1145/3623809.3623877</x:v>
      </x:c>
      <x:c r="G792" s="25" t="str">
        <x:v>https://doi.org/10.1145/3623809.3623877</x:v>
      </x:c>
      <x:c r="H792" s="25" t="str">
        <x:v>Crossref</x:v>
      </x:c>
      <x:c r="I792" s="25" t="str">
        <x:v>C11_hierarchical_goal_recognition</x:v>
      </x:c>
      <x:c r="J792" s="25" t="str">
        <x:v>Exclude</x:v>
      </x:c>
      <x:c r="K792" s="25" t="str">
        <x:v>Exclude: topic mismatch</x:v>
      </x:c>
    </x:row>
    <x:row r="793">
      <x:c r="A793" s="20" t="str">
        <x:v>R0789</x:v>
      </x:c>
      <x:c r="B793" s="25" t="str">
        <x:v>Towards a Multimodal and Context-Aware Framework for Human Navigational Intent Inference</x:v>
      </x:c>
      <x:c r="C793" s="25" t="n">
        <x:v>2020</x:v>
      </x:c>
      <x:c r="D793" s="25" t="str">
        <x:v>Zhitian Zhang</x:v>
      </x:c>
      <x:c r="E793" s="25" t="str">
        <x:v>Proceedings of the 2020 International Conference on Multimodal Interaction</x:v>
      </x:c>
      <x:c r="F793" s="25" t="str">
        <x:v>10.1145/3382507.3421156</x:v>
      </x:c>
      <x:c r="G793" s="25" t="str">
        <x:v>https://doi.org/10.1145/3382507.3421156</x:v>
      </x:c>
      <x:c r="H793" s="25" t="str">
        <x:v>Crossref</x:v>
      </x:c>
      <x:c r="I793" s="25" t="str">
        <x:v>C2_interaction_signals; C4_uncertainty_shared_autonomy</x:v>
      </x:c>
      <x:c r="J793" s="25" t="str">
        <x:v>Exclude</x:v>
      </x:c>
      <x:c r="K793" s="25" t="str">
        <x:v>Exclude: adjacent/redundant or insufficiently theory-generative for DC1</x:v>
      </x:c>
    </x:row>
    <x:row r="794">
      <x:c r="A794" s="20" t="str">
        <x:v>R0790</x:v>
      </x:c>
      <x:c r="B794" s="25" t="str">
        <x:v>Understanding AI and power: situated perspectives from Global North and South practitioners</x:v>
      </x:c>
      <x:c r="C794" s="25" t="n">
        <x:v>2025</x:v>
      </x:c>
      <x:c r="D794" s="25" t="str">
        <x:v>Venetia Brown; Retno Larasati; Joseph Kwarteng; Tracie Farrell</x:v>
      </x:c>
      <x:c r="E794" s="25" t="str">
        <x:v>AI &amp; Society</x:v>
      </x:c>
      <x:c r="F794" s="25" t="str">
        <x:v>10.1007/s00146-025-02731-x</x:v>
      </x:c>
      <x:c r="G794" s="25" t="str">
        <x:v>https://doi.org/10.1007/s00146-025-02731-x</x:v>
      </x:c>
      <x:c r="H794" s="25" t="str">
        <x:v>OpenAlex</x:v>
      </x:c>
      <x:c r="I794" s="25" t="str">
        <x:v>C12_common_ground_repair</x:v>
      </x:c>
      <x:c r="J794" s="25" t="str">
        <x:v>Exclude</x:v>
      </x:c>
      <x:c r="K794" s="25" t="str">
        <x:v>Exclude: adjacent/redundant or insufficiently theory-generative for DC1</x:v>
      </x:c>
    </x:row>
    <x:row r="795">
      <x:c r="A795" s="20" t="str">
        <x:v>R0791</x:v>
      </x:c>
      <x:c r="B795" s="25" t="str">
        <x:v>User-Tailored Planning of Mixed Initiative Information-Seeking Dialogues</x:v>
      </x:c>
      <x:c r="C795" s="25" t="n">
        <x:v>1999</x:v>
      </x:c>
      <x:c r="D795" s="25" t="str">
        <x:v>Adelheit Stein; Jon Atle Gulla; Ulrich Thiel</x:v>
      </x:c>
      <x:c r="E795" s="25" t="str">
        <x:v>Computational Models of Mixed-Initiative Interaction</x:v>
      </x:c>
      <x:c r="F795" s="25" t="str">
        <x:v>10.1007/978-94-017-1118-0_9</x:v>
      </x:c>
      <x:c r="G795" s="25" t="str">
        <x:v>https://doi.org/10.1007/978-94-017-1118-0_9</x:v>
      </x:c>
      <x:c r="H795" s="25" t="str">
        <x:v>Crossref</x:v>
      </x:c>
      <x:c r="I795" s="25" t="str">
        <x:v>C15_proactive_interruption</x:v>
      </x:c>
      <x:c r="J795" s="25" t="str">
        <x:v>Exclude</x:v>
      </x:c>
      <x:c r="K795" s="25" t="str">
        <x:v>Exclude: adjacent/redundant or insufficiently theory-generative for DC1</x:v>
      </x:c>
    </x:row>
    <x:row r="796">
      <x:c r="A796" s="20" t="str">
        <x:v>R0792</x:v>
      </x:c>
      <x:c r="B796" s="25" t="str">
        <x:v>Using Opponent Modeling to Adapt Team Play in American Football</x:v>
      </x:c>
      <x:c r="C796" s="25" t="n">
        <x:v>2014</x:v>
      </x:c>
      <x:c r="D796" s="25" t="str">
        <x:v>Kennard R. Laviers; Gita Sukthankar</x:v>
      </x:c>
      <x:c r="E796" s="25" t="str">
        <x:v>Plan, Activity, and Intent Recognition</x:v>
      </x:c>
      <x:c r="F796" s="25" t="str">
        <x:v>10.1016/b978-0-12-398532-3.00013-0</x:v>
      </x:c>
      <x:c r="G796" s="25" t="str">
        <x:v>https://doi.org/10.1016/b978-0-12-398532-3.00013-0</x:v>
      </x:c>
      <x:c r="H796" s="25" t="str">
        <x:v>Crossref</x:v>
      </x:c>
      <x:c r="I796" s="25" t="str">
        <x:v>C11_hierarchical_goal_recognition</x:v>
      </x:c>
      <x:c r="J796" s="25" t="str">
        <x:v>Exclude</x:v>
      </x:c>
      <x:c r="K796" s="25" t="str">
        <x:v>Exclude: topic mismatch</x:v>
      </x:c>
    </x:row>
    <x:row r="797">
      <x:c r="A797" s="20" t="str">
        <x:v>R0793</x:v>
      </x:c>
      <x:c r="B797" s="25" t="str">
        <x:v>A Comparison of Three Methods of Task Analysis: Cognitive Analysis, Graph-Matrix Analysis, and Self-Organizing Networks</x:v>
      </x:c>
      <x:c r="C797" s="25" t="n">
        <x:v>1997</x:v>
      </x:c>
      <x:c r="D797" s="25" t="str">
        <x:v>John F. McGrew</x:v>
      </x:c>
      <x:c r="E797" s="25" t="str">
        <x:v>International Journal of Human–Computer Interaction</x:v>
      </x:c>
      <x:c r="F797" s="25" t="str">
        <x:v>10.1207/s15327590ijhc0901_3</x:v>
      </x:c>
      <x:c r="G797" s="25" t="str">
        <x:v>https://doi.org/10.1207/s15327590ijhc0901_3</x:v>
      </x:c>
      <x:c r="H797" s="25" t="str">
        <x:v>Crossref</x:v>
      </x:c>
      <x:c r="I797" s="25" t="str">
        <x:v>C18_video_intent_coding_VLM_annotation</x:v>
      </x:c>
      <x:c r="J797" s="25" t="str">
        <x:v>Exclude</x:v>
      </x:c>
      <x:c r="K797" s="25" t="str">
        <x:v>Exclude: topic mismatch</x:v>
      </x:c>
    </x:row>
    <x:row r="798">
      <x:c r="A798" s="20" t="str">
        <x:v>R0794</x:v>
      </x:c>
      <x:c r="B798" s="25" t="str">
        <x:v>A Graphical User Interface (GUI) Testing Methodology</x:v>
      </x:c>
      <x:c r="C798" s="25" t="str"/>
      <x:c r="D798" s="25" t="str">
        <x:v>Zafar Singhera; Ellis Horowitz; Abad Shah</x:v>
      </x:c>
      <x:c r="E798" s="25" t="str">
        <x:v>Human Computer Interaction</x:v>
      </x:c>
      <x:c r="F798" s="25" t="str">
        <x:v>10.4018/9781878289919.ch044</x:v>
      </x:c>
      <x:c r="G798" s="25" t="str">
        <x:v>https://doi.org/10.4018/9781878289919.ch044</x:v>
      </x:c>
      <x:c r="H798" s="25" t="str">
        <x:v>Crossref</x:v>
      </x:c>
      <x:c r="I798" s="25" t="str">
        <x:v>C6_frontend_GUI_intent</x:v>
      </x:c>
      <x:c r="J798" s="25" t="str">
        <x:v>Exclude</x:v>
      </x:c>
      <x:c r="K798" s="25" t="str">
        <x:v>Exclude: topic mismatch</x:v>
      </x:c>
    </x:row>
    <x:row r="799">
      <x:c r="A799" s="20" t="str">
        <x:v>R0795</x:v>
      </x:c>
      <x:c r="B799" s="25" t="str">
        <x:v>A Negotiation-Theoretic Framework for Control Authority Transfer in Mixed-Initiative Robotic Systems</x:v>
      </x:c>
      <x:c r="C799" s="25" t="n">
        <x:v>2022</x:v>
      </x:c>
      <x:c r="D799" s="25" t="str">
        <x:v>Simon Rothfuß; Manolis Chiou; Jairo Inga; Sören Hohmann; Rustam Stolkin</x:v>
      </x:c>
      <x:c r="E799" s="25" t="str"/>
      <x:c r="F799" s="25" t="str">
        <x:v>10.36227/techrxiv.20306529.v1</x:v>
      </x:c>
      <x:c r="G799" s="25" t="str">
        <x:v>https://doi.org/10.36227/techrxiv.20306529.v1</x:v>
      </x:c>
      <x:c r="H799" s="25" t="str">
        <x:v>Crossref</x:v>
      </x:c>
      <x:c r="I799" s="25" t="str">
        <x:v>C9_human_agent_handoff</x:v>
      </x:c>
      <x:c r="J799" s="25" t="str">
        <x:v>Exclude</x:v>
      </x:c>
      <x:c r="K799" s="25" t="str">
        <x:v>Exclude: adjacent/redundant or insufficiently theory-generative for DC1</x:v>
      </x:c>
    </x:row>
    <x:row r="800">
      <x:c r="A800" s="20" t="str">
        <x:v>R0796</x:v>
      </x:c>
      <x:c r="B800" s="25" t="str">
        <x:v>A SYSTEMATIC REVIEW OF HUMAN-AI COLLABORATION IN IT SUPPORT SERVICES: ENHANCING USER EXPERIENCE AND WORKFLOW AUTOMATION</x:v>
      </x:c>
      <x:c r="C800" s="25" t="n">
        <x:v>2025</x:v>
      </x:c>
      <x:c r="D800" s="25" t="str">
        <x:v>Rakibul Hasan</x:v>
      </x:c>
      <x:c r="E800" s="25" t="str">
        <x:v>American Journal of Interdisciplinary Studies</x:v>
      </x:c>
      <x:c r="F800" s="25" t="str">
        <x:v>10.63125/0fd1yb74</x:v>
      </x:c>
      <x:c r="G800" s="25" t="str">
        <x:v>https://doi.org/10.63125/0fd1yb74</x:v>
      </x:c>
      <x:c r="H800" s="25" t="str">
        <x:v>OpenAlex</x:v>
      </x:c>
      <x:c r="I800" s="25" t="str">
        <x:v>C12_common_ground_repair</x:v>
      </x:c>
      <x:c r="J800" s="25" t="str">
        <x:v>Exclude</x:v>
      </x:c>
      <x:c r="K800" s="25" t="str">
        <x:v>Exclude: adjacent/redundant or insufficiently theory-generative for DC1</x:v>
      </x:c>
    </x:row>
    <x:row r="801">
      <x:c r="A801" s="20" t="str">
        <x:v>R0797</x:v>
      </x:c>
      <x:c r="B801" s="25" t="str">
        <x:v>A Thematic Framework for Human-AI Co-creative Writing:  Writers' Experiences of the Process</x:v>
      </x:c>
      <x:c r="C801" s="25" t="n">
        <x:v>2025</x:v>
      </x:c>
      <x:c r="D801" s="25" t="str">
        <x:v>Ida Bang Hansen; Janet Rafner</x:v>
      </x:c>
      <x:c r="E801" s="25" t="str"/>
      <x:c r="F801" s="25" t="str">
        <x:v>10.31219/osf.io/fgqcz_v1</x:v>
      </x:c>
      <x:c r="G801" s="25" t="str">
        <x:v>https://doi.org/10.31219/osf.io/fgqcz_v1</x:v>
      </x:c>
      <x:c r="H801" s="25" t="str">
        <x:v>Crossref</x:v>
      </x:c>
      <x:c r="I801" s="25" t="str">
        <x:v>C14_agency_ownership</x:v>
      </x:c>
      <x:c r="J801" s="25" t="str">
        <x:v>Exclude</x:v>
      </x:c>
      <x:c r="K801" s="25" t="str">
        <x:v>Exclude: adjacent/redundant or insufficiently theory-generative for DC1</x:v>
      </x:c>
    </x:row>
    <x:row r="802">
      <x:c r="A802" s="20" t="str">
        <x:v>R0798</x:v>
      </x:c>
      <x:c r="B802" s="25" t="str">
        <x:v>A design method for building in-air gestural interactions</x:v>
      </x:c>
      <x:c r="C802" s="25" t="n">
        <x:v>2017</x:v>
      </x:c>
      <x:c r="D802" s="25" t="str">
        <x:v>Lucas Figueiredo</x:v>
      </x:c>
      <x:c r="E802" s="25" t="str">
        <x:v>LA Referencia (Red Federada de Repositorios Institucionales de Publicaciones Científicas)</x:v>
      </x:c>
      <x:c r="F802" s="25" t="str"/>
      <x:c r="G802" s="25" t="str">
        <x:v>https://repositorio.ufpe.br/handle/123456789/25630</x:v>
      </x:c>
      <x:c r="H802" s="25" t="str">
        <x:v>OpenAlex</x:v>
      </x:c>
      <x:c r="I802" s="25" t="str">
        <x:v>C17_3D_gesture_ambiguity</x:v>
      </x:c>
      <x:c r="J802" s="25" t="str">
        <x:v>Exclude</x:v>
      </x:c>
      <x:c r="K802" s="25" t="str">
        <x:v>Exclude: adjacent/redundant or insufficiently theory-generative for DC1</x:v>
      </x:c>
    </x:row>
    <x:row r="803">
      <x:c r="A803" s="20" t="str">
        <x:v>R0799</x:v>
      </x:c>
      <x:c r="B803" s="25" t="str">
        <x:v>A retrieval-based approach to eliminating hindsight bias</x:v>
      </x:c>
      <x:c r="C803" s="25" t="n">
        <x:v>2016</x:v>
      </x:c>
      <x:c r="D803" s="25" t="str">
        <x:v>Martin Van Boekel; Keisha Varma; Sashank Varma</x:v>
      </x:c>
      <x:c r="E803" s="25" t="str">
        <x:v>Memory</x:v>
      </x:c>
      <x:c r="F803" s="25" t="str">
        <x:v>10.1080/09658211.2016.1176202</x:v>
      </x:c>
      <x:c r="G803" s="25" t="str">
        <x:v>https://doi.org/10.1080/09658211.2016.1176202</x:v>
      </x:c>
      <x:c r="H803" s="25" t="str">
        <x:v>Crossref</x:v>
      </x:c>
      <x:c r="I803" s="25" t="str">
        <x:v>C16_memory_conflict_bias</x:v>
      </x:c>
      <x:c r="J803" s="25" t="str">
        <x:v>Exclude</x:v>
      </x:c>
      <x:c r="K803" s="25" t="str">
        <x:v>Exclude: topic mismatch</x:v>
      </x:c>
    </x:row>
    <x:row r="804">
      <x:c r="A804" s="20" t="str">
        <x:v>R0800</x:v>
      </x:c>
      <x:c r="B804" s="25" t="str">
        <x:v>AI Creativity and Human Enhancement</x:v>
      </x:c>
      <x:c r="C804" s="25" t="n">
        <x:v>2024</x:v>
      </x:c>
      <x:c r="D804" s="25" t="str">
        <x:v>Kristina Khutsishvili</x:v>
      </x:c>
      <x:c r="E804" s="25" t="str">
        <x:v>Artificial Intelligence, Co-Creation and Creativity</x:v>
      </x:c>
      <x:c r="F804" s="25" t="str">
        <x:v>10.4324/9781003453901-14</x:v>
      </x:c>
      <x:c r="G804" s="25" t="str">
        <x:v>https://doi.org/10.4324/9781003453901-14</x:v>
      </x:c>
      <x:c r="H804" s="25" t="str">
        <x:v>Crossref</x:v>
      </x:c>
      <x:c r="I804" s="25" t="str">
        <x:v>C3_mixed_initiative_cocreation</x:v>
      </x:c>
      <x:c r="J804" s="25" t="str">
        <x:v>Exclude</x:v>
      </x:c>
      <x:c r="K804" s="25" t="str">
        <x:v>Exclude: adjacent/redundant or insufficiently theory-generative for DC1</x:v>
      </x:c>
    </x:row>
    <x:row r="805">
      <x:c r="A805" s="20" t="str">
        <x:v>R0801</x:v>
      </x:c>
      <x:c r="B805" s="25" t="str">
        <x:v>AI and Creativity in Marketing</x:v>
      </x:c>
      <x:c r="C805" s="25" t="n">
        <x:v>2024</x:v>
      </x:c>
      <x:c r="D805" s="25" t="str">
        <x:v>Pasha Abkenar; Francisco Tigre Moura; Clare Hindley</x:v>
      </x:c>
      <x:c r="E805" s="25" t="str">
        <x:v>Artificial Intelligence, Co-Creation and Creativity</x:v>
      </x:c>
      <x:c r="F805" s="25" t="str">
        <x:v>10.4324/9781003453901-11</x:v>
      </x:c>
      <x:c r="G805" s="25" t="str">
        <x:v>https://doi.org/10.4324/9781003453901-11</x:v>
      </x:c>
      <x:c r="H805" s="25" t="str">
        <x:v>Crossref</x:v>
      </x:c>
      <x:c r="I805" s="25" t="str">
        <x:v>C3_mixed_initiative_cocreation</x:v>
      </x:c>
      <x:c r="J805" s="25" t="str">
        <x:v>Exclude</x:v>
      </x:c>
      <x:c r="K805" s="25" t="str">
        <x:v>Exclude: domain-specific signal model without transferable HCI theory</x:v>
      </x:c>
    </x:row>
    <x:row r="806">
      <x:c r="A806" s="20" t="str">
        <x:v>R0802</x:v>
      </x:c>
      <x:c r="B806" s="25" t="str">
        <x:v>Agentic Lab: An Agentic-physical AI system for cell and organoid experimentation and manufacturing</x:v>
      </x:c>
      <x:c r="C806" s="25" t="n">
        <x:v>2025</x:v>
      </x:c>
      <x:c r="D806" s="25" t="str">
        <x:v>Wenbo Wang; Simran Swain; Jaeyong Lee; Zuwan Lin; Bradley Canales; Almir Aljović; Yaxuan Liu; Qiang Li; Arnau Marin‐Llobet; Mai Liu; Zihan Gao; Liu Ren; Juan R. Alvarez‐Dominguez; Jia Liu</x:v>
      </x:c>
      <x:c r="E806" s="25" t="str">
        <x:v>bioRxiv (Cold Spring Harbor Laboratory)</x:v>
      </x:c>
      <x:c r="F806" s="25" t="str">
        <x:v>10.1101/2025.11.11.686354</x:v>
      </x:c>
      <x:c r="G806" s="25" t="str">
        <x:v>https://doi.org/10.1101/2025.11.11.686354</x:v>
      </x:c>
      <x:c r="H806" s="25" t="str">
        <x:v>OpenAlex</x:v>
      </x:c>
      <x:c r="I806" s="25" t="str">
        <x:v>C5_agent_memory</x:v>
      </x:c>
      <x:c r="J806" s="25" t="str">
        <x:v>Exclude</x:v>
      </x:c>
      <x:c r="K806" s="25" t="str">
        <x:v>Exclude: adjacent/redundant or insufficiently theory-generative for DC1</x:v>
      </x:c>
    </x:row>
    <x:row r="807">
      <x:c r="A807" s="20" t="str">
        <x:v>R0803</x:v>
      </x:c>
      <x:c r="B807" s="25" t="str">
        <x:v>An Action Unit based Hierarchical Random Forest Model to Facial Expression Recognition</x:v>
      </x:c>
      <x:c r="C807" s="25" t="n">
        <x:v>2017</x:v>
      </x:c>
      <x:c r="D807" s="25" t="str">
        <x:v>Jingying Chen; Mulan Zhang; Xianglong Xue; Ruyi Xu; Kun Zhang</x:v>
      </x:c>
      <x:c r="E807" s="25" t="str">
        <x:v>Proceedings of the 6th International Conference on Pattern Recognition Applications and Methods</x:v>
      </x:c>
      <x:c r="F807" s="25" t="str">
        <x:v>10.5220/0006274707530760</x:v>
      </x:c>
      <x:c r="G807" s="25" t="str">
        <x:v>https://doi.org/10.5220/0006274707530760</x:v>
      </x:c>
      <x:c r="H807" s="25" t="str">
        <x:v>Crossref</x:v>
      </x:c>
      <x:c r="I807" s="25" t="str">
        <x:v>C11_hierarchical_goal_recognition</x:v>
      </x:c>
      <x:c r="J807" s="25" t="str">
        <x:v>Exclude</x:v>
      </x:c>
      <x:c r="K807" s="25" t="str">
        <x:v>Exclude: topic mismatch</x:v>
      </x:c>
    </x:row>
    <x:row r="808">
      <x:c r="A808" s="20" t="str">
        <x:v>R0804</x:v>
      </x:c>
      <x:c r="B808" s="25" t="str">
        <x:v>Autonomous Large Language Model Agents Enabling Intent-Driven Mobile GUI Testing</x:v>
      </x:c>
      <x:c r="C808" s="25" t="n">
        <x:v>2023</x:v>
      </x:c>
      <x:c r="D808" s="25" t="str">
        <x:v>Juyeon Yoon; Robert Feldt; Shin Yoo</x:v>
      </x:c>
      <x:c r="E808" s="25" t="str">
        <x:v>arXiv (Cornell University)</x:v>
      </x:c>
      <x:c r="F808" s="25" t="str">
        <x:v>10.48550/arxiv.2311.08649</x:v>
      </x:c>
      <x:c r="G808" s="25" t="str">
        <x:v>http://arxiv.org/abs/2311.08649</x:v>
      </x:c>
      <x:c r="H808" s="25" t="str">
        <x:v>OpenAlex</x:v>
      </x:c>
      <x:c r="I808" s="25" t="str">
        <x:v>C6_frontend_GUI_intent</x:v>
      </x:c>
      <x:c r="J808" s="25" t="str">
        <x:v>Exclude</x:v>
      </x:c>
      <x:c r="K808" s="25" t="str">
        <x:v>Exclude: adjacent/redundant or insufficiently theory-generative for DC1</x:v>
      </x:c>
    </x:row>
    <x:row r="809">
      <x:c r="A809" s="20" t="str">
        <x:v>R0805</x:v>
      </x:c>
      <x:c r="B809" s="25" t="str">
        <x:v>Benchmarking Human-AI Collaboration for Common Evidence Appraisal Tools</x:v>
      </x:c>
      <x:c r="C809" s="25" t="n">
        <x:v>2024</x:v>
      </x:c>
      <x:c r="D809" s="25" t="str">
        <x:v>Tim Woelfle; Julian Hirt; Perrine Janiaud; Ludwig Kappos; John P. A. Ioannidis; Lars G. Hemkens</x:v>
      </x:c>
      <x:c r="E809" s="25" t="str"/>
      <x:c r="F809" s="25" t="str">
        <x:v>10.1101/2024.04.21.24306137</x:v>
      </x:c>
      <x:c r="G809" s="25" t="str">
        <x:v>https://doi.org/10.1101/2024.04.21.24306137</x:v>
      </x:c>
      <x:c r="H809" s="25" t="str">
        <x:v>Crossref</x:v>
      </x:c>
      <x:c r="I809" s="25" t="str">
        <x:v>C12_common_ground_repair</x:v>
      </x:c>
      <x:c r="J809" s="25" t="str">
        <x:v>Exclude</x:v>
      </x:c>
      <x:c r="K809" s="25" t="str">
        <x:v>Exclude: topic mismatch</x:v>
      </x:c>
    </x:row>
    <x:row r="810">
      <x:c r="A810" s="20" t="str">
        <x:v>R0806</x:v>
      </x:c>
      <x:c r="B810" s="25" t="str">
        <x:v>Beyond Traditional Computer-Aided Design Parameterization, Feature Engineering for Improved Surrogate Modeling in Engineering Design</x:v>
      </x:c>
      <x:c r="C810" s="25" t="n">
        <x:v>2024</x:v>
      </x:c>
      <x:c r="D810" s="25" t="str">
        <x:v>Mohammad Rad; Massimo Panarotto; Ola Isaksson</x:v>
      </x:c>
      <x:c r="E810" s="25" t="str">
        <x:v>Computer-Aided Design and Applications</x:v>
      </x:c>
      <x:c r="F810" s="25" t="str">
        <x:v>10.14733/cadaps.2025.536-554</x:v>
      </x:c>
      <x:c r="G810" s="25" t="str">
        <x:v>https://doi.org/10.14733/cadaps.2025.536-554</x:v>
      </x:c>
      <x:c r="H810" s="25" t="str">
        <x:v>Crossref</x:v>
      </x:c>
      <x:c r="I810" s="25" t="str">
        <x:v>C13_CAD_design_intent</x:v>
      </x:c>
      <x:c r="J810" s="25" t="str">
        <x:v>Exclude</x:v>
      </x:c>
      <x:c r="K810" s="25" t="str">
        <x:v>Exclude: topic mismatch</x:v>
      </x:c>
    </x:row>
    <x:row r="811">
      <x:c r="A811" s="20" t="str">
        <x:v>R0807</x:v>
      </x:c>
      <x:c r="B811" s="25" t="str">
        <x:v>Bing dialog model</x:v>
      </x:c>
      <x:c r="C811" s="25" t="n">
        <x:v>2011</x:v>
      </x:c>
      <x:c r="D811" s="25" t="str">
        <x:v>Harry Shum</x:v>
      </x:c>
      <x:c r="E811" s="25" t="str">
        <x:v>Proceedings of the fourth ACM international conference on Web search and data mining</x:v>
      </x:c>
      <x:c r="F811" s="25" t="str">
        <x:v>10.1145/1935826.1935852</x:v>
      </x:c>
      <x:c r="G811" s="25" t="str">
        <x:v>https://doi.org/10.1145/1935826.1935852</x:v>
      </x:c>
      <x:c r="H811" s="25" t="str">
        <x:v>Crossref</x:v>
      </x:c>
      <x:c r="I811" s="25" t="str">
        <x:v>C2_interaction_signals</x:v>
      </x:c>
      <x:c r="J811" s="25" t="str">
        <x:v>Exclude</x:v>
      </x:c>
      <x:c r="K811" s="25" t="str">
        <x:v>Exclude: topic mismatch</x:v>
      </x:c>
    </x:row>
    <x:row r="812">
      <x:c r="A812" s="20" t="str">
        <x:v>R0808</x:v>
      </x:c>
      <x:c r="B812" s="25" t="str">
        <x:v>Boosting Mixed-Initiative Co-Creativity in Game Design: A Tutorial</x:v>
      </x:c>
      <x:c r="C812" s="25" t="n">
        <x:v>2025</x:v>
      </x:c>
      <x:c r="D812" s="25" t="str">
        <x:v>Solange Margarido; Penousal Machado; Licínio Roque; Pedro Martins</x:v>
      </x:c>
      <x:c r="E812" s="25" t="str">
        <x:v>ACM Computing Surveys</x:v>
      </x:c>
      <x:c r="F812" s="25" t="str">
        <x:v>10.1145/3759914</x:v>
      </x:c>
      <x:c r="G812" s="25" t="str">
        <x:v>https://doi.org/10.1145/3759914</x:v>
      </x:c>
      <x:c r="H812" s="25" t="str">
        <x:v>OpenAlex</x:v>
      </x:c>
      <x:c r="I812" s="25" t="str">
        <x:v>C15_proactive_interruption</x:v>
      </x:c>
      <x:c r="J812" s="25" t="str">
        <x:v>Exclude</x:v>
      </x:c>
      <x:c r="K812" s="25" t="str">
        <x:v>Exclude: adjacent/redundant or insufficiently theory-generative for DC1</x:v>
      </x:c>
    </x:row>
    <x:row r="813">
      <x:c r="A813" s="20" t="str">
        <x:v>R0809</x:v>
      </x:c>
      <x:c r="B813" s="25" t="str">
        <x:v>Bootstrapping Multiple Converging Cognitive Task Analysis Techniques for System Design</x:v>
      </x:c>
      <x:c r="C813" s="25" t="n">
        <x:v>2000</x:v>
      </x:c>
      <x:c r="D813" s="25" t="str"/>
      <x:c r="E813" s="25" t="str">
        <x:v>Cognitive Task Analysis</x:v>
      </x:c>
      <x:c r="F813" s="25" t="str">
        <x:v>10.4324/9781410605795-30</x:v>
      </x:c>
      <x:c r="G813" s="25" t="str">
        <x:v>https://doi.org/10.4324/9781410605795-30</x:v>
      </x:c>
      <x:c r="H813" s="25" t="str">
        <x:v>Crossref</x:v>
      </x:c>
      <x:c r="I813" s="25" t="str">
        <x:v>C18_video_intent_coding_VLM_annotation</x:v>
      </x:c>
      <x:c r="J813" s="25" t="str">
        <x:v>Exclude</x:v>
      </x:c>
      <x:c r="K813" s="25" t="str">
        <x:v>Exclude: topic mismatch</x:v>
      </x:c>
    </x:row>
    <x:row r="814">
      <x:c r="A814" s="20" t="str">
        <x:v>R0810</x:v>
      </x:c>
      <x:c r="B814" s="25" t="str">
        <x:v>Cognitive Task Analysis of Teams</x:v>
      </x:c>
      <x:c r="C814" s="25" t="n">
        <x:v>2000</x:v>
      </x:c>
      <x:c r="D814" s="25" t="str"/>
      <x:c r="E814" s="25" t="str">
        <x:v>Cognitive Task Analysis</x:v>
      </x:c>
      <x:c r="F814" s="25" t="str">
        <x:v>10.4324/9781410605795-36</x:v>
      </x:c>
      <x:c r="G814" s="25" t="str">
        <x:v>https://doi.org/10.4324/9781410605795-36</x:v>
      </x:c>
      <x:c r="H814" s="25" t="str">
        <x:v>Crossref</x:v>
      </x:c>
      <x:c r="I814" s="25" t="str">
        <x:v>C18_video_intent_coding_VLM_annotation</x:v>
      </x:c>
      <x:c r="J814" s="25" t="str">
        <x:v>Exclude</x:v>
      </x:c>
      <x:c r="K814" s="25" t="str">
        <x:v>Exclude: topic mismatch</x:v>
      </x:c>
    </x:row>
    <x:row r="815">
      <x:c r="A815" s="20" t="str">
        <x:v>R0811</x:v>
      </x:c>
      <x:c r="B815" s="25" t="str">
        <x:v>ComPeer: A Generative Conversational Agent for Proactive Peer Support</x:v>
      </x:c>
      <x:c r="C815" s="25" t="n">
        <x:v>2024</x:v>
      </x:c>
      <x:c r="D815" s="25" t="str">
        <x:v>Tianjian Liu; Hongzheng Zhao; Yuheng Liu; Xingbo Wang; Zhenhui Peng</x:v>
      </x:c>
      <x:c r="E815" s="25" t="str">
        <x:v>arXiv (Cornell University)</x:v>
      </x:c>
      <x:c r="F815" s="25" t="str">
        <x:v>10.48550/arxiv.2407.18064</x:v>
      </x:c>
      <x:c r="G815" s="25" t="str">
        <x:v>http://arxiv.org/abs/2407.18064</x:v>
      </x:c>
      <x:c r="H815" s="25" t="str">
        <x:v>OpenAlex</x:v>
      </x:c>
      <x:c r="I815" s="25" t="str">
        <x:v>C15_proactive_interruption</x:v>
      </x:c>
      <x:c r="J815" s="25" t="str">
        <x:v>Exclude</x:v>
      </x:c>
      <x:c r="K815" s="25" t="str">
        <x:v>Exclude: topic mismatch</x:v>
      </x:c>
    </x:row>
    <x:row r="816">
      <x:c r="A816" s="20" t="str">
        <x:v>R0812</x:v>
      </x:c>
      <x:c r="B816" s="25" t="str">
        <x:v>Comparing User Responses to Limited and Flexible Interaction in a Conversational Interface</x:v>
      </x:c>
      <x:c r="C816" s="25" t="n">
        <x:v>2018</x:v>
      </x:c>
      <x:c r="D816" s="25" t="str">
        <x:v>Dilyana Savcheva; Mary Ellen Foster</x:v>
      </x:c>
      <x:c r="E816" s="25" t="str">
        <x:v>Proceedings of the 6th International Conference on Human-Agent Interaction</x:v>
      </x:c>
      <x:c r="F816" s="25" t="str">
        <x:v>10.1145/3284432.3287189</x:v>
      </x:c>
      <x:c r="G816" s="25" t="str">
        <x:v>https://doi.org/10.1145/3284432.3287189</x:v>
      </x:c>
      <x:c r="H816" s="25" t="str">
        <x:v>Crossref</x:v>
      </x:c>
      <x:c r="I816" s="25" t="str">
        <x:v>C6_frontend_GUI_intent</x:v>
      </x:c>
      <x:c r="J816" s="25" t="str">
        <x:v>Exclude</x:v>
      </x:c>
      <x:c r="K816" s="25" t="str">
        <x:v>Exclude: topic mismatch</x:v>
      </x:c>
    </x:row>
    <x:row r="817">
      <x:c r="A817" s="20" t="str">
        <x:v>R0813</x:v>
      </x:c>
      <x:c r="B817" s="25" t="str">
        <x:v>Creative AI-agency: How AI elicits human creative potential</x:v>
      </x:c>
      <x:c r="C817" s="25" t="n">
        <x:v>2026</x:v>
      </x:c>
      <x:c r="D817" s="25" t="str">
        <x:v>Aleksandra Zielińska; Maciej Karwowski</x:v>
      </x:c>
      <x:c r="E817" s="25" t="str">
        <x:v>Generative Artificial Intelligence and Creativity</x:v>
      </x:c>
      <x:c r="F817" s="25" t="str">
        <x:v>10.1016/b978-0-443-34073-4.00007-1</x:v>
      </x:c>
      <x:c r="G817" s="25" t="str">
        <x:v>https://doi.org/10.1016/b978-0-443-34073-4.00007-1</x:v>
      </x:c>
      <x:c r="H817" s="25" t="str">
        <x:v>Crossref</x:v>
      </x:c>
      <x:c r="I817" s="25" t="str">
        <x:v>C14_agency_ownership; C7_creative_agency</x:v>
      </x:c>
      <x:c r="J817" s="25" t="str">
        <x:v>Exclude</x:v>
      </x:c>
      <x:c r="K817" s="25" t="str">
        <x:v>Exclude: adjacent/redundant or insufficiently theory-generative for DC1</x:v>
      </x:c>
    </x:row>
    <x:row r="818">
      <x:c r="A818" s="20" t="str">
        <x:v>R0814</x:v>
      </x:c>
      <x:c r="B818" s="25" t="str">
        <x:v>Developer Interaction Patterns with Proactive AI: A Five-Day Field Study</x:v>
      </x:c>
      <x:c r="C818" s="25" t="n">
        <x:v>2026</x:v>
      </x:c>
      <x:c r="D818" s="25" t="str">
        <x:v>Nadine Kuo; Agnia Sergeyuk; Valerie Chen; Maliheh Izadi</x:v>
      </x:c>
      <x:c r="E818" s="25" t="str"/>
      <x:c r="F818" s="25" t="str">
        <x:v>10.1145/3742413.3789148</x:v>
      </x:c>
      <x:c r="G818" s="25" t="str">
        <x:v>https://doi.org/10.1145/3742413.3789148</x:v>
      </x:c>
      <x:c r="H818" s="25" t="str">
        <x:v>OpenAlex</x:v>
      </x:c>
      <x:c r="I818" s="25" t="str">
        <x:v>C15_proactive_interruption</x:v>
      </x:c>
      <x:c r="J818" s="25" t="str">
        <x:v>Exclude</x:v>
      </x:c>
      <x:c r="K818" s="25" t="str">
        <x:v>Exclude: topic mismatch</x:v>
      </x:c>
    </x:row>
    <x:row r="819">
      <x:c r="A819" s="20" t="str">
        <x:v>R0815</x:v>
      </x:c>
      <x:c r="B819" s="25" t="str">
        <x:v>Distinguishing Autonomous AI Agents from Collaborative Agentic Systems: A Comprehensive Framework for Understanding Modern Intelligent Architectures</x:v>
      </x:c>
      <x:c r="C819" s="25" t="n">
        <x:v>2025</x:v>
      </x:c>
      <x:c r="D819" s="25" t="str">
        <x:v>Bansod, Prashik Buddhaghosh</x:v>
      </x:c>
      <x:c r="E819" s="25" t="str">
        <x:v>arXiv (Cornell University)</x:v>
      </x:c>
      <x:c r="F819" s="25" t="str">
        <x:v>10.48550/arxiv.2506.01438</x:v>
      </x:c>
      <x:c r="G819" s="25" t="str">
        <x:v>http://arxiv.org/abs/2506.01438</x:v>
      </x:c>
      <x:c r="H819" s="25" t="str">
        <x:v>OpenAlex</x:v>
      </x:c>
      <x:c r="I819" s="25" t="str">
        <x:v>C5_agent_memory</x:v>
      </x:c>
      <x:c r="J819" s="25" t="str">
        <x:v>Exclude</x:v>
      </x:c>
      <x:c r="K819" s="25" t="str">
        <x:v>Exclude: adjacent/redundant or insufficiently theory-generative for DC1</x:v>
      </x:c>
    </x:row>
    <x:row r="820">
      <x:c r="A820" s="20" t="str">
        <x:v>R0816</x:v>
      </x:c>
      <x:c r="B820" s="25" t="str">
        <x:v>Does Utterance entails Intent?: Evaluating Natural Language Inference Based Setup for Few-Shot Intent Detection</x:v>
      </x:c>
      <x:c r="C820" s="25" t="n">
        <x:v>2022</x:v>
      </x:c>
      <x:c r="D820" s="25" t="str">
        <x:v>Ayush Kumar; Vijit Malik; Jithendra Vepa</x:v>
      </x:c>
      <x:c r="E820" s="25" t="str">
        <x:v>Interspeech 2022</x:v>
      </x:c>
      <x:c r="F820" s="25" t="str">
        <x:v>10.21437/interspeech.2022-10794</x:v>
      </x:c>
      <x:c r="G820" s="25" t="str">
        <x:v>https://doi.org/10.21437/interspeech.2022-10794</x:v>
      </x:c>
      <x:c r="H820" s="25" t="str">
        <x:v>Crossref</x:v>
      </x:c>
      <x:c r="I820" s="25" t="str">
        <x:v>C17_3D_gesture_ambiguity; C2_interaction_signals</x:v>
      </x:c>
      <x:c r="J820" s="25" t="str">
        <x:v>Exclude</x:v>
      </x:c>
      <x:c r="K820" s="25" t="str">
        <x:v>Exclude: adjacent/redundant or insufficiently theory-generative for DC1</x:v>
      </x:c>
    </x:row>
    <x:row r="821">
      <x:c r="A821" s="20" t="str">
        <x:v>R0817</x:v>
      </x:c>
      <x:c r="B821" s="25" t="str">
        <x:v>EasyFlow: An open source, user friendly cytometry analyzer with graphic user interface (GUI)</x:v>
      </x:c>
      <x:c r="C821" s="25" t="n">
        <x:v>2023</x:v>
      </x:c>
      <x:c r="D821" s="25" t="str">
        <x:v>Yitong Ma; Yaron Antebi</x:v>
      </x:c>
      <x:c r="E821" s="25" t="str"/>
      <x:c r="F821" s="25" t="str">
        <x:v>10.1101/2023.08.07.552387</x:v>
      </x:c>
      <x:c r="G821" s="25" t="str">
        <x:v>https://doi.org/10.1101/2023.08.07.552387</x:v>
      </x:c>
      <x:c r="H821" s="25" t="str">
        <x:v>Crossref</x:v>
      </x:c>
      <x:c r="I821" s="25" t="str">
        <x:v>C6_frontend_GUI_intent</x:v>
      </x:c>
      <x:c r="J821" s="25" t="str">
        <x:v>Exclude</x:v>
      </x:c>
      <x:c r="K821" s="25" t="str">
        <x:v>Exclude: topic mismatch</x:v>
      </x:c>
    </x:row>
    <x:row r="822">
      <x:c r="A822" s="20" t="str">
        <x:v>R0818</x:v>
      </x:c>
      <x:c r="B822" s="25" t="str">
        <x:v>Editorial: Beyond Embodied Cognition: Intentionality, Affordance, and Environmental Adaptation</x:v>
      </x:c>
      <x:c r="C822" s="25" t="n">
        <x:v>2018</x:v>
      </x:c>
      <x:c r="D822" s="25" t="str">
        <x:v>Zheng Jin; Maurizio Tirassa; Anna M. Borghi</x:v>
      </x:c>
      <x:c r="E822" s="25" t="str">
        <x:v>Frontiers in Psychology</x:v>
      </x:c>
      <x:c r="F822" s="25" t="str">
        <x:v>10.3389/fpsyg.2018.02659</x:v>
      </x:c>
      <x:c r="G822" s="25" t="str">
        <x:v>https://doi.org/10.3389/fpsyg.2018.02659</x:v>
      </x:c>
      <x:c r="H822" s="25" t="str">
        <x:v>Crossref</x:v>
      </x:c>
      <x:c r="I822" s="25" t="str">
        <x:v>C10_affordance_embodied</x:v>
      </x:c>
      <x:c r="J822" s="25" t="str">
        <x:v>Exclude</x:v>
      </x:c>
      <x:c r="K822" s="25" t="str">
        <x:v>Exclude: adjacent/redundant or insufficiently theory-generative for DC1</x:v>
      </x:c>
    </x:row>
    <x:row r="823">
      <x:c r="A823" s="20" t="str">
        <x:v>R0819</x:v>
      </x:c>
      <x:c r="B823" s="25" t="str">
        <x:v>Embodied Cognition and Radical Embodied Cognition</x:v>
      </x:c>
      <x:c r="C823" s="25" t="n">
        <x:v>2009</x:v>
      </x:c>
      <x:c r="D823" s="25" t="str"/>
      <x:c r="E823" s="25" t="str">
        <x:v>Radical Embodied Cognitive Science</x:v>
      </x:c>
      <x:c r="F823" s="25" t="str">
        <x:v>10.7551/mitpress/8367.003.0005</x:v>
      </x:c>
      <x:c r="G823" s="25" t="str">
        <x:v>https://doi.org/10.7551/mitpress/8367.003.0005</x:v>
      </x:c>
      <x:c r="H823" s="25" t="str">
        <x:v>Crossref</x:v>
      </x:c>
      <x:c r="I823" s="25" t="str">
        <x:v>C10_affordance_embodied</x:v>
      </x:c>
      <x:c r="J823" s="25" t="str">
        <x:v>Exclude</x:v>
      </x:c>
      <x:c r="K823" s="25" t="str">
        <x:v>Exclude: topic mismatch</x:v>
      </x:c>
    </x:row>
    <x:row r="824">
      <x:c r="A824" s="20" t="str">
        <x:v>R0820</x:v>
      </x:c>
      <x:c r="B824" s="25" t="str">
        <x:v>Episodic Memory Verbalization using Hierarchical Representations of Life-Long Robot Experience</x:v>
      </x:c>
      <x:c r="C824" s="25" t="n">
        <x:v>2024</x:v>
      </x:c>
      <x:c r="D824" s="25" t="str">
        <x:v>Leonard Bärmann; Chad DeChant; Joana Plewnia; Fabian Peller-Konrad; Daniel Bauer; Tamim Asfour; Alex Waibel</x:v>
      </x:c>
      <x:c r="E824" s="25" t="str">
        <x:v>arXiv (Cornell University)</x:v>
      </x:c>
      <x:c r="F824" s="25" t="str">
        <x:v>10.48550/arxiv.2409.17702</x:v>
      </x:c>
      <x:c r="G824" s="25" t="str">
        <x:v>http://arxiv.org/abs/2409.17702</x:v>
      </x:c>
      <x:c r="H824" s="25" t="str">
        <x:v>OpenAlex</x:v>
      </x:c>
      <x:c r="I824" s="25" t="str">
        <x:v>C5_agent_memory</x:v>
      </x:c>
      <x:c r="J824" s="25" t="str">
        <x:v>Exclude</x:v>
      </x:c>
      <x:c r="K824" s="25" t="str">
        <x:v>Exclude: adjacent/redundant or insufficiently theory-generative for DC1</x:v>
      </x:c>
    </x:row>
    <x:row r="825">
      <x:c r="A825" s="20" t="str">
        <x:v>R0821</x:v>
      </x:c>
      <x:c r="B825" s="25" t="str">
        <x:v>Evolution of 3d Curves under Strict Spatial Constraints</x:v>
      </x:c>
      <x:c r="C825" s="25" t="str"/>
      <x:c r="D825" s="25" t="str">
        <x:v>K. Hildebrandt; K. Polthier; E. Preuss</x:v>
      </x:c>
      <x:c r="E825" s="25" t="str">
        <x:v>Ninth International Conference on Computer Aided Design and Computer Graphics (CAD-CG'05)</x:v>
      </x:c>
      <x:c r="F825" s="25" t="str">
        <x:v>10.1109/cad-cg.2005.38</x:v>
      </x:c>
      <x:c r="G825" s="25" t="str">
        <x:v>https://doi.org/10.1109/cad-cg.2005.38</x:v>
      </x:c>
      <x:c r="H825" s="25" t="str">
        <x:v>Crossref</x:v>
      </x:c>
      <x:c r="I825" s="25" t="str">
        <x:v>C13_CAD_design_intent</x:v>
      </x:c>
      <x:c r="J825" s="25" t="str">
        <x:v>Exclude</x:v>
      </x:c>
      <x:c r="K825" s="25" t="str">
        <x:v>Exclude: adjacent/redundant or insufficiently theory-generative for DC1</x:v>
      </x:c>
    </x:row>
    <x:row r="826">
      <x:c r="A826" s="20" t="str">
        <x:v>R0822</x:v>
      </x:c>
      <x:c r="B826" s="25" t="str">
        <x:v>From Human Memory to AI Memory: A Survey on Memory Mechanisms in the Era of LLMs</x:v>
      </x:c>
      <x:c r="C826" s="25" t="n">
        <x:v>2025</x:v>
      </x:c>
      <x:c r="D826" s="25" t="str">
        <x:v>Yaxiong Wu; Sheng Liang; Chen Zhang; Yichao Wang; Yongyue Zhang; Huifeng Guo; Ruiming Tang; Yong Liu</x:v>
      </x:c>
      <x:c r="E826" s="25" t="str">
        <x:v>arXiv (Cornell University)</x:v>
      </x:c>
      <x:c r="F826" s="25" t="str">
        <x:v>10.48550/arxiv.2504.15965</x:v>
      </x:c>
      <x:c r="G826" s="25" t="str">
        <x:v>http://arxiv.org/abs/2504.15965</x:v>
      </x:c>
      <x:c r="H826" s="25" t="str">
        <x:v>OpenAlex</x:v>
      </x:c>
      <x:c r="I826" s="25" t="str">
        <x:v>C5_agent_memory</x:v>
      </x:c>
      <x:c r="J826" s="25" t="str">
        <x:v>Exclude</x:v>
      </x:c>
      <x:c r="K826" s="25" t="str">
        <x:v>Exclude: adjacent/redundant or insufficiently theory-generative for DC1</x:v>
      </x:c>
    </x:row>
    <x:row r="827">
      <x:c r="A827" s="20" t="str">
        <x:v>R0823</x:v>
      </x:c>
      <x:c r="B827" s="25" t="str">
        <x:v>GUI Agents with Foundation Models: A Comprehensive Survey</x:v>
      </x:c>
      <x:c r="C827" s="25" t="n">
        <x:v>2024</x:v>
      </x:c>
      <x:c r="D827" s="25" t="str">
        <x:v>Shuai Wang; Weiwen Liu; J. C. Chen; Zhou, Yuqi; Gan, Weinan; X. Zeng; Che, Yuhan; Shicheng Yu; Hao, Xinlong; Shao Kun; Wang, Bin; Wu, Chuhan; Y.S. Wang; Ruiming Tang; Hao, Jianye</x:v>
      </x:c>
      <x:c r="E827" s="25" t="str">
        <x:v>arXiv (Cornell University)</x:v>
      </x:c>
      <x:c r="F827" s="25" t="str">
        <x:v>10.48550/arxiv.2411.04890</x:v>
      </x:c>
      <x:c r="G827" s="25" t="str">
        <x:v>http://arxiv.org/abs/2411.04890</x:v>
      </x:c>
      <x:c r="H827" s="25" t="str">
        <x:v>OpenAlex</x:v>
      </x:c>
      <x:c r="I827" s="25" t="str">
        <x:v>C6_frontend_GUI_intent</x:v>
      </x:c>
      <x:c r="J827" s="25" t="str">
        <x:v>Exclude</x:v>
      </x:c>
      <x:c r="K827" s="25" t="str">
        <x:v>Exclude: adjacent/redundant or insufficiently theory-generative for DC1</x:v>
      </x:c>
    </x:row>
    <x:row r="828">
      <x:c r="A828" s="20" t="str">
        <x:v>R0824</x:v>
      </x:c>
      <x:c r="B828" s="25" t="str">
        <x:v>Grounding emergent common ground: Detecting markers of emergent common ground in a YouTube discussion thread</x:v>
      </x:c>
      <x:c r="C828" s="25" t="n">
        <x:v>2023</x:v>
      </x:c>
      <x:c r="D828" s="25" t="str">
        <x:v>Elke Diedrichsen</x:v>
      </x:c>
      <x:c r="E828" s="25" t="str">
        <x:v>Common Ground in First Language and Intercultural Interaction</x:v>
      </x:c>
      <x:c r="F828" s="25" t="str">
        <x:v>10.1515/9783110766752-006</x:v>
      </x:c>
      <x:c r="G828" s="25" t="str">
        <x:v>https://doi.org/10.1515/9783110766752-006</x:v>
      </x:c>
      <x:c r="H828" s="25" t="str">
        <x:v>Crossref</x:v>
      </x:c>
      <x:c r="I828" s="25" t="str">
        <x:v>C12_common_ground_repair</x:v>
      </x:c>
      <x:c r="J828" s="25" t="str">
        <x:v>Exclude</x:v>
      </x:c>
      <x:c r="K828" s="25" t="str">
        <x:v>Exclude: topic mismatch</x:v>
      </x:c>
    </x:row>
    <x:row r="829">
      <x:c r="A829" s="20" t="str">
        <x:v>R0825</x:v>
      </x:c>
      <x:c r="B829" s="25" t="str">
        <x:v>HUMAN-AI COLLABORATION: BALANCING AGENTIC AI AND AUTONOMY IN HYBRID SYSTEMS</x:v>
      </x:c>
      <x:c r="C829" s="25" t="n">
        <x:v>2025</x:v>
      </x:c>
      <x:c r="D829" s="25" t="str">
        <x:v>Gaurav Samdani; G. M. Viswanathan; Abirami Dasu Jegadeesh</x:v>
      </x:c>
      <x:c r="E829" s="25" t="str">
        <x:v>International Journal on Cloud Computing Services and Architecture</x:v>
      </x:c>
      <x:c r="F829" s="25" t="str">
        <x:v>10.5121/ijccsa.2025.15101</x:v>
      </x:c>
      <x:c r="G829" s="25" t="str">
        <x:v>https://doi.org/10.5121/ijccsa.2025.15101</x:v>
      </x:c>
      <x:c r="H829" s="25" t="str">
        <x:v>OpenAlex</x:v>
      </x:c>
      <x:c r="I829" s="25" t="str">
        <x:v>C12_common_ground_repair</x:v>
      </x:c>
      <x:c r="J829" s="25" t="str">
        <x:v>Exclude</x:v>
      </x:c>
      <x:c r="K829" s="25" t="str">
        <x:v>Exclude: adjacent/redundant or insufficiently theory-generative for DC1</x:v>
      </x:c>
    </x:row>
    <x:row r="830">
      <x:c r="A830" s="20" t="str">
        <x:v>R0826</x:v>
      </x:c>
      <x:c r="B830" s="25" t="str">
        <x:v>Heutagogy-based Human-AI Co-creation Practice</x:v>
      </x:c>
      <x:c r="C830" s="25" t="n">
        <x:v>2024</x:v>
      </x:c>
      <x:c r="D830" s="25" t="str">
        <x:v>Jinping Zhong; Thomas Cochrane</x:v>
      </x:c>
      <x:c r="E830" s="25" t="str">
        <x:v>ASCILITE Publications</x:v>
      </x:c>
      <x:c r="F830" s="25" t="str">
        <x:v>10.14742/apubs.2024.1083</x:v>
      </x:c>
      <x:c r="G830" s="25" t="str">
        <x:v>https://doi.org/10.14742/apubs.2024.1083</x:v>
      </x:c>
      <x:c r="H830" s="25" t="str">
        <x:v>Crossref</x:v>
      </x:c>
      <x:c r="I830" s="25" t="str">
        <x:v>C3_mixed_initiative_cocreation</x:v>
      </x:c>
      <x:c r="J830" s="25" t="str">
        <x:v>Exclude</x:v>
      </x:c>
      <x:c r="K830" s="25" t="str">
        <x:v>Exclude: adjacent/redundant or insufficiently theory-generative for DC1</x:v>
      </x:c>
    </x:row>
    <x:row r="831">
      <x:c r="A831" s="20" t="str">
        <x:v>R0827</x:v>
      </x:c>
      <x:c r="B831" s="25" t="str">
        <x:v>Human action analysis, annotation and modeling in video streams based on implicit user interaction</x:v>
      </x:c>
      <x:c r="C831" s="25" t="n">
        <x:v>2008</x:v>
      </x:c>
      <x:c r="D831" s="25" t="str">
        <x:v>Klimis Ntalianis; Anastasios Doulamis; Nicolas Tsapatsoulis; Nikolaos Doulamis</x:v>
      </x:c>
      <x:c r="E831" s="25" t="str">
        <x:v>Proceedings of the 1st ACM workshop on Analysis and retrieval of events/actions and workflows in video streams</x:v>
      </x:c>
      <x:c r="F831" s="25" t="str">
        <x:v>10.1145/1463542.1463554</x:v>
      </x:c>
      <x:c r="G831" s="25" t="str">
        <x:v>https://doi.org/10.1145/1463542.1463554</x:v>
      </x:c>
      <x:c r="H831" s="25" t="str">
        <x:v>Crossref</x:v>
      </x:c>
      <x:c r="I831" s="25" t="str">
        <x:v>C18_video_intent_coding_VLM_annotation</x:v>
      </x:c>
      <x:c r="J831" s="25" t="str">
        <x:v>Exclude</x:v>
      </x:c>
      <x:c r="K831" s="25" t="str">
        <x:v>Exclude: topic mismatch</x:v>
      </x:c>
    </x:row>
    <x:row r="832">
      <x:c r="A832" s="20" t="str">
        <x:v>R0828</x:v>
      </x:c>
      <x:c r="B832" s="25" t="str">
        <x:v>Human-inspired Perspectives: A Survey on AI Long-term Memory</x:v>
      </x:c>
      <x:c r="C832" s="25" t="n">
        <x:v>2024</x:v>
      </x:c>
      <x:c r="D832" s="25" t="str">
        <x:v>Zihong He; Weizhe Lin; Hao Zheng; Fan Zhang; Matt Jones; Aitchison, Laurence; Xuhai Xu; Miao Liu; Per Ola Kristensson; Junxiao Shen</x:v>
      </x:c>
      <x:c r="E832" s="25" t="str">
        <x:v>arXiv (Cornell University)</x:v>
      </x:c>
      <x:c r="F832" s="25" t="str">
        <x:v>10.48550/arxiv.2411.00489</x:v>
      </x:c>
      <x:c r="G832" s="25" t="str">
        <x:v>http://arxiv.org/abs/2411.00489</x:v>
      </x:c>
      <x:c r="H832" s="25" t="str">
        <x:v>OpenAlex</x:v>
      </x:c>
      <x:c r="I832" s="25" t="str">
        <x:v>C5_agent_memory</x:v>
      </x:c>
      <x:c r="J832" s="25" t="str">
        <x:v>Exclude</x:v>
      </x:c>
      <x:c r="K832" s="25" t="str">
        <x:v>Exclude: adjacent/redundant or insufficiently theory-generative for DC1</x:v>
      </x:c>
    </x:row>
    <x:row r="833">
      <x:c r="A833" s="20" t="str">
        <x:v>R0829</x:v>
      </x:c>
      <x:c r="B833" s="25" t="str">
        <x:v>Incremental Learning of Humanoid Robot Behavior from Natural Interaction and Large Language Models</x:v>
      </x:c>
      <x:c r="C833" s="25" t="n">
        <x:v>2023</x:v>
      </x:c>
      <x:c r="D833" s="25" t="str">
        <x:v>Leonard Bärmann; Rainer Kartmann; Fabian Peller-Konrad; Niehues, Jan; Alex Waibel; Tamim Asfour</x:v>
      </x:c>
      <x:c r="E833" s="25" t="str">
        <x:v>arXiv (Cornell University)</x:v>
      </x:c>
      <x:c r="F833" s="25" t="str">
        <x:v>10.48550/arxiv.2309.04316</x:v>
      </x:c>
      <x:c r="G833" s="25" t="str">
        <x:v>http://arxiv.org/abs/2309.04316</x:v>
      </x:c>
      <x:c r="H833" s="25" t="str">
        <x:v>OpenAlex</x:v>
      </x:c>
      <x:c r="I833" s="25" t="str">
        <x:v>C5_agent_memory</x:v>
      </x:c>
      <x:c r="J833" s="25" t="str">
        <x:v>Exclude</x:v>
      </x:c>
      <x:c r="K833" s="25" t="str">
        <x:v>Exclude: adjacent/redundant or insufficiently theory-generative for DC1</x:v>
      </x:c>
    </x:row>
    <x:row r="834">
      <x:c r="A834" s="20" t="str">
        <x:v>R0830</x:v>
      </x:c>
      <x:c r="B834" s="25" t="str">
        <x:v>LLM-Powered GUI Agents in Phone Automation: Surveying Progress and Prospects</x:v>
      </x:c>
      <x:c r="C834" s="25" t="n">
        <x:v>2025</x:v>
      </x:c>
      <x:c r="D834" s="25" t="str">
        <x:v>Guangyi Liu; Pengxiang Zhao; Liang, Yaozhen; Liang Liu; Guo, Yaxuan; Han Xiao; Weifeng Lin; Yuxiang Chai; Han, Yue; Shuai Ren; Hao Wang; Xiaoyu Liang; Wenhao Wang; Tianze Wu; Zhengxi Lu; Siheng Chen; LiLinghao; Hao Wang; Guanjing Xiong; Yong Liu; Hongsheng Li</x:v>
      </x:c>
      <x:c r="E834" s="25" t="str">
        <x:v>arXiv (Cornell University)</x:v>
      </x:c>
      <x:c r="F834" s="25" t="str">
        <x:v>10.48550/arxiv.2504.19838</x:v>
      </x:c>
      <x:c r="G834" s="25" t="str">
        <x:v>http://arxiv.org/abs/2504.19838</x:v>
      </x:c>
      <x:c r="H834" s="25" t="str">
        <x:v>OpenAlex</x:v>
      </x:c>
      <x:c r="I834" s="25" t="str">
        <x:v>C11_hierarchical_goal_recognition; C6_frontend_GUI_intent</x:v>
      </x:c>
      <x:c r="J834" s="25" t="str">
        <x:v>Exclude</x:v>
      </x:c>
      <x:c r="K834" s="25" t="str">
        <x:v>Exclude: adjacent/redundant or insufficiently theory-generative for DC1</x:v>
      </x:c>
    </x:row>
    <x:row r="835">
      <x:c r="A835" s="20" t="str">
        <x:v>R0831</x:v>
      </x:c>
      <x:c r="B835" s="25" t="str">
        <x:v>LangChain vs. LangGraph vs. LangSmith: Taxonomies of Agentic AI Toolchains for End-to-End Orchestration</x:v>
      </x:c>
      <x:c r="C835" s="25" t="n">
        <x:v>2025</x:v>
      </x:c>
      <x:c r="D835" s="25" t="str">
        <x:v>Ranjan Sapkota; Rashik Shrestha; Madhav Rijal; Manoj Karkee</x:v>
      </x:c>
      <x:c r="E835" s="25" t="str"/>
      <x:c r="F835" s="25" t="str">
        <x:v>10.36227/techrxiv.175695645.52670060/v1</x:v>
      </x:c>
      <x:c r="G835" s="25" t="str">
        <x:v>https://doi.org/10.36227/techrxiv.175695645.52670060/v1</x:v>
      </x:c>
      <x:c r="H835" s="25" t="str">
        <x:v>OpenAlex</x:v>
      </x:c>
      <x:c r="I835" s="25" t="str">
        <x:v>C5_agent_memory</x:v>
      </x:c>
      <x:c r="J835" s="25" t="str">
        <x:v>Exclude</x:v>
      </x:c>
      <x:c r="K835" s="25" t="str">
        <x:v>Exclude: adjacent/redundant or insufficiently theory-generative for DC1</x:v>
      </x:c>
    </x:row>
    <x:row r="836">
      <x:c r="A836" s="20" t="str">
        <x:v>R0832</x:v>
      </x:c>
      <x:c r="B836" s="25" t="str">
        <x:v>Language Models in Dialogue: Conversational Maxims for Human-AI Interactions</x:v>
      </x:c>
      <x:c r="C836" s="25" t="n">
        <x:v>2024</x:v>
      </x:c>
      <x:c r="D836" s="25" t="str">
        <x:v>Erik Miehling; Manish Nagireddy; Prasanna Sattigeri; Elizabeth Daly; David Piorkowski; John T. Richards</x:v>
      </x:c>
      <x:c r="E836" s="25" t="str">
        <x:v>arXiv (Cornell University)</x:v>
      </x:c>
      <x:c r="F836" s="25" t="str">
        <x:v>10.48550/arxiv.2403.15115</x:v>
      </x:c>
      <x:c r="G836" s="25" t="str">
        <x:v>http://arxiv.org/abs/2403.15115</x:v>
      </x:c>
      <x:c r="H836" s="25" t="str">
        <x:v>OpenAlex</x:v>
      </x:c>
      <x:c r="I836" s="25" t="str">
        <x:v>C12_common_ground_repair</x:v>
      </x:c>
      <x:c r="J836" s="25" t="str">
        <x:v>Exclude</x:v>
      </x:c>
      <x:c r="K836" s="25" t="str">
        <x:v>Exclude: adjacent/redundant or insufficiently theory-generative for DC1</x:v>
      </x:c>
    </x:row>
    <x:row r="837">
      <x:c r="A837" s="20" t="str">
        <x:v>R0833</x:v>
      </x:c>
      <x:c r="B837" s="25" t="str">
        <x:v>Large language models for artificial general intelligence (AGI): A survey of foundational principles and approaches</x:v>
      </x:c>
      <x:c r="C837" s="25" t="n">
        <x:v>2025</x:v>
      </x:c>
      <x:c r="D837" s="25" t="str">
        <x:v>Alhassan Mumuni; Fuseini Mumuni</x:v>
      </x:c>
      <x:c r="E837" s="25" t="str">
        <x:v>arXiv (Cornell University)</x:v>
      </x:c>
      <x:c r="F837" s="25" t="str">
        <x:v>10.48550/arxiv.2501.03151</x:v>
      </x:c>
      <x:c r="G837" s="25" t="str">
        <x:v>http://arxiv.org/abs/2501.03151</x:v>
      </x:c>
      <x:c r="H837" s="25" t="str">
        <x:v>OpenAlex</x:v>
      </x:c>
      <x:c r="I837" s="25" t="str">
        <x:v>C5_agent_memory</x:v>
      </x:c>
      <x:c r="J837" s="25" t="str">
        <x:v>Exclude</x:v>
      </x:c>
      <x:c r="K837" s="25" t="str">
        <x:v>Exclude: adjacent/redundant or insufficiently theory-generative for DC1</x:v>
      </x:c>
    </x:row>
    <x:row r="838">
      <x:c r="A838" s="20" t="str">
        <x:v>R0834</x:v>
      </x:c>
      <x:c r="B838" s="25" t="str">
        <x:v>Latent Organism: Embodied Co-Creation with AI</x:v>
      </x:c>
      <x:c r="C838" s="25" t="n">
        <x:v>2023</x:v>
      </x:c>
      <x:c r="D838" s="25" t="str">
        <x:v>Ninon Lizé Masclef; Adrien Chuttarsing</x:v>
      </x:c>
      <x:c r="E838" s="25" t="str">
        <x:v>Creativity and Cognition</x:v>
      </x:c>
      <x:c r="F838" s="25" t="str">
        <x:v>10.1145/3591196.3593508</x:v>
      </x:c>
      <x:c r="G838" s="25" t="str">
        <x:v>https://doi.org/10.1145/3591196.3593508</x:v>
      </x:c>
      <x:c r="H838" s="25" t="str">
        <x:v>Crossref</x:v>
      </x:c>
      <x:c r="I838" s="25" t="str">
        <x:v>C3_mixed_initiative_cocreation</x:v>
      </x:c>
      <x:c r="J838" s="25" t="str">
        <x:v>Exclude</x:v>
      </x:c>
      <x:c r="K838" s="25" t="str">
        <x:v>Exclude: topic mismatch</x:v>
      </x:c>
    </x:row>
    <x:row r="839">
      <x:c r="A839" s="20" t="str">
        <x:v>R0835</x:v>
      </x:c>
      <x:c r="B839" s="25" t="str">
        <x:v>M2PA: A Multi-Memory Planning Agent for Open Worlds Inspired by Cognitive Theory</x:v>
      </x:c>
      <x:c r="C839" s="25" t="n">
        <x:v>2025</x:v>
      </x:c>
      <x:c r="D839" s="25" t="str">
        <x:v>YanfangZhou YanfangZhou; Xiaodong Li; Yuntao Liu; Yongqiang Zhao; Xintong Wang; Zhenyu Li; Jinlong Tian; Xinhai Xu</x:v>
      </x:c>
      <x:c r="E839" s="25" t="str"/>
      <x:c r="F839" s="25" t="str">
        <x:v>10.18653/v1/2025.findings-acl.1191</x:v>
      </x:c>
      <x:c r="G839" s="25" t="str">
        <x:v>https://doi.org/10.18653/v1/2025.findings-acl.1191</x:v>
      </x:c>
      <x:c r="H839" s="25" t="str">
        <x:v>OpenAlex</x:v>
      </x:c>
      <x:c r="I839" s="25" t="str">
        <x:v>C5_agent_memory</x:v>
      </x:c>
      <x:c r="J839" s="25" t="str">
        <x:v>Exclude</x:v>
      </x:c>
      <x:c r="K839" s="25" t="str">
        <x:v>Exclude: adjacent/redundant or insufficiently theory-generative for DC1</x:v>
      </x:c>
    </x:row>
    <x:row r="840">
      <x:c r="A840" s="20" t="str">
        <x:v>R0836</x:v>
      </x:c>
      <x:c r="B840" s="25" t="str">
        <x:v>Materials in Participatory Design Processes</x:v>
      </x:c>
      <x:c r="C840" s="25" t="n">
        <x:v>2017</x:v>
      </x:c>
      <x:c r="D840" s="25" t="str">
        <x:v>Nicolai Brodersen Hansen</x:v>
      </x:c>
      <x:c r="E840" s="25" t="str">
        <x:v>arXiv (Cornell University)</x:v>
      </x:c>
      <x:c r="F840" s="25" t="str">
        <x:v>10.48550/arxiv.1703.07187</x:v>
      </x:c>
      <x:c r="G840" s="25" t="str">
        <x:v>http://arxiv.org/abs/1703.07187</x:v>
      </x:c>
      <x:c r="H840" s="25" t="str">
        <x:v>OpenAlex</x:v>
      </x:c>
      <x:c r="I840" s="25" t="str">
        <x:v>C17_3D_gesture_ambiguity</x:v>
      </x:c>
      <x:c r="J840" s="25" t="str">
        <x:v>Exclude</x:v>
      </x:c>
      <x:c r="K840" s="25" t="str">
        <x:v>Exclude: topic mismatch</x:v>
      </x:c>
    </x:row>
    <x:row r="841">
      <x:c r="A841" s="20" t="str">
        <x:v>R0837</x:v>
      </x:c>
      <x:c r="B841" s="25" t="str">
        <x:v>Multimodal intent recognition for natural human-robotic interaction</x:v>
      </x:c>
      <x:c r="C841" s="25" t="n">
        <x:v>2011</x:v>
      </x:c>
      <x:c r="D841" s="25" t="str">
        <x:v>James Rossiter</x:v>
      </x:c>
      <x:c r="E841" s="25" t="str">
        <x:v>University of Birmingham Institutional Research Archive (University of Birmingham)</x:v>
      </x:c>
      <x:c r="F841" s="25" t="str"/>
      <x:c r="G841" s="25" t="str">
        <x:v>https://openalex.org/W52411644</x:v>
      </x:c>
      <x:c r="H841" s="25" t="str">
        <x:v>OpenAlex</x:v>
      </x:c>
      <x:c r="I841" s="25" t="str">
        <x:v>C11_hierarchical_goal_recognition</x:v>
      </x:c>
      <x:c r="J841" s="25" t="str">
        <x:v>Exclude</x:v>
      </x:c>
      <x:c r="K841" s="25" t="str">
        <x:v>Exclude: adjacent/redundant or insufficiently theory-generative for DC1</x:v>
      </x:c>
    </x:row>
    <x:row r="842">
      <x:c r="A842" s="20" t="str">
        <x:v>R0838</x:v>
      </x:c>
      <x:c r="B842" s="25" t="str">
        <x:v>On and off the common ground: Japanese final particles as (un)grounding devices</x:v>
      </x:c>
      <x:c r="C842" s="25" t="n">
        <x:v>2021</x:v>
      </x:c>
      <x:c r="D842" s="25" t="str">
        <x:v>Mitsuko Narita Izutsu; Katsunobu Izutsu</x:v>
      </x:c>
      <x:c r="E842" s="25" t="str">
        <x:v>Lingua Posnaniensis</x:v>
      </x:c>
      <x:c r="F842" s="25" t="str">
        <x:v>10.14746/linpo.2021.63.2.1</x:v>
      </x:c>
      <x:c r="G842" s="25" t="str">
        <x:v>https://doi.org/10.14746/linpo.2021.63.2.1</x:v>
      </x:c>
      <x:c r="H842" s="25" t="str">
        <x:v>Crossref</x:v>
      </x:c>
      <x:c r="I842" s="25" t="str">
        <x:v>C12_common_ground_repair</x:v>
      </x:c>
      <x:c r="J842" s="25" t="str">
        <x:v>Exclude</x:v>
      </x:c>
      <x:c r="K842" s="25" t="str">
        <x:v>Exclude: adjacent/redundant or insufficiently theory-generative for DC1</x:v>
      </x:c>
    </x:row>
    <x:row r="843">
      <x:c r="A843" s="20" t="str">
        <x:v>R0839</x:v>
      </x:c>
      <x:c r="B843" s="25" t="str">
        <x:v>Semi-automatic Hand Annotation Making Human-human Interaction Analysis Fast and Accurate</x:v>
      </x:c>
      <x:c r="C843" s="25" t="n">
        <x:v>2016</x:v>
      </x:c>
      <x:c r="D843" s="25" t="str">
        <x:v>Stijn De Beugher; Geert Brône; Toon Goedemé</x:v>
      </x:c>
      <x:c r="E843" s="25" t="str">
        <x:v>Proceedings of the 11th Joint Conference on Computer Vision, Imaging and Computer Graphics Theory and Applications</x:v>
      </x:c>
      <x:c r="F843" s="25" t="str">
        <x:v>10.5220/0005718505520559</x:v>
      </x:c>
      <x:c r="G843" s="25" t="str">
        <x:v>https://doi.org/10.5220/0005718505520559</x:v>
      </x:c>
      <x:c r="H843" s="25" t="str">
        <x:v>Crossref</x:v>
      </x:c>
      <x:c r="I843" s="25" t="str">
        <x:v>C18_video_intent_coding_VLM_annotation</x:v>
      </x:c>
      <x:c r="J843" s="25" t="str">
        <x:v>Exclude</x:v>
      </x:c>
      <x:c r="K843" s="25" t="str">
        <x:v>Exclude: topic mismatch</x:v>
      </x:c>
    </x:row>
    <x:row r="844">
      <x:c r="A844" s="20" t="str">
        <x:v>R0840</x:v>
      </x:c>
      <x:c r="B844" s="25" t="str">
        <x:v>Thermal Response of Rolling Components Under Mixed Boundary Conditions: An Analytical Approach</x:v>
      </x:c>
      <x:c r="C844" s="25" t="n">
        <x:v>1993</x:v>
      </x:c>
      <x:c r="D844" s="25" t="str">
        <x:v>P. Ulysse; M. M. Khonsari</x:v>
      </x:c>
      <x:c r="E844" s="25" t="str">
        <x:v>Journal of Heat Transfer</x:v>
      </x:c>
      <x:c r="F844" s="25" t="str">
        <x:v>10.1115/1.2911380</x:v>
      </x:c>
      <x:c r="G844" s="25" t="str">
        <x:v>https://doi.org/10.1115/1.2911380</x:v>
      </x:c>
      <x:c r="H844" s="25" t="str">
        <x:v>Crossref</x:v>
      </x:c>
      <x:c r="I844" s="25" t="str">
        <x:v>C9_human_agent_handoff</x:v>
      </x:c>
      <x:c r="J844" s="25" t="str">
        <x:v>Exclude</x:v>
      </x:c>
      <x:c r="K844" s="25" t="str">
        <x:v>Exclude: topic mismatch</x:v>
      </x:c>
    </x:row>
    <x:row r="845">
      <x:c r="A845" s="20" t="str">
        <x:v>R0841</x:v>
      </x:c>
      <x:c r="B845" s="25" t="str">
        <x:v>TouchWIM: Object Manipulation in AR Spatial Design With World in Miniature and Hybrid User Interface</x:v>
      </x:c>
      <x:c r="C845" s="25" t="n">
        <x:v>2025</x:v>
      </x:c>
      <x:c r="D845" s="25" t="str">
        <x:v>Shintaro Imatani; Kensuke Tobitani; Kyo Akabane</x:v>
      </x:c>
      <x:c r="E845" s="25" t="str">
        <x:v>IEEE Access</x:v>
      </x:c>
      <x:c r="F845" s="25" t="str">
        <x:v>10.1109/access.2025.3562253</x:v>
      </x:c>
      <x:c r="G845" s="25" t="str">
        <x:v>https://doi.org/10.1109/access.2025.3562253</x:v>
      </x:c>
      <x:c r="H845" s="25" t="str">
        <x:v>Crossref</x:v>
      </x:c>
      <x:c r="I845" s="25" t="str">
        <x:v>C1_3D_mental_models</x:v>
      </x:c>
      <x:c r="J845" s="25" t="str">
        <x:v>Exclude</x:v>
      </x:c>
      <x:c r="K845" s="25" t="str">
        <x:v>Exclude: adjacent/redundant or insufficiently theory-generative for DC1</x:v>
      </x:c>
    </x:row>
    <x:row r="846">
      <x:c r="A846" s="20" t="str">
        <x:v>R0842</x:v>
      </x:c>
      <x:c r="B846" s="25" t="str">
        <x:v>Unified feature model for the integration of CAD and CAx</x:v>
      </x:c>
      <x:c r="C846" s="25" t="n">
        <x:v>2007</x:v>
      </x:c>
      <x:c r="D846" s="25" t="str">
        <x:v>Gang Chen</x:v>
      </x:c>
      <x:c r="E846" s="25" t="str"/>
      <x:c r="F846" s="25" t="str">
        <x:v>10.32657/10356/6559</x:v>
      </x:c>
      <x:c r="G846" s="25" t="str">
        <x:v>https://doi.org/10.32657/10356/6559</x:v>
      </x:c>
      <x:c r="H846" s="25" t="str">
        <x:v>OpenAlex</x:v>
      </x:c>
      <x:c r="I846" s="25" t="str">
        <x:v>C13_CAD_design_intent</x:v>
      </x:c>
      <x:c r="J846" s="25" t="str">
        <x:v>Exclude</x:v>
      </x:c>
      <x:c r="K846" s="25" t="str">
        <x:v>Exclude: topic mismatch</x:v>
      </x:c>
    </x:row>
    <x:row r="847">
      <x:c r="A847" s="20" t="str">
        <x:v>R0843</x:v>
      </x:c>
      <x:c r="B847" s="25" t="str">
        <x:v>A Comprehensive Survey of Agentic AI in Healthcare</x:v>
      </x:c>
      <x:c r="C847" s="25" t="n">
        <x:v>2025</x:v>
      </x:c>
      <x:c r="D847" s="25" t="str">
        <x:v>Gelei Xu; Xueyang Li; Yixiong Chen; Yuying Duan; Sean M. Wu; Alexander T. Yu; Ching-Hao Chiu; Juntong Ni; Ningzhi Tang; Toby Jia-Jun Li; Alan Yuille; Wei Jin; Yiyu Shi</x:v>
      </x:c>
      <x:c r="E847" s="25" t="str"/>
      <x:c r="F847" s="25" t="str">
        <x:v>10.36227/techrxiv.176240542.22279040/v1</x:v>
      </x:c>
      <x:c r="G847" s="25" t="str">
        <x:v>https://doi.org/10.36227/techrxiv.176240542.22279040/v1</x:v>
      </x:c>
      <x:c r="H847" s="25" t="str">
        <x:v>OpenAlex</x:v>
      </x:c>
      <x:c r="I847" s="25" t="str">
        <x:v>C5_agent_memory</x:v>
      </x:c>
      <x:c r="J847" s="25" t="str">
        <x:v>Exclude</x:v>
      </x:c>
      <x:c r="K847" s="25" t="str">
        <x:v>Exclude: adjacent/redundant or insufficiently theory-generative for DC1</x:v>
      </x:c>
    </x:row>
    <x:row r="848">
      <x:c r="A848" s="20" t="str">
        <x:v>R0844</x:v>
      </x:c>
      <x:c r="B848" s="25" t="str">
        <x:v>A Hierarchical-Based Learning Approach for Multi-Action Intent Recognition</x:v>
      </x:c>
      <x:c r="C848" s="25" t="n">
        <x:v>2024</x:v>
      </x:c>
      <x:c r="D848" s="25" t="str">
        <x:v>David Hollinger; Ryan S. Pollard; Mark C. Schall; Howard Chen; Michael Zabala</x:v>
      </x:c>
      <x:c r="E848" s="25" t="str">
        <x:v>Sensors</x:v>
      </x:c>
      <x:c r="F848" s="25" t="str">
        <x:v>10.3390/s24237857</x:v>
      </x:c>
      <x:c r="G848" s="25" t="str">
        <x:v>https://doi.org/10.3390/s24237857</x:v>
      </x:c>
      <x:c r="H848" s="25" t="str">
        <x:v>Crossref</x:v>
      </x:c>
      <x:c r="I848" s="25" t="str">
        <x:v>C11_hierarchical_goal_recognition</x:v>
      </x:c>
      <x:c r="J848" s="25" t="str">
        <x:v>Exclude</x:v>
      </x:c>
      <x:c r="K848" s="25" t="str">
        <x:v>Exclude: adjacent/redundant or insufficiently theory-generative for DC1</x:v>
      </x:c>
    </x:row>
    <x:row r="849">
      <x:c r="A849" s="20" t="str">
        <x:v>R0845</x:v>
      </x:c>
      <x:c r="B849" s="25" t="str">
        <x:v>A Shared Autonomy Interface for Household Devices</x:v>
      </x:c>
      <x:c r="C849" s="25" t="n">
        <x:v>2015</x:v>
      </x:c>
      <x:c r="D849" s="25" t="str">
        <x:v>Matthew Rueben; William D. Smart</x:v>
      </x:c>
      <x:c r="E849" s="25" t="str">
        <x:v>Proceedings of the Tenth Annual ACM/IEEE International Conference on Human-Robot Interaction Extended Abstracts</x:v>
      </x:c>
      <x:c r="F849" s="25" t="str">
        <x:v>10.1145/2701973.2702061</x:v>
      </x:c>
      <x:c r="G849" s="25" t="str">
        <x:v>https://doi.org/10.1145/2701973.2702061</x:v>
      </x:c>
      <x:c r="H849" s="25" t="str">
        <x:v>Crossref</x:v>
      </x:c>
      <x:c r="I849" s="25" t="str">
        <x:v>C4_uncertainty_shared_autonomy</x:v>
      </x:c>
      <x:c r="J849" s="25" t="str">
        <x:v>Exclude</x:v>
      </x:c>
      <x:c r="K849" s="25" t="str">
        <x:v>Exclude: adjacent/redundant or insufficiently theory-generative for DC1</x:v>
      </x:c>
    </x:row>
    <x:row r="850">
      <x:c r="A850" s="20" t="str">
        <x:v>R0846</x:v>
      </x:c>
      <x:c r="B850" s="25" t="str">
        <x:v>Adaptation of Agentic AI: A Survey of Post-Training, Memory, and Skills</x:v>
      </x:c>
      <x:c r="C850" s="25" t="n">
        <x:v>2025</x:v>
      </x:c>
      <x:c r="D850" s="25" t="str">
        <x:v>Pengcheng Jiang; Jiacheng Lin; Shi, Zhiyi; Zifeng Wang; He Li; Yichen Wu; Ming Zhong; Peiyang Song; Qizheng Zhang; Heng Wang; Xueqiang Xu; Hanmei Xu; Pengrui Han; Dylan Zhang; Sun, Jiashuo; Chaoqi Yang; Kun Qian; Tian Wang; Changran Hu; Manling Li; Quanzheng Li; Hao Peng; Sheng Wang; Jingbo Shang; Chao Zhang; You, Jiaxuan; Liyuan Liu; Pan Lu; Yu Zhang; Heng Ji; Yejin Choi; Dawn Song; Jimeng Sun; Jiawei Han</x:v>
      </x:c>
      <x:c r="E850" s="25" t="str">
        <x:v>ArXiv.org</x:v>
      </x:c>
      <x:c r="F850" s="25" t="str">
        <x:v>10.48550/arxiv.2512.16301</x:v>
      </x:c>
      <x:c r="G850" s="25" t="str">
        <x:v>http://arxiv.org/abs/2512.16301</x:v>
      </x:c>
      <x:c r="H850" s="25" t="str">
        <x:v>OpenAlex</x:v>
      </x:c>
      <x:c r="I850" s="25" t="str">
        <x:v>C5_agent_memory</x:v>
      </x:c>
      <x:c r="J850" s="25" t="str">
        <x:v>Exclude</x:v>
      </x:c>
      <x:c r="K850" s="25" t="str">
        <x:v>Exclude: adjacent/redundant or insufficiently theory-generative for DC1</x:v>
      </x:c>
    </x:row>
    <x:row r="851">
      <x:c r="A851" s="20" t="str">
        <x:v>R0847</x:v>
      </x:c>
      <x:c r="B851" s="25" t="str">
        <x:v>Adaptive Agents for Mixed-Initiative Human-AI Collaborations</x:v>
      </x:c>
      <x:c r="C851" s="25" t="n">
        <x:v>2025</x:v>
      </x:c>
      <x:c r="D851" s="25" t="str">
        <x:v>Manisha Natarajan</x:v>
      </x:c>
      <x:c r="E851" s="25" t="str">
        <x:v>Proceedings of the AAAI Conference on Artificial Intelligence</x:v>
      </x:c>
      <x:c r="F851" s="25" t="str">
        <x:v>10.1609/aaai.v39i28.35220</x:v>
      </x:c>
      <x:c r="G851" s="25" t="str">
        <x:v>https://doi.org/10.1609/aaai.v39i28.35220</x:v>
      </x:c>
      <x:c r="H851" s="25" t="str">
        <x:v>Crossref</x:v>
      </x:c>
      <x:c r="I851" s="25" t="str">
        <x:v>C15_proactive_interruption; C9_human_agent_handoff</x:v>
      </x:c>
      <x:c r="J851" s="25" t="str">
        <x:v>Exclude</x:v>
      </x:c>
      <x:c r="K851" s="25" t="str">
        <x:v>Exclude: adjacent/redundant or insufficiently theory-generative for DC1</x:v>
      </x:c>
    </x:row>
    <x:row r="852">
      <x:c r="A852" s="20" t="str">
        <x:v>R0848</x:v>
      </x:c>
      <x:c r="B852" s="25" t="str">
        <x:v>Adjusting the Autonomy in Mixed-initiative Systems by Reasoning about Interaction</x:v>
      </x:c>
      <x:c r="C852" s="25" t="n">
        <x:v>2003</x:v>
      </x:c>
      <x:c r="D852" s="25" t="str">
        <x:v>Robin Cohen; Michael Fleming</x:v>
      </x:c>
      <x:c r="E852" s="25" t="str">
        <x:v>Multiagent Systems, Artificial Societies, and Simulated Organizations</x:v>
      </x:c>
      <x:c r="F852" s="25" t="str">
        <x:v>10.1007/978-1-4419-9198-0_7</x:v>
      </x:c>
      <x:c r="G852" s="25" t="str">
        <x:v>https://doi.org/10.1007/978-1-4419-9198-0_7</x:v>
      </x:c>
      <x:c r="H852" s="25" t="str">
        <x:v>Crossref</x:v>
      </x:c>
      <x:c r="I852" s="25" t="str">
        <x:v>C9_human_agent_handoff</x:v>
      </x:c>
      <x:c r="J852" s="25" t="str">
        <x:v>Exclude</x:v>
      </x:c>
      <x:c r="K852" s="25" t="str">
        <x:v>Exclude: adjacent/redundant or insufficiently theory-generative for DC1</x:v>
      </x:c>
    </x:row>
    <x:row r="853">
      <x:c r="A853" s="20" t="str">
        <x:v>R0849</x:v>
      </x:c>
      <x:c r="B853" s="25" t="str">
        <x:v>Adversarial Intent Inference for Predictive Battlespace Awareness</x:v>
      </x:c>
      <x:c r="C853" s="25" t="n">
        <x:v>2005</x:v>
      </x:c>
      <x:c r="D853" s="25" t="str">
        <x:v>Jr Santos; Eugene</x:v>
      </x:c>
      <x:c r="E853" s="25" t="str"/>
      <x:c r="F853" s="25" t="str">
        <x:v>10.21236/ada442035</x:v>
      </x:c>
      <x:c r="G853" s="25" t="str">
        <x:v>https://doi.org/10.21236/ada442035</x:v>
      </x:c>
      <x:c r="H853" s="25" t="str">
        <x:v>Crossref</x:v>
      </x:c>
      <x:c r="I853" s="25" t="str">
        <x:v>C2_interaction_signals</x:v>
      </x:c>
      <x:c r="J853" s="25" t="str">
        <x:v>Exclude</x:v>
      </x:c>
      <x:c r="K853" s="25" t="str">
        <x:v>Exclude: adjacent/redundant or insufficiently theory-generative for DC1</x:v>
      </x:c>
    </x:row>
    <x:row r="854">
      <x:c r="A854" s="20" t="str">
        <x:v>R0850</x:v>
      </x:c>
      <x:c r="B854" s="25" t="str">
        <x:v>Affordance: A Case of Confusion</x:v>
      </x:c>
      <x:c r="C854" s="25" t="n">
        <x:v>2008</x:v>
      </x:c>
      <x:c r="D854" s="25" t="str"/>
      <x:c r="E854" s="25" t="str">
        <x:v>Interactive Media: The Semiotics of Embodied Interaction</x:v>
      </x:c>
      <x:c r="F854" s="25" t="str">
        <x:v>10.1007/978-1-84800-036-0_4</x:v>
      </x:c>
      <x:c r="G854" s="25" t="str">
        <x:v>https://doi.org/10.1007/978-1-84800-036-0_4</x:v>
      </x:c>
      <x:c r="H854" s="25" t="str">
        <x:v>Crossref</x:v>
      </x:c>
      <x:c r="I854" s="25" t="str">
        <x:v>C10_affordance_embodied</x:v>
      </x:c>
      <x:c r="J854" s="25" t="str">
        <x:v>Exclude</x:v>
      </x:c>
      <x:c r="K854" s="25" t="str">
        <x:v>Exclude: topic mismatch</x:v>
      </x:c>
    </x:row>
    <x:row r="855">
      <x:c r="A855" s="20" t="str">
        <x:v>R0851</x:v>
      </x:c>
      <x:c r="B855" s="25" t="str">
        <x:v>Agentic Services Computing</x:v>
      </x:c>
      <x:c r="C855" s="25" t="n">
        <x:v>2025</x:v>
      </x:c>
      <x:c r="D855" s="25" t="str">
        <x:v>Shuiguang Deng; Hailiang Zhao; Ziqi Wang; Guanjie Cheng; Peng Chen; Wenzhuo Qian; Ling, Zhiwei; Jianwei Yin; Albert Y. Zomaya; Schahram Dustdar</x:v>
      </x:c>
      <x:c r="E855" s="25" t="str">
        <x:v>arXiv (Cornell University)</x:v>
      </x:c>
      <x:c r="F855" s="25" t="str">
        <x:v>10.34726/12000</x:v>
      </x:c>
      <x:c r="G855" s="25" t="str">
        <x:v>https://arxiv.org/abs/2509.24380</x:v>
      </x:c>
      <x:c r="H855" s="25" t="str">
        <x:v>OpenAlex</x:v>
      </x:c>
      <x:c r="I855" s="25" t="str">
        <x:v>C5_agent_memory</x:v>
      </x:c>
      <x:c r="J855" s="25" t="str">
        <x:v>Exclude</x:v>
      </x:c>
      <x:c r="K855" s="25" t="str">
        <x:v>Exclude: adjacent/redundant or insufficiently theory-generative for DC1</x:v>
      </x:c>
    </x:row>
    <x:row r="856">
      <x:c r="A856" s="20" t="str">
        <x:v>R0852</x:v>
      </x:c>
      <x:c r="B856" s="25" t="str">
        <x:v>Algorithms for inference in Specialized Maps for recovering 3D hand pose</x:v>
      </x:c>
      <x:c r="C856" s="25" t="str"/>
      <x:c r="D856" s="25" t="str">
        <x:v>R. Rosales; S. Sclaroff</x:v>
      </x:c>
      <x:c r="E856" s="25" t="str">
        <x:v>Proceedings of Fifth IEEE International Conference on Automatic Face Gesture Recognition</x:v>
      </x:c>
      <x:c r="F856" s="25" t="str">
        <x:v>10.1109/afgr.2002.1004146</x:v>
      </x:c>
      <x:c r="G856" s="25" t="str">
        <x:v>https://doi.org/10.1109/afgr.2002.1004146</x:v>
      </x:c>
      <x:c r="H856" s="25" t="str">
        <x:v>Crossref</x:v>
      </x:c>
      <x:c r="I856" s="25" t="str">
        <x:v>C17_3D_gesture_ambiguity</x:v>
      </x:c>
      <x:c r="J856" s="25" t="str">
        <x:v>Exclude</x:v>
      </x:c>
      <x:c r="K856" s="25" t="str">
        <x:v>Exclude: adjacent/redundant or insufficiently theory-generative for DC1</x:v>
      </x:c>
    </x:row>
    <x:row r="857">
      <x:c r="A857" s="20" t="str">
        <x:v>R0853</x:v>
      </x:c>
      <x:c r="B857" s="25" t="str">
        <x:v>All the juicy pastures: Greville Texidor, Frank Sargeson and New Zealand literary culture in the 1940s</x:v>
      </x:c>
      <x:c r="C857" s="25" t="n">
        <x:v>2017</x:v>
      </x:c>
      <x:c r="D857" s="25" t="str">
        <x:v>Margot Schwass</x:v>
      </x:c>
      <x:c r="E857" s="25" t="str"/>
      <x:c r="F857" s="25" t="str">
        <x:v>10.26686/wgtn.20388030</x:v>
      </x:c>
      <x:c r="G857" s="25" t="str">
        <x:v>https://doi.org/10.26686/wgtn.20388030</x:v>
      </x:c>
      <x:c r="H857" s="25" t="str">
        <x:v>OpenAlex</x:v>
      </x:c>
      <x:c r="I857" s="25" t="str">
        <x:v>C16_memory_conflict_bias</x:v>
      </x:c>
      <x:c r="J857" s="25" t="str">
        <x:v>Exclude</x:v>
      </x:c>
      <x:c r="K857" s="25" t="str">
        <x:v>Exclude: topic mismatch</x:v>
      </x:c>
    </x:row>
    <x:row r="858">
      <x:c r="A858" s="20" t="str">
        <x:v>R0854</x:v>
      </x:c>
      <x:c r="B858" s="25" t="str">
        <x:v>An Analysis of Initiative Selection in Collaborative Task-Oriented Discourse</x:v>
      </x:c>
      <x:c r="C858" s="25" t="n">
        <x:v>1998</x:v>
      </x:c>
      <x:c r="D858" s="25" t="str">
        <x:v>Curry I. Guinn</x:v>
      </x:c>
      <x:c r="E858" s="25" t="str">
        <x:v>Computational Models of Mixed-Initiative Interaction</x:v>
      </x:c>
      <x:c r="F858" s="25" t="str">
        <x:v>10.1007/978-94-017-1118-0_3</x:v>
      </x:c>
      <x:c r="G858" s="25" t="str">
        <x:v>https://doi.org/10.1007/978-94-017-1118-0_3</x:v>
      </x:c>
      <x:c r="H858" s="25" t="str">
        <x:v>Crossref</x:v>
      </x:c>
      <x:c r="I858" s="25" t="str">
        <x:v>C15_proactive_interruption</x:v>
      </x:c>
      <x:c r="J858" s="25" t="str">
        <x:v>Exclude</x:v>
      </x:c>
      <x:c r="K858" s="25" t="str">
        <x:v>Exclude: adjacent/redundant or insufficiently theory-generative for DC1</x:v>
      </x:c>
    </x:row>
    <x:row r="859">
      <x:c r="A859" s="20" t="str">
        <x:v>R0855</x:v>
      </x:c>
      <x:c r="B859" s="25" t="str">
        <x:v>Automatic Annotation of Functional Semantics for 3D Product Model Based on Latent Functional Semantics</x:v>
      </x:c>
      <x:c r="C859" s="25" t="n">
        <x:v>2023</x:v>
      </x:c>
      <x:c r="D859" s="25" t="str">
        <x:v>Zhoupeng Han; Hua Zhang; Weirong He; Li Ba; Qilong Yuan</x:v>
      </x:c>
      <x:c r="E859" s="25" t="str">
        <x:v>Scientific Programming</x:v>
      </x:c>
      <x:c r="F859" s="25" t="str">
        <x:v>10.1155/2023/9885859</x:v>
      </x:c>
      <x:c r="G859" s="25" t="str">
        <x:v>http://dx.doi.org/10.1155/2023/9885859</x:v>
      </x:c>
      <x:c r="H859" s="25" t="str">
        <x:v>OpenAlex</x:v>
      </x:c>
      <x:c r="I859" s="25" t="str">
        <x:v>C13_CAD_design_intent</x:v>
      </x:c>
      <x:c r="J859" s="25" t="str">
        <x:v>Exclude</x:v>
      </x:c>
      <x:c r="K859" s="25" t="str">
        <x:v>Exclude: adjacent/redundant or insufficiently theory-generative for DC1</x:v>
      </x:c>
    </x:row>
    <x:row r="860">
      <x:c r="A860" s="20" t="str">
        <x:v>R0856</x:v>
      </x:c>
      <x:c r="B860" s="25" t="str">
        <x:v>Beyond</x:v>
      </x:c>
      <x:c r="C860" s="25" t="n">
        <x:v>2010</x:v>
      </x:c>
      <x:c r="D860" s="25" t="str">
        <x:v>Jinha Lee; Surat Teerapittayanon; Hiroshi Ishii</x:v>
      </x:c>
      <x:c r="E860" s="25" t="str">
        <x:v>Adjunct proceedings of the 23nd annual ACM symposium on User interface software and technology</x:v>
      </x:c>
      <x:c r="F860" s="25" t="str">
        <x:v>10.1145/1866218.1866236</x:v>
      </x:c>
      <x:c r="G860" s="25" t="str">
        <x:v>https://doi.org/10.1145/1866218.1866236</x:v>
      </x:c>
      <x:c r="H860" s="25" t="str">
        <x:v>Crossref</x:v>
      </x:c>
      <x:c r="I860" s="25" t="str">
        <x:v>C1_3D_mental_models</x:v>
      </x:c>
      <x:c r="J860" s="25" t="str">
        <x:v>Exclude</x:v>
      </x:c>
      <x:c r="K860" s="25" t="str">
        <x:v>Exclude: topic mismatch</x:v>
      </x:c>
    </x:row>
    <x:row r="861">
      <x:c r="A861" s="20" t="str">
        <x:v>R0857</x:v>
      </x:c>
      <x:c r="B861" s="25" t="str">
        <x:v>Beyond Single-Turn: A Survey on Multi-Turn Interactions with Large Language Models</x:v>
      </x:c>
      <x:c r="C861" s="25" t="n">
        <x:v>2025</x:v>
      </x:c>
      <x:c r="D861" s="25" t="str">
        <x:v>Y. X. Li; Shen, Xiaobin; Miao, Yidi; Yao, Xinyu; Ding, Xueying; Ramayya Krishnan; Rema Padman</x:v>
      </x:c>
      <x:c r="E861" s="25" t="str">
        <x:v>arXiv (Cornell University)</x:v>
      </x:c>
      <x:c r="F861" s="25" t="str">
        <x:v>10.48550/arxiv.2504.04717</x:v>
      </x:c>
      <x:c r="G861" s="25" t="str">
        <x:v>https://arxiv.org/abs/2504.04717</x:v>
      </x:c>
      <x:c r="H861" s="25" t="str">
        <x:v>OpenAlex</x:v>
      </x:c>
      <x:c r="I861" s="25" t="str">
        <x:v>C5_agent_memory</x:v>
      </x:c>
      <x:c r="J861" s="25" t="str">
        <x:v>Exclude</x:v>
      </x:c>
      <x:c r="K861" s="25" t="str">
        <x:v>Exclude: adjacent/redundant or insufficiently theory-generative for DC1</x:v>
      </x:c>
    </x:row>
    <x:row r="862">
      <x:c r="A862" s="20" t="str">
        <x:v>R0858</x:v>
      </x:c>
      <x:c r="B862" s="25" t="str">
        <x:v>CA-VLN: Collaborative Agents in MLLM-Powered Visual-Language Navigation</x:v>
      </x:c>
      <x:c r="C862" s="25" t="n">
        <x:v>2026</x:v>
      </x:c>
      <x:c r="D862" s="25" t="str">
        <x:v>Ruolin Zhu; Shaobin Li; Zixing Zhu; Jing Jia; Min Yang</x:v>
      </x:c>
      <x:c r="E862" s="25" t="str">
        <x:v>Sensors</x:v>
      </x:c>
      <x:c r="F862" s="25" t="str">
        <x:v>10.3390/s26041254</x:v>
      </x:c>
      <x:c r="G862" s="25" t="str">
        <x:v>https://doi.org/10.3390/s26041254</x:v>
      </x:c>
      <x:c r="H862" s="25" t="str">
        <x:v>OpenAlex</x:v>
      </x:c>
      <x:c r="I862" s="25" t="str">
        <x:v>C5_agent_memory</x:v>
      </x:c>
      <x:c r="J862" s="25" t="str">
        <x:v>Exclude</x:v>
      </x:c>
      <x:c r="K862" s="25" t="str">
        <x:v>Exclude: adjacent/redundant or insufficiently theory-generative for DC1</x:v>
      </x:c>
    </x:row>
    <x:row r="863">
      <x:c r="A863" s="20" t="str">
        <x:v>R0859</x:v>
      </x:c>
      <x:c r="B863" s="25" t="str">
        <x:v>Computational Grounding: An Overview of Common Ground Applications in Conversational Agents</x:v>
      </x:c>
      <x:c r="C863" s="25" t="n">
        <x:v>2021</x:v>
      </x:c>
      <x:c r="D863" s="25" t="str">
        <x:v>Maria Di Maro</x:v>
      </x:c>
      <x:c r="E863" s="25" t="str">
        <x:v>Italian Journal of Computational Linguistics</x:v>
      </x:c>
      <x:c r="F863" s="25" t="str">
        <x:v>10.4000/ijcol.890</x:v>
      </x:c>
      <x:c r="G863" s="25" t="str">
        <x:v>https://doi.org/10.4000/ijcol.890</x:v>
      </x:c>
      <x:c r="H863" s="25" t="str">
        <x:v>Crossref</x:v>
      </x:c>
      <x:c r="I863" s="25" t="str">
        <x:v>C12_common_ground_repair</x:v>
      </x:c>
      <x:c r="J863" s="25" t="str">
        <x:v>Exclude</x:v>
      </x:c>
      <x:c r="K863" s="25" t="str">
        <x:v>Exclude: topic mismatch</x:v>
      </x:c>
    </x:row>
    <x:row r="864">
      <x:c r="A864" s="20" t="str">
        <x:v>R0860</x:v>
      </x:c>
      <x:c r="B864" s="25" t="str">
        <x:v>Computational Methods for Plates and Beams with Mixed Boundary Conditions</x:v>
      </x:c>
      <x:c r="C864" s="25" t="n">
        <x:v>2014</x:v>
      </x:c>
      <x:c r="D864" s="25" t="str"/>
      <x:c r="E864" s="25" t="str">
        <x:v>Asymptotic Methods in the Theory of Plates with Mixed Boundary Conditions</x:v>
      </x:c>
      <x:c r="F864" s="25" t="str">
        <x:v>10.1002/9781118725184.ch2</x:v>
      </x:c>
      <x:c r="G864" s="25" t="str">
        <x:v>https://doi.org/10.1002/9781118725184.ch2</x:v>
      </x:c>
      <x:c r="H864" s="25" t="str">
        <x:v>Crossref</x:v>
      </x:c>
      <x:c r="I864" s="25" t="str">
        <x:v>C9_human_agent_handoff</x:v>
      </x:c>
      <x:c r="J864" s="25" t="str">
        <x:v>Exclude</x:v>
      </x:c>
      <x:c r="K864" s="25" t="str">
        <x:v>Exclude: topic mismatch</x:v>
      </x:c>
    </x:row>
    <x:row r="865">
      <x:c r="A865" s="20" t="str">
        <x:v>R0861</x:v>
      </x:c>
      <x:c r="B865" s="25" t="str">
        <x:v>Confirmation bias – myside bias</x:v>
      </x:c>
      <x:c r="C865" s="25" t="n">
        <x:v>2016</x:v>
      </x:c>
      <x:c r="D865" s="25" t="str"/>
      <x:c r="E865" s="25" t="str">
        <x:v>Cognitive Illusions</x:v>
      </x:c>
      <x:c r="F865" s="25" t="str">
        <x:v>10.4324/9781315696935-11</x:v>
      </x:c>
      <x:c r="G865" s="25" t="str">
        <x:v>https://doi.org/10.4324/9781315696935-11</x:v>
      </x:c>
      <x:c r="H865" s="25" t="str">
        <x:v>Crossref</x:v>
      </x:c>
      <x:c r="I865" s="25" t="str">
        <x:v>C16_memory_conflict_bias</x:v>
      </x:c>
      <x:c r="J865" s="25" t="str">
        <x:v>Exclude</x:v>
      </x:c>
      <x:c r="K865" s="25" t="str">
        <x:v>Exclude: topic mismatch</x:v>
      </x:c>
    </x:row>
    <x:row r="866">
      <x:c r="A866" s="20" t="str">
        <x:v>R0862</x:v>
      </x:c>
      <x:c r="B866" s="25" t="str">
        <x:v>Creating Images with Generative AI</x:v>
      </x:c>
      <x:c r="C866" s="25" t="n">
        <x:v>2024</x:v>
      </x:c>
      <x:c r="D866" s="25" t="str">
        <x:v>Claire Anscomb</x:v>
      </x:c>
      <x:c r="E866" s="25" t="str">
        <x:v>Artificial Intelligence, Co-Creation and Creativity</x:v>
      </x:c>
      <x:c r="F866" s="25" t="str">
        <x:v>10.4324/9781003453901-9</x:v>
      </x:c>
      <x:c r="G866" s="25" t="str">
        <x:v>https://doi.org/10.4324/9781003453901-9</x:v>
      </x:c>
      <x:c r="H866" s="25" t="str">
        <x:v>Crossref</x:v>
      </x:c>
      <x:c r="I866" s="25" t="str">
        <x:v>C3_mixed_initiative_cocreation</x:v>
      </x:c>
      <x:c r="J866" s="25" t="str">
        <x:v>Exclude</x:v>
      </x:c>
      <x:c r="K866" s="25" t="str">
        <x:v>Exclude: topic mismatch</x:v>
      </x:c>
    </x:row>
    <x:row r="867">
      <x:c r="A867" s="20" t="str">
        <x:v>R0863</x:v>
      </x:c>
      <x:c r="B867" s="25" t="str">
        <x:v>Cultural Expression of 3D Modeling in Virtual Reality Landscape Design and Mutual Aesthetics</x:v>
      </x:c>
      <x:c r="C867" s="25" t="n">
        <x:v>2024</x:v>
      </x:c>
      <x:c r="D867" s="25" t="str">
        <x:v>Yu Hu; Chi Zhang</x:v>
      </x:c>
      <x:c r="E867" s="25" t="str">
        <x:v>Computer-Aided Design and Applications</x:v>
      </x:c>
      <x:c r="F867" s="25" t="str">
        <x:v>10.14733/cadaps.2025.s2.87-100</x:v>
      </x:c>
      <x:c r="G867" s="25" t="str">
        <x:v>https://doi.org/10.14733/cadaps.2025.s2.87-100</x:v>
      </x:c>
      <x:c r="H867" s="25" t="str">
        <x:v>Crossref</x:v>
      </x:c>
      <x:c r="I867" s="25" t="str">
        <x:v>C13_CAD_design_intent</x:v>
      </x:c>
      <x:c r="J867" s="25" t="str">
        <x:v>Exclude</x:v>
      </x:c>
      <x:c r="K867" s="25" t="str">
        <x:v>Exclude: adjacent/redundant or insufficiently theory-generative for DC1</x:v>
      </x:c>
    </x:row>
    <x:row r="868">
      <x:c r="A868" s="20" t="str">
        <x:v>R0864</x:v>
      </x:c>
      <x:c r="B868" s="25" t="str">
        <x:v>Deployable and multimodal human grasp intent inference in prosthetic hand
               control</x:v>
      </x:c>
      <x:c r="C868" s="25" t="str"/>
      <x:c r="D868" s="25" t="str">
        <x:v>Mehrshad Zandigohar</x:v>
      </x:c>
      <x:c r="E868" s="25" t="str"/>
      <x:c r="F868" s="25" t="str">
        <x:v>10.17760/d20741517</x:v>
      </x:c>
      <x:c r="G868" s="25" t="str">
        <x:v>https://doi.org/10.17760/d20741517</x:v>
      </x:c>
      <x:c r="H868" s="25" t="str">
        <x:v>Crossref</x:v>
      </x:c>
      <x:c r="I868" s="25" t="str">
        <x:v>C17_3D_gesture_ambiguity; C2_interaction_signals; C4_uncertainty_shared_autonomy</x:v>
      </x:c>
      <x:c r="J868" s="25" t="str">
        <x:v>Exclude</x:v>
      </x:c>
      <x:c r="K868" s="25" t="str">
        <x:v>Exclude: domain-specific signal model without transferable HCI theory</x:v>
      </x:c>
    </x:row>
    <x:row r="869">
      <x:c r="A869" s="20" t="str">
        <x:v>R0865</x:v>
      </x:c>
      <x:c r="B869" s="25" t="str">
        <x:v>Designing Age-Friendly Motion-Based Exergames</x:v>
      </x:c>
      <x:c r="C869" s="25" t="n">
        <x:v>2025</x:v>
      </x:c>
      <x:c r="D869" s="25" t="str">
        <x:v>Yanchong Huang; Siyang Liu</x:v>
      </x:c>
      <x:c r="E869" s="25" t="str">
        <x:v>Proceedings of the 2025 International Conference on Artificial Intelligence, Virtual Reality and Interaction Design</x:v>
      </x:c>
      <x:c r="F869" s="25" t="str">
        <x:v>10.1145/3777730.3777771</x:v>
      </x:c>
      <x:c r="G869" s="25" t="str">
        <x:v>https://doi.org/10.1145/3777730.3777771</x:v>
      </x:c>
      <x:c r="H869" s="25" t="str">
        <x:v>Crossref</x:v>
      </x:c>
      <x:c r="I869" s="25" t="str">
        <x:v>C10_affordance_embodied</x:v>
      </x:c>
      <x:c r="J869" s="25" t="str">
        <x:v>Exclude</x:v>
      </x:c>
      <x:c r="K869" s="25" t="str">
        <x:v>Exclude: topic mismatch</x:v>
      </x:c>
    </x:row>
    <x:row r="870">
      <x:c r="A870" s="20" t="str">
        <x:v>R0866</x:v>
      </x:c>
      <x:c r="B870" s="25" t="str">
        <x:v>Designing a Wise Home: Leveraging Lightweight Dialogue, Proactive Coaching, Guided Experimentation and Mutual-learning to Support Mixed-initiative Homes --Comfort-aware Thermostats as a Case</x:v>
      </x:c>
      <x:c r="C870" s="25" t="n">
        <x:v>2019</x:v>
      </x:c>
      <x:c r="D870" s="25" t="str">
        <x:v>Chuan-Che Huang</x:v>
      </x:c>
      <x:c r="E870" s="25" t="str">
        <x:v>Deep Blue (University of Michigan)</x:v>
      </x:c>
      <x:c r="F870" s="25" t="str"/>
      <x:c r="G870" s="25" t="str">
        <x:v>https://hdl.handle.net/2027.42/153457</x:v>
      </x:c>
      <x:c r="H870" s="25" t="str">
        <x:v>OpenAlex</x:v>
      </x:c>
      <x:c r="I870" s="25" t="str">
        <x:v>C15_proactive_interruption</x:v>
      </x:c>
      <x:c r="J870" s="25" t="str">
        <x:v>Exclude</x:v>
      </x:c>
      <x:c r="K870" s="25" t="str">
        <x:v>Exclude: adjacent/redundant or insufficiently theory-generative for DC1</x:v>
      </x:c>
    </x:row>
    <x:row r="871">
      <x:c r="A871" s="20" t="str">
        <x:v>R0867</x:v>
      </x:c>
      <x:c r="B871" s="25" t="str">
        <x:v>Direct Object Manipulation vs. Direct Concept Manipulation: Effect of Interface Style on Reflection and Domain Learning</x:v>
      </x:c>
      <x:c r="C871" s="25" t="n">
        <x:v>1997</x:v>
      </x:c>
      <x:c r="D871" s="25" t="str">
        <x:v>Kamran Sedighian; Marv Westrom</x:v>
      </x:c>
      <x:c r="E871" s="25" t="str">
        <x:v>People and Computers XII</x:v>
      </x:c>
      <x:c r="F871" s="25" t="str">
        <x:v>10.1007/978-1-4471-3601-9_20</x:v>
      </x:c>
      <x:c r="G871" s="25" t="str">
        <x:v>https://doi.org/10.1007/978-1-4471-3601-9_20</x:v>
      </x:c>
      <x:c r="H871" s="25" t="str">
        <x:v>Crossref</x:v>
      </x:c>
      <x:c r="I871" s="25" t="str">
        <x:v>C1_3D_mental_models</x:v>
      </x:c>
      <x:c r="J871" s="25" t="str">
        <x:v>Exclude</x:v>
      </x:c>
      <x:c r="K871" s="25" t="str">
        <x:v>Exclude: adjacent/redundant or insufficiently theory-generative for DC1</x:v>
      </x:c>
    </x:row>
    <x:row r="872">
      <x:c r="A872" s="20" t="str">
        <x:v>R0868</x:v>
      </x:c>
      <x:c r="B872" s="25" t="str">
        <x:v>Embodied AI Agent for Co-creation Ecosystem: Elevating Human-AI Co-creation through Emotion Recognition and Dynamic Personality Adaptation</x:v>
      </x:c>
      <x:c r="C872" s="25" t="n">
        <x:v>2025</x:v>
      </x:c>
      <x:c r="D872" s="25" t="str">
        <x:v>Fernando Jia; Yuteng Fu; Jade Zheng; Florence Li</x:v>
      </x:c>
      <x:c r="E872" s="25" t="str"/>
      <x:c r="F872" s="25" t="str">
        <x:v>10.20944/preprints202501.0946.v1</x:v>
      </x:c>
      <x:c r="G872" s="25" t="str">
        <x:v>https://doi.org/10.20944/preprints202501.0946.v1</x:v>
      </x:c>
      <x:c r="H872" s="25" t="str">
        <x:v>Crossref</x:v>
      </x:c>
      <x:c r="I872" s="25" t="str">
        <x:v>C14_agency_ownership; C3_mixed_initiative_cocreation; C7_creative_agency</x:v>
      </x:c>
      <x:c r="J872" s="25" t="str">
        <x:v>Exclude</x:v>
      </x:c>
      <x:c r="K872" s="25" t="str">
        <x:v>Exclude: adjacent/redundant or insufficiently theory-generative for DC1</x:v>
      </x:c>
    </x:row>
    <x:row r="873">
      <x:c r="A873" s="20" t="str">
        <x:v>R0869</x:v>
      </x:c>
      <x:c r="B873" s="25" t="str">
        <x:v>Emerging Technologies for Sport Performance Enhancement: Embodied Cognition and Manipulation of Brain Rhythms</x:v>
      </x:c>
      <x:c r="C873" s="25" t="n">
        <x:v>2019</x:v>
      </x:c>
      <x:c r="D873" s="25" t="str">
        <x:v>Miriam Reiner</x:v>
      </x:c>
      <x:c r="E873" s="25" t="str">
        <x:v>Handbook of Embodied Cognition and Sport Psychology</x:v>
      </x:c>
      <x:c r="F873" s="25" t="str">
        <x:v>10.7551/mitpress/10764.003.0020</x:v>
      </x:c>
      <x:c r="G873" s="25" t="str">
        <x:v>https://doi.org/10.7551/mitpress/10764.003.0020</x:v>
      </x:c>
      <x:c r="H873" s="25" t="str">
        <x:v>Crossref</x:v>
      </x:c>
      <x:c r="I873" s="25" t="str">
        <x:v>C10_affordance_embodied</x:v>
      </x:c>
      <x:c r="J873" s="25" t="str">
        <x:v>Exclude</x:v>
      </x:c>
      <x:c r="K873" s="25" t="str">
        <x:v>Exclude: adjacent/redundant or insufficiently theory-generative for DC1</x:v>
      </x:c>
    </x:row>
    <x:row r="874">
      <x:c r="A874" s="20" t="str">
        <x:v>R0870</x:v>
      </x:c>
      <x:c r="B874" s="25" t="str">
        <x:v>Enhancing Hand Palm Motion Gesture Recognition by Eliminating Reference Frame Bias via Frame-Invariant Similarity Measures</x:v>
      </x:c>
      <x:c r="C874" s="25" t="n">
        <x:v>2025</x:v>
      </x:c>
      <x:c r="D874" s="25" t="str">
        <x:v>Arno Verduyn; Maxim Vochten; Joris De Schutter</x:v>
      </x:c>
      <x:c r="E874" s="25" t="str">
        <x:v>2025 IEEE 21st International Conference on Automation Science and Engineering (CASE)</x:v>
      </x:c>
      <x:c r="F874" s="25" t="str">
        <x:v>10.1109/case58245.2025.11163910</x:v>
      </x:c>
      <x:c r="G874" s="25" t="str">
        <x:v>https://doi.org/10.1109/case58245.2025.11163910</x:v>
      </x:c>
      <x:c r="H874" s="25" t="str">
        <x:v>Crossref</x:v>
      </x:c>
      <x:c r="I874" s="25" t="str">
        <x:v>C17_3D_gesture_ambiguity</x:v>
      </x:c>
      <x:c r="J874" s="25" t="str">
        <x:v>Exclude</x:v>
      </x:c>
      <x:c r="K874" s="25" t="str">
        <x:v>Exclude: topic mismatch</x:v>
      </x:c>
    </x:row>
    <x:row r="875">
      <x:c r="A875" s="20" t="str">
        <x:v>R0871</x:v>
      </x:c>
      <x:c r="B875" s="25" t="str">
        <x:v>Evaluating Memory in LLM Agents via Incremental Multi-Turn Interactions</x:v>
      </x:c>
      <x:c r="C875" s="25" t="n">
        <x:v>2025</x:v>
      </x:c>
      <x:c r="D875" s="25" t="str">
        <x:v>Yannan Hu; Yu Wang; Julian McAuley</x:v>
      </x:c>
      <x:c r="E875" s="25" t="str">
        <x:v>arXiv (Cornell University)</x:v>
      </x:c>
      <x:c r="F875" s="25" t="str">
        <x:v>10.48550/arxiv.2507.05257</x:v>
      </x:c>
      <x:c r="G875" s="25" t="str">
        <x:v>https://arxiv.org/abs/2507.05257</x:v>
      </x:c>
      <x:c r="H875" s="25" t="str">
        <x:v>OpenAlex</x:v>
      </x:c>
      <x:c r="I875" s="25" t="str">
        <x:v>C5_agent_memory</x:v>
      </x:c>
      <x:c r="J875" s="25" t="str">
        <x:v>Exclude</x:v>
      </x:c>
      <x:c r="K875" s="25" t="str">
        <x:v>Exclude: adjacent/redundant or insufficiently theory-generative for DC1</x:v>
      </x:c>
    </x:row>
    <x:row r="876">
      <x:c r="A876" s="20" t="str">
        <x:v>R0872</x:v>
      </x:c>
      <x:c r="B876" s="25" t="str">
        <x:v>Evaluation of User Preferences for 3D Modeling and Design Reviews in Virtual Reality</x:v>
      </x:c>
      <x:c r="C876" s="25" t="n">
        <x:v>2020</x:v>
      </x:c>
      <x:c r="D876" s="25" t="str">
        <x:v>Jared Nysetvold; John Salmon</x:v>
      </x:c>
      <x:c r="E876" s="25" t="str">
        <x:v>CAD'20</x:v>
      </x:c>
      <x:c r="F876" s="25" t="str">
        <x:v>10.14733/cadconfp.2020.308-312</x:v>
      </x:c>
      <x:c r="G876" s="25" t="str">
        <x:v>https://doi.org/10.14733/cadconfp.2020.308-312</x:v>
      </x:c>
      <x:c r="H876" s="25" t="str">
        <x:v>Crossref</x:v>
      </x:c>
      <x:c r="I876" s="25" t="str">
        <x:v>C13_CAD_design_intent</x:v>
      </x:c>
      <x:c r="J876" s="25" t="str">
        <x:v>Exclude</x:v>
      </x:c>
      <x:c r="K876" s="25" t="str">
        <x:v>Exclude: adjacent/redundant or insufficiently theory-generative for DC1</x:v>
      </x:c>
    </x:row>
    <x:row r="877">
      <x:c r="A877" s="20" t="str">
        <x:v>R0873</x:v>
      </x:c>
      <x:c r="B877" s="25" t="str">
        <x:v>Evaluation of a Plan and Goal Recognition System for Inferring the Pilot’s Intent in Helicopter Operations</x:v>
      </x:c>
      <x:c r="C877" s="25" t="n">
        <x:v>2026</x:v>
      </x:c>
      <x:c r="D877" s="25" t="str">
        <x:v>Dominik Künzel; Axel Schulte</x:v>
      </x:c>
      <x:c r="E877" s="25" t="str">
        <x:v>Lecture Notes in Computer Science</x:v>
      </x:c>
      <x:c r="F877" s="25" t="str">
        <x:v>10.1007/978-3-032-12392-3_13</x:v>
      </x:c>
      <x:c r="G877" s="25" t="str">
        <x:v>https://doi.org/10.1007/978-3-032-12392-3_13</x:v>
      </x:c>
      <x:c r="H877" s="25" t="str">
        <x:v>Crossref</x:v>
      </x:c>
      <x:c r="I877" s="25" t="str">
        <x:v>C11_hierarchical_goal_recognition</x:v>
      </x:c>
      <x:c r="J877" s="25" t="str">
        <x:v>Exclude</x:v>
      </x:c>
      <x:c r="K877" s="25" t="str">
        <x:v>Exclude: adjacent/redundant or insufficiently theory-generative for DC1</x:v>
      </x:c>
    </x:row>
    <x:row r="878">
      <x:c r="A878" s="20" t="str">
        <x:v>R0874</x:v>
      </x:c>
      <x:c r="B878" s="25" t="str">
        <x:v>Exploring Intent-driven Multimodal Interface for Geographical Information System</x:v>
      </x:c>
      <x:c r="C878" s="25" t="n">
        <x:v>2015</x:v>
      </x:c>
      <x:c r="D878" s="25" t="str">
        <x:v>Feng Sun</x:v>
      </x:c>
      <x:c r="E878" s="25" t="str">
        <x:v>Proceedings of the 2015 ACM on International Conference on Multimodal Interaction</x:v>
      </x:c>
      <x:c r="F878" s="25" t="str">
        <x:v>10.1145/2818346.2823304</x:v>
      </x:c>
      <x:c r="G878" s="25" t="str">
        <x:v>https://doi.org/10.1145/2818346.2823304</x:v>
      </x:c>
      <x:c r="H878" s="25" t="str">
        <x:v>Crossref</x:v>
      </x:c>
      <x:c r="I878" s="25" t="str">
        <x:v>C2_interaction_signals</x:v>
      </x:c>
      <x:c r="J878" s="25" t="str">
        <x:v>Exclude</x:v>
      </x:c>
      <x:c r="K878" s="25" t="str">
        <x:v>Exclude: adjacent/redundant or insufficiently theory-generative for DC1</x:v>
      </x:c>
    </x:row>
    <x:row r="879">
      <x:c r="A879" s="20" t="str">
        <x:v>R0875</x:v>
      </x:c>
      <x:c r="B879" s="25" t="str">
        <x:v>Feature, design intention and constraint preservation for direct modeling of 3D freeform surfaces</x:v>
      </x:c>
      <x:c r="C879" s="25" t="n">
        <x:v>2012</x:v>
      </x:c>
      <x:c r="D879" s="25" t="str">
        <x:v>Luoting Fu; Levent Burak Kara; Kenji Shimada</x:v>
      </x:c>
      <x:c r="E879" s="25" t="str">
        <x:v>3D Research</x:v>
      </x:c>
      <x:c r="F879" s="25" t="str">
        <x:v>10.1007/3dres.02(2012)3</x:v>
      </x:c>
      <x:c r="G879" s="25" t="str">
        <x:v>https://doi.org/10.1007/3dres.02(2012)3</x:v>
      </x:c>
      <x:c r="H879" s="25" t="str">
        <x:v>Crossref</x:v>
      </x:c>
      <x:c r="I879" s="25" t="str">
        <x:v>C13_CAD_design_intent</x:v>
      </x:c>
      <x:c r="J879" s="25" t="str">
        <x:v>Exclude</x:v>
      </x:c>
      <x:c r="K879" s="25" t="str">
        <x:v>Exclude: adjacent/redundant or insufficiently theory-generative for DC1</x:v>
      </x:c>
    </x:row>
    <x:row r="880">
      <x:c r="A880" s="20" t="str">
        <x:v>R0876</x:v>
      </x:c>
      <x:c r="B880" s="25" t="str">
        <x:v>Force Push: Exploring Expressive Gesture-to-Force Mappings for Indirect 3D Object Manipulation</x:v>
      </x:c>
      <x:c r="C880" s="25" t="n">
        <x:v>2018</x:v>
      </x:c>
      <x:c r="D880" s="25" t="str">
        <x:v>Run Yu; Doug A. Bowman</x:v>
      </x:c>
      <x:c r="E880" s="25" t="str">
        <x:v>2018 IEEE Conference on Virtual Reality and 3D User Interfaces (VR)</x:v>
      </x:c>
      <x:c r="F880" s="25" t="str">
        <x:v>10.1109/vr.2018.8446453</x:v>
      </x:c>
      <x:c r="G880" s="25" t="str">
        <x:v>https://doi.org/10.1109/vr.2018.8446453</x:v>
      </x:c>
      <x:c r="H880" s="25" t="str">
        <x:v>Crossref</x:v>
      </x:c>
      <x:c r="I880" s="25" t="str">
        <x:v>C1_3D_mental_models</x:v>
      </x:c>
      <x:c r="J880" s="25" t="str">
        <x:v>Exclude</x:v>
      </x:c>
      <x:c r="K880" s="25" t="str">
        <x:v>Exclude: adjacent/redundant or insufficiently theory-generative for DC1</x:v>
      </x:c>
    </x:row>
    <x:row r="881">
      <x:c r="A881" s="20" t="str">
        <x:v>R0877</x:v>
      </x:c>
      <x:c r="B881" s="25" t="str">
        <x:v>From simulated empathy to structural attunement: Realtime Editable Memory Topology and the evolution of emotionally grounded AI</x:v>
      </x:c>
      <x:c r="C881" s="25" t="n">
        <x:v>2026</x:v>
      </x:c>
      <x:c r="D881" s="25" t="str">
        <x:v>John Albanese</x:v>
      </x:c>
      <x:c r="E881" s="25" t="str">
        <x:v>Frontiers in Artificial Intelligence</x:v>
      </x:c>
      <x:c r="F881" s="25" t="str">
        <x:v>10.3389/frai.2026.1749517</x:v>
      </x:c>
      <x:c r="G881" s="25" t="str">
        <x:v>https://doi.org/10.3389/frai.2026.1749517</x:v>
      </x:c>
      <x:c r="H881" s="25" t="str">
        <x:v>OpenAlex</x:v>
      </x:c>
      <x:c r="I881" s="25" t="str">
        <x:v>C5_agent_memory</x:v>
      </x:c>
      <x:c r="J881" s="25" t="str">
        <x:v>Exclude</x:v>
      </x:c>
      <x:c r="K881" s="25" t="str">
        <x:v>Exclude: adjacent/redundant or insufficiently theory-generative for DC1</x:v>
      </x:c>
    </x:row>
    <x:row r="882">
      <x:c r="A882" s="20" t="str">
        <x:v>R0878</x:v>
      </x:c>
      <x:c r="B882" s="25" t="str">
        <x:v>Giving Sense to Inputs: Toward an Accessible Control Framework for Shared Autonomy</x:v>
      </x:c>
      <x:c r="C882" s="25" t="n">
        <x:v>2025</x:v>
      </x:c>
      <x:c r="D882" s="25" t="str">
        <x:v>Shalutha Rajapakshe; Jean-Marc Odobez; Emmanuel Senft</x:v>
      </x:c>
      <x:c r="E882" s="25" t="str">
        <x:v>2025 20th ACM/IEEE International Conference on Human-Robot Interaction (HRI)</x:v>
      </x:c>
      <x:c r="F882" s="25" t="str">
        <x:v>10.1109/hri61500.2025.10973914</x:v>
      </x:c>
      <x:c r="G882" s="25" t="str">
        <x:v>https://doi.org/10.1109/hri61500.2025.10973914</x:v>
      </x:c>
      <x:c r="H882" s="25" t="str">
        <x:v>Crossref</x:v>
      </x:c>
      <x:c r="I882" s="25" t="str">
        <x:v>C4_uncertainty_shared_autonomy</x:v>
      </x:c>
      <x:c r="J882" s="25" t="str">
        <x:v>Exclude</x:v>
      </x:c>
      <x:c r="K882" s="25" t="str">
        <x:v>Exclude: adjacent/redundant or insufficiently theory-generative for DC1</x:v>
      </x:c>
    </x:row>
    <x:row r="883">
      <x:c r="A883" s="20" t="str">
        <x:v>R0879</x:v>
      </x:c>
      <x:c r="B883" s="25" t="str">
        <x:v>Glass Chirolytics: Reciprocal Compositing and Shared Gestural Control for Face-to-Face Collaborative Visualization at a Distance</x:v>
      </x:c>
      <x:c r="C883" s="25" t="n">
        <x:v>2026</x:v>
      </x:c>
      <x:c r="D883" s="25" t="str">
        <x:v>Dion Barja; Matthew Brehmer</x:v>
      </x:c>
      <x:c r="E883" s="25" t="str"/>
      <x:c r="F883" s="25" t="str">
        <x:v>10.1145/3772318.3791122</x:v>
      </x:c>
      <x:c r="G883" s="25" t="str">
        <x:v>https://doi.org/10.1145/3772318.3791122</x:v>
      </x:c>
      <x:c r="H883" s="25" t="str">
        <x:v>OpenAlex</x:v>
      </x:c>
      <x:c r="I883" s="25" t="str">
        <x:v>C17_3D_gesture_ambiguity</x:v>
      </x:c>
      <x:c r="J883" s="25" t="str">
        <x:v>Exclude</x:v>
      </x:c>
      <x:c r="K883" s="25" t="str">
        <x:v>Exclude: adjacent/redundant or insufficiently theory-generative for DC1</x:v>
      </x:c>
    </x:row>
    <x:row r="884">
      <x:c r="A884" s="20" t="str">
        <x:v>R0880</x:v>
      </x:c>
      <x:c r="B884" s="25" t="str">
        <x:v>HEAT TRANSFER IN TWO-DIMENSIONAL RAYLEIGH-BÉNARD CONVECTION AT DIFFERENT RAYLEIGH NUMBER FOR MIXED BOUNDARY CONDITIONS</x:v>
      </x:c>
      <x:c r="C884" s="25" t="n">
        <x:v>2017</x:v>
      </x:c>
      <x:c r="D884" s="25" t="str">
        <x:v>Chongyang Zhao; Yikun Wei</x:v>
      </x:c>
      <x:c r="E884" s="25" t="str">
        <x:v>JP Journal of Heat and Mass Transfer</x:v>
      </x:c>
      <x:c r="F884" s="25" t="str">
        <x:v>10.17654/hm014010001</x:v>
      </x:c>
      <x:c r="G884" s="25" t="str">
        <x:v>https://doi.org/10.17654/hm014010001</x:v>
      </x:c>
      <x:c r="H884" s="25" t="str">
        <x:v>Crossref</x:v>
      </x:c>
      <x:c r="I884" s="25" t="str">
        <x:v>C9_human_agent_handoff</x:v>
      </x:c>
      <x:c r="J884" s="25" t="str">
        <x:v>Exclude</x:v>
      </x:c>
      <x:c r="K884" s="25" t="str">
        <x:v>Exclude: topic mismatch</x:v>
      </x:c>
    </x:row>
    <x:row r="885">
      <x:c r="A885" s="20" t="str">
        <x:v>R0881</x:v>
      </x:c>
      <x:c r="B885" s="25" t="str">
        <x:v>Hierarchical User Intent Inference with Knowledge Graph Grounding</x:v>
      </x:c>
      <x:c r="C885" s="25" t="n">
        <x:v>2026</x:v>
      </x:c>
      <x:c r="D885" s="25" t="str">
        <x:v>Tzu-Cheng Peng; Chien Chin Chen; Yung-Chun Chang</x:v>
      </x:c>
      <x:c r="E885" s="25" t="str">
        <x:v>Findings of the Association for Computational Linguistics: EACL 2026</x:v>
      </x:c>
      <x:c r="F885" s="25" t="str">
        <x:v>10.18653/v1/2026.findings-eacl.285</x:v>
      </x:c>
      <x:c r="G885" s="25" t="str">
        <x:v>https://doi.org/10.18653/v1/2026.findings-eacl.285</x:v>
      </x:c>
      <x:c r="H885" s="25" t="str">
        <x:v>Crossref</x:v>
      </x:c>
      <x:c r="I885" s="25" t="str">
        <x:v>C2_interaction_signals</x:v>
      </x:c>
      <x:c r="J885" s="25" t="str">
        <x:v>Exclude</x:v>
      </x:c>
      <x:c r="K885" s="25" t="str">
        <x:v>Exclude: adjacent/redundant or insufficiently theory-generative for DC1</x:v>
      </x:c>
    </x:row>
    <x:row r="886">
      <x:c r="A886" s="20" t="str">
        <x:v>R0882</x:v>
      </x:c>
      <x:c r="B886" s="25" t="str">
        <x:v>Imaging COVID-19 AI initiative</x:v>
      </x:c>
      <x:c r="C886" s="25" t="n">
        <x:v>2020</x:v>
      </x:c>
      <x:c r="D886" s="25" t="str">
        <x:v>Laurens Topff; Erik Ranschaert</x:v>
      </x:c>
      <x:c r="E886" s="25" t="str"/>
      <x:c r="F886" s="25" t="str">
        <x:v>10.26226/morressier.5f7f3e3d6934880e60c0a8ad</x:v>
      </x:c>
      <x:c r="G886" s="25" t="str">
        <x:v>https://doi.org/10.26226/morressier.5f7f3e3d6934880e60c0a8ad</x:v>
      </x:c>
      <x:c r="H886" s="25" t="str">
        <x:v>Crossref</x:v>
      </x:c>
      <x:c r="I886" s="25" t="str">
        <x:v>C15_proactive_interruption</x:v>
      </x:c>
      <x:c r="J886" s="25" t="str">
        <x:v>Exclude</x:v>
      </x:c>
      <x:c r="K886" s="25" t="str">
        <x:v>Exclude: adjacent/redundant or insufficiently theory-generative for DC1</x:v>
      </x:c>
    </x:row>
    <x:row r="887">
      <x:c r="A887" s="20" t="str">
        <x:v>R0883</x:v>
      </x:c>
      <x:c r="B887" s="25" t="str">
        <x:v>Indoor Virtual Modeling Design Based on Computer 3D CAD Processing Technology</x:v>
      </x:c>
      <x:c r="C887" s="25" t="n">
        <x:v>2023</x:v>
      </x:c>
      <x:c r="D887" s="25" t="str">
        <x:v>Zhengfeng Yao; Zhenyan Qin</x:v>
      </x:c>
      <x:c r="E887" s="25" t="str">
        <x:v>Computer-Aided Design and Applications</x:v>
      </x:c>
      <x:c r="F887" s="25" t="str">
        <x:v>10.14733/cadaps.2024.s6.10-19</x:v>
      </x:c>
      <x:c r="G887" s="25" t="str">
        <x:v>https://doi.org/10.14733/cadaps.2024.s6.10-19</x:v>
      </x:c>
      <x:c r="H887" s="25" t="str">
        <x:v>Crossref</x:v>
      </x:c>
      <x:c r="I887" s="25" t="str">
        <x:v>C13_CAD_design_intent</x:v>
      </x:c>
      <x:c r="J887" s="25" t="str">
        <x:v>Exclude</x:v>
      </x:c>
      <x:c r="K887" s="25" t="str">
        <x:v>Exclude: adjacent/redundant or insufficiently theory-generative for DC1</x:v>
      </x:c>
    </x:row>
    <x:row r="888">
      <x:c r="A888" s="20" t="str">
        <x:v>R0884</x:v>
      </x:c>
      <x:c r="B888" s="25" t="str">
        <x:v>Interface-level Intent Inference for Environment-agnostic Robot Teleoperation Assistance</x:v>
      </x:c>
      <x:c r="C888" s="25" t="n">
        <x:v>2025</x:v>
      </x:c>
      <x:c r="D888" s="25" t="str">
        <x:v>Larisa Loke; Brenna Argall</x:v>
      </x:c>
      <x:c r="E888" s="25" t="str">
        <x:v>Robotics: Science and Systems XXI</x:v>
      </x:c>
      <x:c r="F888" s="25" t="str">
        <x:v>10.15607/rss.2025.xxi.081</x:v>
      </x:c>
      <x:c r="G888" s="25" t="str">
        <x:v>https://doi.org/10.15607/rss.2025.xxi.081</x:v>
      </x:c>
      <x:c r="H888" s="25" t="str">
        <x:v>Crossref</x:v>
      </x:c>
      <x:c r="I888" s="25" t="str">
        <x:v>C2_interaction_signals; C6_frontend_GUI_intent</x:v>
      </x:c>
      <x:c r="J888" s="25" t="str">
        <x:v>Exclude</x:v>
      </x:c>
      <x:c r="K888" s="25" t="str">
        <x:v>Exclude: adjacent/redundant or insufficiently theory-generative for DC1</x:v>
      </x:c>
    </x:row>
    <x:row r="889">
      <x:c r="A889" s="20" t="str">
        <x:v>R0885</x:v>
      </x:c>
      <x:c r="B889" s="25" t="str">
        <x:v>LLM-Guided Semantic Relational Reasoning for Multimodal Intent Recognition</x:v>
      </x:c>
      <x:c r="C889" s="25" t="n">
        <x:v>2025</x:v>
      </x:c>
      <x:c r="D889" s="25" t="str">
        <x:v>Qianrui Zhou; Hua Xu; Yifan Wang; Xinzhi Dong; Hanlei Zhang</x:v>
      </x:c>
      <x:c r="E889" s="25" t="str"/>
      <x:c r="F889" s="25" t="str">
        <x:v>10.18653/v1/2025.emnlp-main.1130</x:v>
      </x:c>
      <x:c r="G889" s="25" t="str">
        <x:v>https://doi.org/10.18653/v1/2025.emnlp-main.1130</x:v>
      </x:c>
      <x:c r="H889" s="25" t="str">
        <x:v>OpenAlex</x:v>
      </x:c>
      <x:c r="I889" s="25" t="str">
        <x:v>C11_hierarchical_goal_recognition</x:v>
      </x:c>
      <x:c r="J889" s="25" t="str">
        <x:v>Exclude</x:v>
      </x:c>
      <x:c r="K889" s="25" t="str">
        <x:v>Exclude: adjacent/redundant or insufficiently theory-generative for DC1</x:v>
      </x:c>
    </x:row>
    <x:row r="890">
      <x:c r="A890" s="20" t="str">
        <x:v>R0886</x:v>
      </x:c>
      <x:c r="B890" s="25" t="str">
        <x:v>Memory retrieval and truth recovery</x:v>
      </x:c>
      <x:c r="C890" s="25" t="n">
        <x:v>2008</x:v>
      </x:c>
      <x:c r="D890" s="25" t="str">
        <x:v>Paul Arthur</x:v>
      </x:c>
      <x:c r="E890" s="25" t="str">
        <x:v>Handbook of Conflict Analysis and Resolution</x:v>
      </x:c>
      <x:c r="F890" s="25" t="str">
        <x:v>10.4324/9780203893166.ch26</x:v>
      </x:c>
      <x:c r="G890" s="25" t="str">
        <x:v>https://doi.org/10.4324/9780203893166.ch26</x:v>
      </x:c>
      <x:c r="H890" s="25" t="str">
        <x:v>Crossref</x:v>
      </x:c>
      <x:c r="I890" s="25" t="str">
        <x:v>C16_memory_conflict_bias</x:v>
      </x:c>
      <x:c r="J890" s="25" t="str">
        <x:v>Exclude</x:v>
      </x:c>
      <x:c r="K890" s="25" t="str">
        <x:v>Exclude: adjacent/redundant or insufficiently theory-generative for DC1</x:v>
      </x:c>
    </x:row>
    <x:row r="891">
      <x:c r="A891" s="20" t="str">
        <x:v>R0887</x:v>
      </x:c>
      <x:c r="B891" s="25" t="str">
        <x:v>Mixed-Initiative Issues in an Agent-Based Meeting Scheduler</x:v>
      </x:c>
      <x:c r="C891" s="25" t="n">
        <x:v>1999</x:v>
      </x:c>
      <x:c r="D891" s="25" t="str">
        <x:v>Amedeo Cesta; Daniela D’aloisi</x:v>
      </x:c>
      <x:c r="E891" s="25" t="str">
        <x:v>Computational Models of Mixed-Initiative Interaction</x:v>
      </x:c>
      <x:c r="F891" s="25" t="str">
        <x:v>10.1007/978-94-017-1118-0_6</x:v>
      </x:c>
      <x:c r="G891" s="25" t="str">
        <x:v>https://doi.org/10.1007/978-94-017-1118-0_6</x:v>
      </x:c>
      <x:c r="H891" s="25" t="str">
        <x:v>Crossref</x:v>
      </x:c>
      <x:c r="I891" s="25" t="str">
        <x:v>C15_proactive_interruption</x:v>
      </x:c>
      <x:c r="J891" s="25" t="str">
        <x:v>Exclude</x:v>
      </x:c>
      <x:c r="K891" s="25" t="str">
        <x:v>Exclude: adjacent/redundant or insufficiently theory-generative for DC1</x:v>
      </x:c>
    </x:row>
    <x:row r="892">
      <x:c r="A892" s="20" t="str">
        <x:v>R0888</x:v>
      </x:c>
      <x:c r="B892" s="25" t="str">
        <x:v>Mixed-Initiative Methods for Co-Creation in Scientific Research</x:v>
      </x:c>
      <x:c r="C892" s="25" t="n">
        <x:v>2024</x:v>
      </x:c>
      <x:c r="D892" s="25" t="str">
        <x:v>Marissa Radensky</x:v>
      </x:c>
      <x:c r="E892" s="25" t="str">
        <x:v>Creativity and Cognition</x:v>
      </x:c>
      <x:c r="F892" s="25" t="str">
        <x:v>10.1145/3635636.3664627</x:v>
      </x:c>
      <x:c r="G892" s="25" t="str">
        <x:v>https://doi.org/10.1145/3635636.3664627</x:v>
      </x:c>
      <x:c r="H892" s="25" t="str">
        <x:v>Crossref</x:v>
      </x:c>
      <x:c r="I892" s="25" t="str">
        <x:v>C3_mixed_initiative_cocreation</x:v>
      </x:c>
      <x:c r="J892" s="25" t="str">
        <x:v>Exclude</x:v>
      </x:c>
      <x:c r="K892" s="25" t="str">
        <x:v>Exclude: adjacent/redundant or insufficiently theory-generative for DC1</x:v>
      </x:c>
    </x:row>
    <x:row r="893">
      <x:c r="A893" s="20" t="str">
        <x:v>R0889</x:v>
      </x:c>
      <x:c r="B893" s="25" t="str">
        <x:v>Modelling and Using Common Ground in Human-agent Collaboration during Spacecraft Operations</x:v>
      </x:c>
      <x:c r="C893" s="25" t="n">
        <x:v>2014</x:v>
      </x:c>
      <x:c r="D893" s="25" t="str">
        <x:v>Jens Pfau; Tim Miller; Liz Sonenberg</x:v>
      </x:c>
      <x:c r="E893" s="25" t="str">
        <x:v>SpaceOps 2014 Conference</x:v>
      </x:c>
      <x:c r="F893" s="25" t="str">
        <x:v>10.2514/6.2014-1862</x:v>
      </x:c>
      <x:c r="G893" s="25" t="str">
        <x:v>https://doi.org/10.2514/6.2014-1862</x:v>
      </x:c>
      <x:c r="H893" s="25" t="str">
        <x:v>Crossref</x:v>
      </x:c>
      <x:c r="I893" s="25" t="str">
        <x:v>C12_common_ground_repair</x:v>
      </x:c>
      <x:c r="J893" s="25" t="str">
        <x:v>Exclude</x:v>
      </x:c>
      <x:c r="K893" s="25" t="str">
        <x:v>Exclude: topic mismatch</x:v>
      </x:c>
    </x:row>
    <x:row r="894">
      <x:c r="A894" s="20" t="str">
        <x:v>R0890</x:v>
      </x:c>
      <x:c r="B894" s="25" t="str">
        <x:v>Multiagent Plan Recognition from Partially Observed Team Traces</x:v>
      </x:c>
      <x:c r="C894" s="25" t="n">
        <x:v>2014</x:v>
      </x:c>
      <x:c r="D894" s="25" t="str">
        <x:v>Hankz Hankui Zhuo</x:v>
      </x:c>
      <x:c r="E894" s="25" t="str">
        <x:v>Plan, Activity, and Intent Recognition</x:v>
      </x:c>
      <x:c r="F894" s="25" t="str">
        <x:v>10.1016/b978-0-12-398532-3.00009-9</x:v>
      </x:c>
      <x:c r="G894" s="25" t="str">
        <x:v>https://doi.org/10.1016/b978-0-12-398532-3.00009-9</x:v>
      </x:c>
      <x:c r="H894" s="25" t="str">
        <x:v>Crossref</x:v>
      </x:c>
      <x:c r="I894" s="25" t="str">
        <x:v>C11_hierarchical_goal_recognition</x:v>
      </x:c>
      <x:c r="J894" s="25" t="str">
        <x:v>Exclude</x:v>
      </x:c>
      <x:c r="K894" s="25" t="str">
        <x:v>Exclude: topic mismatch</x:v>
      </x:c>
    </x:row>
    <x:row r="895">
      <x:c r="A895" s="20" t="str">
        <x:v>R0891</x:v>
      </x:c>
      <x:c r="B895" s="25" t="str">
        <x:v>Multiple frame motion inference using belief propagation</x:v>
      </x:c>
      <x:c r="C895" s="25" t="str"/>
      <x:c r="D895" s="25" t="str">
        <x:v>Jiang Gao; Jianbo Shi</x:v>
      </x:c>
      <x:c r="E895" s="25" t="str">
        <x:v>Sixth IEEE International Conference on Automatic Face and Gesture Recognition, 2004. Proceedings.</x:v>
      </x:c>
      <x:c r="F895" s="25" t="str">
        <x:v>10.1109/afgr.2004.1301644</x:v>
      </x:c>
      <x:c r="G895" s="25" t="str">
        <x:v>https://doi.org/10.1109/afgr.2004.1301644</x:v>
      </x:c>
      <x:c r="H895" s="25" t="str">
        <x:v>Crossref</x:v>
      </x:c>
      <x:c r="I895" s="25" t="str">
        <x:v>C17_3D_gesture_ambiguity</x:v>
      </x:c>
      <x:c r="J895" s="25" t="str">
        <x:v>Exclude</x:v>
      </x:c>
      <x:c r="K895" s="25" t="str">
        <x:v>Exclude: topic mismatch</x:v>
      </x:c>
    </x:row>
    <x:row r="896">
      <x:c r="A896" s="20" t="str">
        <x:v>R0892</x:v>
      </x:c>
      <x:c r="B896" s="25" t="str">
        <x:v>Multiplicative Models of Human AI Collaboration: Two Equations for Assessing Collaboration Quality and Human Legacy</x:v>
      </x:c>
      <x:c r="C896" s="25" t="n">
        <x:v>2026</x:v>
      </x:c>
      <x:c r="D896" s="25" t="str">
        <x:v>John Kwarsick</x:v>
      </x:c>
      <x:c r="E896" s="25" t="str"/>
      <x:c r="F896" s="25" t="str">
        <x:v>10.2139/ssrn.6579119</x:v>
      </x:c>
      <x:c r="G896" s="25" t="str">
        <x:v>https://doi.org/10.2139/ssrn.6579119</x:v>
      </x:c>
      <x:c r="H896" s="25" t="str">
        <x:v>Crossref</x:v>
      </x:c>
      <x:c r="I896" s="25" t="str">
        <x:v>C12_common_ground_repair</x:v>
      </x:c>
      <x:c r="J896" s="25" t="str">
        <x:v>Exclude</x:v>
      </x:c>
      <x:c r="K896" s="25" t="str">
        <x:v>Exclude: adjacent/redundant or insufficiently theory-generative for DC1</x:v>
      </x:c>
    </x:row>
    <x:row r="897">
      <x:c r="A897" s="20" t="str">
        <x:v>R0893</x:v>
      </x:c>
      <x:c r="B897" s="25" t="str">
        <x:v>Natural Convection to Power-Law Fluids From a Heated Vertical Plate Under Mixed Thermal Boundary Conditions</x:v>
      </x:c>
      <x:c r="C897" s="25" t="n">
        <x:v>1999</x:v>
      </x:c>
      <x:c r="D897" s="25" t="str">
        <x:v>Elif Büyük; Mehmet C. Ece</x:v>
      </x:c>
      <x:c r="E897" s="25" t="str">
        <x:v>Heat Transfer: Volume 1</x:v>
      </x:c>
      <x:c r="F897" s="25" t="str">
        <x:v>10.1115/imece1999-0982</x:v>
      </x:c>
      <x:c r="G897" s="25" t="str">
        <x:v>https://doi.org/10.1115/imece1999-0982</x:v>
      </x:c>
      <x:c r="H897" s="25" t="str">
        <x:v>Crossref</x:v>
      </x:c>
      <x:c r="I897" s="25" t="str">
        <x:v>C9_human_agent_handoff</x:v>
      </x:c>
      <x:c r="J897" s="25" t="str">
        <x:v>Exclude</x:v>
      </x:c>
      <x:c r="K897" s="25" t="str">
        <x:v>Exclude: topic mismatch</x:v>
      </x:c>
    </x:row>
    <x:row r="898">
      <x:c r="A898" s="20" t="str">
        <x:v>R0894</x:v>
      </x:c>
      <x:c r="B898" s="25" t="str">
        <x:v>Object Manipulation by Absolute Pointing with a Smartphone Gyro Sensor</x:v>
      </x:c>
      <x:c r="C898" s="25" t="n">
        <x:v>2019</x:v>
      </x:c>
      <x:c r="D898" s="25" t="str">
        <x:v>Koki Sato; Mitsunori Matsushita</x:v>
      </x:c>
      <x:c r="E898" s="25" t="str">
        <x:v>Symposium on Spatial User Interaction</x:v>
      </x:c>
      <x:c r="F898" s="25" t="str">
        <x:v>10.1145/3357251.3360006</x:v>
      </x:c>
      <x:c r="G898" s="25" t="str">
        <x:v>https://doi.org/10.1145/3357251.3360006</x:v>
      </x:c>
      <x:c r="H898" s="25" t="str">
        <x:v>Crossref</x:v>
      </x:c>
      <x:c r="I898" s="25" t="str">
        <x:v>C1_3D_mental_models</x:v>
      </x:c>
      <x:c r="J898" s="25" t="str">
        <x:v>Exclude</x:v>
      </x:c>
      <x:c r="K898" s="25" t="str">
        <x:v>Exclude: adjacent/redundant or insufficiently theory-generative for DC1</x:v>
      </x:c>
    </x:row>
    <x:row r="899">
      <x:c r="A899" s="20" t="str">
        <x:v>R0895</x:v>
      </x:c>
      <x:c r="B899" s="25" t="str">
        <x:v>Plan, Activity, and Intent Recognition</x:v>
      </x:c>
      <x:c r="C899" s="25" t="n">
        <x:v>2014</x:v>
      </x:c>
      <x:c r="D899" s="25" t="str"/>
      <x:c r="E899" s="25" t="str">
        <x:v>Plan, Activity, and Intent Recognition</x:v>
      </x:c>
      <x:c r="F899" s="25" t="str">
        <x:v>10.1016/b978-0-12-398532-3.00016-6</x:v>
      </x:c>
      <x:c r="G899" s="25" t="str">
        <x:v>https://doi.org/10.1016/b978-0-12-398532-3.00016-6</x:v>
      </x:c>
      <x:c r="H899" s="25" t="str">
        <x:v>Crossref</x:v>
      </x:c>
      <x:c r="I899" s="25" t="str">
        <x:v>C11_hierarchical_goal_recognition</x:v>
      </x:c>
      <x:c r="J899" s="25" t="str">
        <x:v>Exclude</x:v>
      </x:c>
      <x:c r="K899" s="25" t="str">
        <x:v>Exclude: adjacent/redundant or insufficiently theory-generative for DC1</x:v>
      </x:c>
    </x:row>
    <x:row r="900">
      <x:c r="A900" s="20" t="str">
        <x:v>R0896</x:v>
      </x:c>
      <x:c r="B900" s="25" t="str">
        <x:v>Practical argumentation in a mixed-initiative framework</x:v>
      </x:c>
      <x:c r="C900" s="25" t="n">
        <x:v>2011</x:v>
      </x:c>
      <x:c r="D900" s="25" t="str">
        <x:v>Chee Fon Chang</x:v>
      </x:c>
      <x:c r="E900" s="25" t="str">
        <x:v>Research Online (University of Wollongong)</x:v>
      </x:c>
      <x:c r="F900" s="25" t="str"/>
      <x:c r="G900" s="25" t="str">
        <x:v>https://ro.uow.edu.au/theses/3712</x:v>
      </x:c>
      <x:c r="H900" s="25" t="str">
        <x:v>OpenAlex</x:v>
      </x:c>
      <x:c r="I900" s="25" t="str">
        <x:v>C15_proactive_interruption</x:v>
      </x:c>
      <x:c r="J900" s="25" t="str">
        <x:v>Exclude</x:v>
      </x:c>
      <x:c r="K900" s="25" t="str">
        <x:v>Exclude: adjacent/redundant or insufficiently theory-generative for DC1</x:v>
      </x:c>
    </x:row>
    <x:row r="901">
      <x:c r="A901" s="20" t="str">
        <x:v>R0897</x:v>
      </x:c>
      <x:c r="B901" s="25" t="str">
        <x:v>Precision Proactivity: Measuring Cognitive Load in Real-World AI-Assisted Work</x:v>
      </x:c>
      <x:c r="C901" s="25" t="n">
        <x:v>2025</x:v>
      </x:c>
      <x:c r="D901" s="25" t="str">
        <x:v>B Lepine; Juho Kim; Pamela Mishkin; Matt Beane</x:v>
      </x:c>
      <x:c r="E901" s="25" t="str">
        <x:v>ArXiv.org</x:v>
      </x:c>
      <x:c r="F901" s="25" t="str">
        <x:v>10.48550/arxiv.2505.10742</x:v>
      </x:c>
      <x:c r="G901" s="25" t="str">
        <x:v>http://arxiv.org/abs/2505.10742</x:v>
      </x:c>
      <x:c r="H901" s="25" t="str">
        <x:v>OpenAlex</x:v>
      </x:c>
      <x:c r="I901" s="25" t="str">
        <x:v>C15_proactive_interruption</x:v>
      </x:c>
      <x:c r="J901" s="25" t="str">
        <x:v>Exclude</x:v>
      </x:c>
      <x:c r="K901" s="25" t="str">
        <x:v>Exclude: topic mismatch</x:v>
      </x:c>
    </x:row>
    <x:row r="902">
      <x:c r="A902" s="20" t="str">
        <x:v>R0898</x:v>
      </x:c>
      <x:c r="B902" s="25" t="str">
        <x:v>Recurrence Quantification Models of Human Conversational Grounding Processes: Informing Natural Language Human-Computer Interaction</x:v>
      </x:c>
      <x:c r="C902" s="25" t="n">
        <x:v>2018</x:v>
      </x:c>
      <x:c r="D902" s="25" t="str">
        <x:v>Clayton D. Rothwell</x:v>
      </x:c>
      <x:c r="E902" s="25" t="str">
        <x:v>CORE Scholar (Wright State University)</x:v>
      </x:c>
      <x:c r="F902" s="25" t="str"/>
      <x:c r="G902" s="25" t="str">
        <x:v>https://corescholar.libraries.wright.edu/etd_all/1964</x:v>
      </x:c>
      <x:c r="H902" s="25" t="str">
        <x:v>OpenAlex</x:v>
      </x:c>
      <x:c r="I902" s="25" t="str">
        <x:v>C12_common_ground_repair</x:v>
      </x:c>
      <x:c r="J902" s="25" t="str">
        <x:v>Exclude</x:v>
      </x:c>
      <x:c r="K902" s="25" t="str">
        <x:v>Exclude: adjacent/redundant or insufficiently theory-generative for DC1</x:v>
      </x:c>
    </x:row>
    <x:row r="903">
      <x:c r="A903" s="20" t="str">
        <x:v>R0899</x:v>
      </x:c>
      <x:c r="B903" s="25" t="str">
        <x:v>Research and design of virtual simulation experiment learning interaction for embodied cognition</x:v>
      </x:c>
      <x:c r="C903" s="25" t="n">
        <x:v>2020</x:v>
      </x:c>
      <x:c r="D903" s="25" t="str">
        <x:v>Chen Wang; Fuan Wen</x:v>
      </x:c>
      <x:c r="E903" s="25" t="str">
        <x:v>2020 18th International Conference on Emerging eLearning Technologies and Applications (ICETA)</x:v>
      </x:c>
      <x:c r="F903" s="25" t="str">
        <x:v>10.1109/iceta51985.2020.9379168</x:v>
      </x:c>
      <x:c r="G903" s="25" t="str">
        <x:v>https://doi.org/10.1109/iceta51985.2020.9379168</x:v>
      </x:c>
      <x:c r="H903" s="25" t="str">
        <x:v>Crossref</x:v>
      </x:c>
      <x:c r="I903" s="25" t="str">
        <x:v>C10_affordance_embodied</x:v>
      </x:c>
      <x:c r="J903" s="25" t="str">
        <x:v>Exclude</x:v>
      </x:c>
      <x:c r="K903" s="25" t="str">
        <x:v>Exclude: topic mismatch</x:v>
      </x:c>
    </x:row>
    <x:row r="904">
      <x:c r="A904" s="20" t="str">
        <x:v>R0900</x:v>
      </x:c>
      <x:c r="B904" s="25" t="str">
        <x:v>Seeing Eye to Eye: Enabling Cognitive Alignment Through Shared First-Person Perspective in Human–AI Collaboration</x:v>
      </x:c>
      <x:c r="C904" s="25" t="n">
        <x:v>2026</x:v>
      </x:c>
      <x:c r="D904" s="25" t="str">
        <x:v>Zhuyu Teng; Pei Chen; Yichen Cai; Ruoqing Lu; Zhaoqu Jiang; Jiayang Li; Weitao You; Lingyun Sun</x:v>
      </x:c>
      <x:c r="E904" s="25" t="str"/>
      <x:c r="F904" s="25" t="str">
        <x:v>10.1145/3772318.3791059</x:v>
      </x:c>
      <x:c r="G904" s="25" t="str">
        <x:v>https://doi.org/10.1145/3772318.3791059</x:v>
      </x:c>
      <x:c r="H904" s="25" t="str">
        <x:v>OpenAlex</x:v>
      </x:c>
      <x:c r="I904" s="25" t="str">
        <x:v>C12_common_ground_repair</x:v>
      </x:c>
      <x:c r="J904" s="25" t="str">
        <x:v>Exclude</x:v>
      </x:c>
      <x:c r="K904" s="25" t="str">
        <x:v>Exclude: adjacent/redundant or insufficiently theory-generative for DC1</x:v>
      </x:c>
    </x:row>
    <x:row r="905">
      <x:c r="A905" s="20" t="str">
        <x:v>R0901</x:v>
      </x:c>
      <x:c r="B905" s="25" t="str">
        <x:v>The ABC (Affordance-Bias-Cognition) Reasoning of Product-Use Interaction: A Text Mining Approach</x:v>
      </x:c>
      <x:c r="C905" s="25" t="n">
        <x:v>2023</x:v>
      </x:c>
      <x:c r="D905" s="25" t="str">
        <x:v>Nicola Melluso; Gualtiero Fantoni; Antonella Martini</x:v>
      </x:c>
      <x:c r="E905" s="25" t="str">
        <x:v>Design Computing and Cognition’22</x:v>
      </x:c>
      <x:c r="F905" s="25" t="str">
        <x:v>10.1007/978-3-031-20418-0_4</x:v>
      </x:c>
      <x:c r="G905" s="25" t="str">
        <x:v>https://doi.org/10.1007/978-3-031-20418-0_4</x:v>
      </x:c>
      <x:c r="H905" s="25" t="str">
        <x:v>Crossref</x:v>
      </x:c>
      <x:c r="I905" s="25" t="str">
        <x:v>C10_affordance_embodied</x:v>
      </x:c>
      <x:c r="J905" s="25" t="str">
        <x:v>Exclude</x:v>
      </x:c>
      <x:c r="K905" s="25" t="str">
        <x:v>Exclude: topic mismatch</x:v>
      </x:c>
    </x:row>
    <x:row r="906">
      <x:c r="A906" s="20" t="str">
        <x:v>R0902</x:v>
      </x:c>
      <x:c r="B906" s="25" t="str">
        <x:v>The Art of Repair in Human-Agent Conversations: A Taxonomy of Repair Strategies by Users and LLM-Based Conversational Agents</x:v>
      </x:c>
      <x:c r="C906" s="25" t="n">
        <x:v>2025</x:v>
      </x:c>
      <x:c r="D906" s="25" t="str">
        <x:v>Gunnar Stevens; Delong Korus-Du; Alexander Boden; Peter Tolmie; David Randall; Md Shajalal</x:v>
      </x:c>
      <x:c r="E906" s="25" t="str">
        <x:v>Research Square</x:v>
      </x:c>
      <x:c r="F906" s="25" t="str">
        <x:v>10.21203/rs.3.rs-7301450/v1</x:v>
      </x:c>
      <x:c r="G906" s="25" t="str">
        <x:v>https://doi.org/10.21203/rs.3.rs-7301450/v1</x:v>
      </x:c>
      <x:c r="H906" s="25" t="str">
        <x:v>OpenAlex</x:v>
      </x:c>
      <x:c r="I906" s="25" t="str">
        <x:v>C12_common_ground_repair</x:v>
      </x:c>
      <x:c r="J906" s="25" t="str">
        <x:v>Exclude</x:v>
      </x:c>
      <x:c r="K906" s="25" t="str">
        <x:v>Exclude: topic mismatch</x:v>
      </x:c>
    </x:row>
    <x:row r="907">
      <x:c r="A907" s="20" t="str">
        <x:v>R0903</x:v>
      </x:c>
      <x:c r="B907" s="25" t="str">
        <x:v>The Drive for New Driving Interfaces</x:v>
      </x:c>
      <x:c r="C907" s="25" t="n">
        <x:v>2016</x:v>
      </x:c>
      <x:c r="D907" s="25" t="str">
        <x:v>Ingrid Pettersson; Lena Hylving; Annie Rydström; Dimitrios Gkouskos</x:v>
      </x:c>
      <x:c r="E907" s="25" t="str">
        <x:v>Proceedings of the 9th Nordic Conference on Human-Computer Interaction</x:v>
      </x:c>
      <x:c r="F907" s="25" t="str">
        <x:v>10.1145/2971485.2995348</x:v>
      </x:c>
      <x:c r="G907" s="25" t="str">
        <x:v>https://doi.org/10.1145/2971485.2995348</x:v>
      </x:c>
      <x:c r="H907" s="25" t="str">
        <x:v>Crossref</x:v>
      </x:c>
      <x:c r="I907" s="25" t="str">
        <x:v>C2_interaction_signals; C6_frontend_GUI_intent</x:v>
      </x:c>
      <x:c r="J907" s="25" t="str">
        <x:v>Exclude</x:v>
      </x:c>
      <x:c r="K907" s="25" t="str">
        <x:v>Exclude: topic mismatch</x:v>
      </x:c>
    </x:row>
    <x:row r="908">
      <x:c r="A908" s="20" t="str">
        <x:v>R0904</x:v>
      </x:c>
      <x:c r="B908" s="25" t="str">
        <x:v>Tools and Technology to Support Creativity in Virtual Teams</x:v>
      </x:c>
      <x:c r="C908" s="25" t="n">
        <x:v>2007</x:v>
      </x:c>
      <x:c r="D908" s="25" t="str">
        <x:v>Julian Malins; Stuart Watt</x:v>
      </x:c>
      <x:c r="E908" s="25" t="str">
        <x:v>Higher Creativity for Virtual Teams</x:v>
      </x:c>
      <x:c r="F908" s="25" t="str">
        <x:v>10.4018/978-1-59904-129-2.ch011</x:v>
      </x:c>
      <x:c r="G908" s="25" t="str">
        <x:v>https://doi.org/10.4018/978-1-59904-129-2.ch011</x:v>
      </x:c>
      <x:c r="H908" s="25" t="str">
        <x:v>Crossref</x:v>
      </x:c>
      <x:c r="I908" s="25" t="str">
        <x:v>C3_mixed_initiative_cocreation</x:v>
      </x:c>
      <x:c r="J908" s="25" t="str">
        <x:v>Exclude</x:v>
      </x:c>
      <x:c r="K908" s="25" t="str">
        <x:v>Exclude: adjacent/redundant or insufficiently theory-generative for DC1</x:v>
      </x:c>
    </x:row>
    <x:row r="909">
      <x:c r="A909" s="20" t="str">
        <x:v>R0905</x:v>
      </x:c>
      <x:c r="B909" s="25" t="str">
        <x:v>Towards trustworthy agentic AI: a comprehensive survey of safety, robustness, privacy, and system security</x:v>
      </x:c>
      <x:c r="C909" s="25" t="n">
        <x:v>2026</x:v>
      </x:c>
      <x:c r="D909" s="25" t="str">
        <x:v>Jinhu Qi; Muzhi Li; Jiahong Liu; Yuqin Shu; D S F Yu; Shicheng Ma; Wenqian Cui; Yiyang Zhao; Yuehua Chen; Ruoxi Jiang; Irwin King; Zenglin Xu</x:v>
      </x:c>
      <x:c r="E909" s="25" t="str">
        <x:v>Academia AI and Applications</x:v>
      </x:c>
      <x:c r="F909" s="25" t="str">
        <x:v>10.20935/acadai8260</x:v>
      </x:c>
      <x:c r="G909" s="25" t="str">
        <x:v>https://doi.org/10.20935/acadai8260</x:v>
      </x:c>
      <x:c r="H909" s="25" t="str">
        <x:v>OpenAlex</x:v>
      </x:c>
      <x:c r="I909" s="25" t="str">
        <x:v>C16_memory_conflict_bias</x:v>
      </x:c>
      <x:c r="J909" s="25" t="str">
        <x:v>Exclude</x:v>
      </x:c>
      <x:c r="K909" s="25" t="str">
        <x:v>Exclude: adjacent/redundant or insufficiently theory-generative for DC1</x:v>
      </x:c>
    </x:row>
    <x:row r="910">
      <x:c r="A910" s="20" t="str">
        <x:v>R0906</x:v>
      </x:c>
      <x:c r="B910" s="25" t="str">
        <x:v>Understanding intent, behavior and emotion in user comments</x:v>
      </x:c>
      <x:c r="C910" s="25" t="n">
        <x:v>2021</x:v>
      </x:c>
      <x:c r="D910" s="25" t="str">
        <x:v>Galit Gordoni; Oren Soffer</x:v>
      </x:c>
      <x:c r="E910" s="25" t="str"/>
      <x:c r="F910" s="25" t="str">
        <x:v>10.31235/osf.io/bfu4t</x:v>
      </x:c>
      <x:c r="G910" s="25" t="str">
        <x:v>https://doi.org/10.31235/osf.io/bfu4t</x:v>
      </x:c>
      <x:c r="H910" s="25" t="str">
        <x:v>Crossref</x:v>
      </x:c>
      <x:c r="I910" s="25" t="str">
        <x:v>C2_interaction_signals</x:v>
      </x:c>
      <x:c r="J910" s="25" t="str">
        <x:v>Exclude</x:v>
      </x:c>
      <x:c r="K910" s="25" t="str">
        <x:v>Exclude: adjacent/redundant or insufficiently theory-generative for DC1</x:v>
      </x:c>
    </x:row>
    <x:row r="911">
      <x:c r="A911" s="20" t="str">
        <x:v>R0907</x:v>
      </x:c>
      <x:c r="B911" s="25" t="str">
        <x:v>When Shall I Estimate Your Intent? Costs and Benefits of Intent Inference in Multi-Agent Interactions</x:v>
      </x:c>
      <x:c r="C911" s="25" t="n">
        <x:v>2022</x:v>
      </x:c>
      <x:c r="D911" s="25" t="str">
        <x:v>Sunny Amatya; Mukesh Ghimire; Yi Ren; Zhe Xu; Wenlong Zhang</x:v>
      </x:c>
      <x:c r="E911" s="25" t="str">
        <x:v>2022 American Control Conference (ACC)</x:v>
      </x:c>
      <x:c r="F911" s="25" t="str">
        <x:v>10.23919/acc53348.2022.9867155</x:v>
      </x:c>
      <x:c r="G911" s="25" t="str">
        <x:v>https://doi.org/10.23919/acc53348.2022.9867155</x:v>
      </x:c>
      <x:c r="H911" s="25" t="str">
        <x:v>Crossref</x:v>
      </x:c>
      <x:c r="I911" s="25" t="str">
        <x:v>C2_interaction_signals; C6_frontend_GUI_intent</x:v>
      </x:c>
      <x:c r="J911" s="25" t="str">
        <x:v>Exclude</x:v>
      </x:c>
      <x:c r="K911" s="25" t="str">
        <x:v>Exclude: adjacent/redundant or insufficiently theory-generative for DC1</x:v>
      </x:c>
    </x:row>
    <x:row r="912">
      <x:c r="A912" s="20" t="str">
        <x:v>R0908</x:v>
      </x:c>
      <x:c r="B912" s="25" t="str">
        <x:v>Where Do I 'Add the Egg'?: Exploring Agency and Ownership in AI Creative Co-Writing Systems</x:v>
      </x:c>
      <x:c r="C912" s="25" t="n">
        <x:v>2026</x:v>
      </x:c>
      <x:c r="D912" s="25" t="str">
        <x:v>Dashiel Carrera; Jeb Thomas-Mitchell; Daniel Wigdor</x:v>
      </x:c>
      <x:c r="E912" s="25" t="str">
        <x:v>Proceedings of the 2026 CHI Conference on Human Factors in Computing Systems</x:v>
      </x:c>
      <x:c r="F912" s="25" t="str">
        <x:v>10.1145/3772318.3791952</x:v>
      </x:c>
      <x:c r="G912" s="25" t="str">
        <x:v>https://doi.org/10.1145/3772318.3791952</x:v>
      </x:c>
      <x:c r="H912" s="25" t="str">
        <x:v>Crossref</x:v>
      </x:c>
      <x:c r="I912" s="25" t="str">
        <x:v>C14_agency_ownership</x:v>
      </x:c>
      <x:c r="J912" s="25" t="str">
        <x:v>Exclude</x:v>
      </x:c>
      <x:c r="K912" s="25" t="str">
        <x:v>Exclude: adjacent/redundant or insufficiently theory-generative for DC1</x:v>
      </x:c>
    </x:row>
    <x:row r="913">
      <x:c r="A913" s="20" t="str">
        <x:v>R0909</x:v>
      </x:c>
      <x:c r="B913" s="25" t="str"/>
      <x:c r="C913" s="25" t="str"/>
      <x:c r="D913" s="25" t="str"/>
      <x:c r="E913" s="25" t="str"/>
      <x:c r="F913" s="25" t="str">
        <x:v>10.1117/12.2261648.5427412093001</x:v>
      </x:c>
      <x:c r="G913" s="25" t="str">
        <x:v>https://doi.org/10.1117/12.2261648.5427412093001</x:v>
      </x:c>
      <x:c r="H913" s="25" t="str">
        <x:v>Crossref</x:v>
      </x:c>
      <x:c r="I913" s="25" t="str">
        <x:v>C1_3D_mental_models; C8_AI_3D_authoring</x:v>
      </x:c>
      <x:c r="J913" s="25" t="str">
        <x:v>Exclude</x:v>
      </x:c>
      <x:c r="K913" s="25" t="str">
        <x:v>Exclude: topic mismatch</x:v>
      </x:c>
    </x:row>
    <x:row r="914">
      <x:c r="A914" s="20" t="str">
        <x:v>R0910</x:v>
      </x:c>
      <x:c r="B914" s="25" t="str"/>
      <x:c r="C914" s="25" t="str"/>
      <x:c r="D914" s="25" t="str"/>
      <x:c r="E914" s="25" t="str"/>
      <x:c r="F914" s="25" t="str">
        <x:v>10.1117/12.2559296.6151653004001</x:v>
      </x:c>
      <x:c r="G914" s="25" t="str">
        <x:v>https://doi.org/10.1117/12.2559296.6151653004001</x:v>
      </x:c>
      <x:c r="H914" s="25" t="str">
        <x:v>Crossref</x:v>
      </x:c>
      <x:c r="I914" s="25" t="str">
        <x:v>C4_uncertainty_shared_autonomy</x:v>
      </x:c>
      <x:c r="J914" s="25" t="str">
        <x:v>Exclude</x:v>
      </x:c>
      <x:c r="K914" s="25" t="str">
        <x:v>Exclude: topic mismatch</x:v>
      </x:c>
    </x:row>
    <x:row r="915">
      <x:c r="A915" s="20" t="str">
        <x:v>R0911</x:v>
      </x:c>
      <x:c r="B915" s="25" t="str"/>
      <x:c r="C915" s="25" t="str"/>
      <x:c r="D915" s="25" t="str"/>
      <x:c r="E915" s="25" t="str"/>
      <x:c r="F915" s="25" t="str">
        <x:v>10.3030/658926</x:v>
      </x:c>
      <x:c r="G915" s="25" t="str">
        <x:v>https://doi.org/10.3030/658926</x:v>
      </x:c>
      <x:c r="H915" s="25" t="str">
        <x:v>Crossref</x:v>
      </x:c>
      <x:c r="I915" s="25" t="str">
        <x:v>C5_agent_memory</x:v>
      </x:c>
      <x:c r="J915" s="25" t="str">
        <x:v>Exclude</x:v>
      </x:c>
      <x:c r="K915" s="25" t="str">
        <x:v>Exclude: topic mismatch</x:v>
      </x:c>
    </x:row>
    <x:row r="916">
      <x:c r="A916" s="20" t="str">
        <x:v>R0912</x:v>
      </x:c>
      <x:c r="B916" s="25" t="str"/>
      <x:c r="C916" s="25" t="str"/>
      <x:c r="D916" s="25" t="str"/>
      <x:c r="E916" s="25" t="str"/>
      <x:c r="F916" s="25" t="str">
        <x:v>10.3030/101179220</x:v>
      </x:c>
      <x:c r="G916" s="25" t="str">
        <x:v>https://doi.org/10.3030/101179220</x:v>
      </x:c>
      <x:c r="H916" s="25" t="str">
        <x:v>Crossref</x:v>
      </x:c>
      <x:c r="I916" s="25" t="str">
        <x:v>C8_AI_3D_authoring</x:v>
      </x:c>
      <x:c r="J916" s="25" t="str">
        <x:v>Exclude</x:v>
      </x:c>
      <x:c r="K916" s="25" t="str">
        <x:v>Exclude: topic mismatch</x:v>
      </x:c>
    </x:row>
    <x:row r="917">
      <x:c r="A917" s="20" t="str">
        <x:v>R0913</x:v>
      </x:c>
      <x:c r="B917" s="25" t="str"/>
      <x:c r="C917" s="25" t="str"/>
      <x:c r="D917" s="25" t="str"/>
      <x:c r="E917" s="25" t="str"/>
      <x:c r="F917" s="25" t="str">
        <x:v>10.1117/12.3011374.61c8834a-a454-ee11-a99c-00505691c5e1</x:v>
      </x:c>
      <x:c r="G917" s="25" t="str">
        <x:v>https://doi.org/10.1117/12.3011374.61c8834a-a454-ee11-a99c-00505691c5e1</x:v>
      </x:c>
      <x:c r="H917" s="25" t="str">
        <x:v>Crossref</x:v>
      </x:c>
      <x:c r="I917" s="25" t="str">
        <x:v>C8_AI_3D_authoring</x:v>
      </x:c>
      <x:c r="J917" s="25" t="str">
        <x:v>Exclude</x:v>
      </x:c>
      <x:c r="K917" s="25" t="str">
        <x:v>Exclude: topic mismatch</x:v>
      </x:c>
    </x:row>
    <x:row r="918">
      <x:c r="A918" s="20" t="str">
        <x:v>R0914</x:v>
      </x:c>
      <x:c r="B918" s="25" t="str"/>
      <x:c r="C918" s="25" t="str"/>
      <x:c r="D918" s="25" t="str"/>
      <x:c r="E918" s="25" t="str"/>
      <x:c r="F918" s="25" t="str">
        <x:v>10.1117/12.2662335.6323475594112</x:v>
      </x:c>
      <x:c r="G918" s="25" t="str">
        <x:v>https://doi.org/10.1117/12.2662335.6323475594112</x:v>
      </x:c>
      <x:c r="H918" s="25" t="str">
        <x:v>Crossref</x:v>
      </x:c>
      <x:c r="I918" s="25" t="str">
        <x:v>C12_common_ground_repair</x:v>
      </x:c>
      <x:c r="J918" s="25" t="str">
        <x:v>Exclude</x:v>
      </x:c>
      <x:c r="K918" s="25" t="str">
        <x:v>Exclude: topic mismatch</x:v>
      </x:c>
    </x:row>
    <x:row r="919">
      <x:c r="A919" s="20" t="str">
        <x:v>R0915</x:v>
      </x:c>
      <x:c r="B919" s="25" t="str"/>
      <x:c r="C919" s="25" t="str"/>
      <x:c r="D919" s="25" t="str"/>
      <x:c r="E919" s="25" t="str"/>
      <x:c r="F919" s="25" t="str">
        <x:v>10.1117/12.3000133.a0243742-7920-ee11-a99a-b38e0bc17c27</x:v>
      </x:c>
      <x:c r="G919" s="25" t="str">
        <x:v>https://doi.org/10.1117/12.3000133.a0243742-7920-ee11-a99a-b38e0bc17c27</x:v>
      </x:c>
      <x:c r="H919" s="25" t="str">
        <x:v>Crossref</x:v>
      </x:c>
      <x:c r="I919" s="25" t="str">
        <x:v>C18_video_intent_coding_VLM_annotation</x:v>
      </x:c>
      <x:c r="J919" s="25" t="str">
        <x:v>Exclude</x:v>
      </x:c>
      <x:c r="K919" s="25" t="str">
        <x:v>Exclude: topic mismatch</x:v>
      </x:c>
    </x:row>
    <x:row r="920">
      <x:c r="A920" s="20" t="str">
        <x:v>R0916</x:v>
      </x:c>
      <x:c r="B920" s="25" t="str"/>
      <x:c r="C920" s="25" t="str"/>
      <x:c r="D920" s="25" t="str"/>
      <x:c r="E920" s="25" t="str"/>
      <x:c r="F920" s="25" t="str">
        <x:v>10.1117/12.2647651.6321657630112</x:v>
      </x:c>
      <x:c r="G920" s="25" t="str">
        <x:v>https://doi.org/10.1117/12.2647651.6321657630112</x:v>
      </x:c>
      <x:c r="H920" s="25" t="str">
        <x:v>Crossref</x:v>
      </x:c>
      <x:c r="I920" s="25" t="str">
        <x:v>C18_video_intent_coding_VLM_annotation</x:v>
      </x:c>
      <x:c r="J920" s="25" t="str">
        <x:v>Exclude</x:v>
      </x:c>
      <x:c r="K920" s="25" t="str">
        <x:v>Exclude: topic mismatch</x:v>
      </x:c>
    </x:row>
    <x:row r="921">
      <x:c r="A921" s="20" t="str">
        <x:v>R0917</x:v>
      </x:c>
      <x:c r="B921" s="25" t="str"/>
      <x:c r="C921" s="25" t="str"/>
      <x:c r="D921" s="25" t="str"/>
      <x:c r="E921" s="25" t="str"/>
      <x:c r="F921" s="25" t="str">
        <x:v>10.1117/12.2613253.6298617216001</x:v>
      </x:c>
      <x:c r="G921" s="25" t="str">
        <x:v>https://doi.org/10.1117/12.2613253.6298617216001</x:v>
      </x:c>
      <x:c r="H921" s="25" t="str">
        <x:v>Crossref</x:v>
      </x:c>
      <x:c r="I921" s="25" t="str">
        <x:v>C18_video_intent_coding_VLM_annotation</x:v>
      </x:c>
      <x:c r="J921" s="25" t="str">
        <x:v>Exclude</x:v>
      </x:c>
      <x:c r="K921" s="25" t="str">
        <x:v>Exclude: topic mismatch</x:v>
      </x:c>
    </x:row>
    <x:row r="922">
      <x:c r="A922" s="20" t="str">
        <x:v>R0918</x:v>
      </x:c>
      <x:c r="B922" s="25" t="str">
        <x:v>"When to Hand Off, When to Work Together": Expanding Human-Agent Co-Creative Collaboration through Concurrent Interaction</x:v>
      </x:c>
      <x:c r="C922" s="25" t="n">
        <x:v>2026</x:v>
      </x:c>
      <x:c r="D922" s="25" t="str">
        <x:v>Kihoon Son; Hyewon Lee; DaEun Choi; Yoonsu Kim; Tae Soo Kim; Yoonjoo Lee; John Joon Young Chung; Hyunjoon Jung; Juho Kim</x:v>
      </x:c>
      <x:c r="E922" s="25" t="str">
        <x:v>arXiv (Cornell University)</x:v>
      </x:c>
      <x:c r="F922" s="25" t="str"/>
      <x:c r="G922" s="25" t="str">
        <x:v>http://arxiv.org/abs/2603.02050</x:v>
      </x:c>
      <x:c r="H922" s="25" t="str">
        <x:v>OpenAlex</x:v>
      </x:c>
      <x:c r="I922" s="25" t="str">
        <x:v>C18_video_intent_coding_VLM_annotation</x:v>
      </x:c>
      <x:c r="J922" s="25" t="str">
        <x:v>Exclude</x:v>
      </x:c>
      <x:c r="K922" s="25" t="str">
        <x:v>Exclude: adjacent/redundant or insufficiently theory-generative for DC1</x:v>
      </x:c>
    </x:row>
    <x:row r="923">
      <x:c r="A923" s="20" t="str">
        <x:v>R0919</x:v>
      </x:c>
      <x:c r="B923" s="25" t="str">
        <x:v>1020: VIDEO-ASSISTED COGNITIVE TASK ANALYSIS TO DETERMINE BEST PRACTICE IN ECMO CENTRIFUGAL PUMP CHANGE</x:v>
      </x:c>
      <x:c r="C923" s="25" t="n">
        <x:v>2021</x:v>
      </x:c>
      <x:c r="D923" s="25" t="str">
        <x:v>Jennifer Diep; Michael Minneti; Todd Chang; Lara Nelson; Alyssa Rake</x:v>
      </x:c>
      <x:c r="E923" s="25" t="str">
        <x:v>Critical Care Medicine</x:v>
      </x:c>
      <x:c r="F923" s="25" t="str">
        <x:v>10.1097/01.ccm.0000810404.04487.f4</x:v>
      </x:c>
      <x:c r="G923" s="25" t="str">
        <x:v>https://doi.org/10.1097/01.ccm.0000810404.04487.f4</x:v>
      </x:c>
      <x:c r="H923" s="25" t="str">
        <x:v>Crossref</x:v>
      </x:c>
      <x:c r="I923" s="25" t="str">
        <x:v>C18_video_intent_coding_VLM_annotation</x:v>
      </x:c>
      <x:c r="J923" s="25" t="str">
        <x:v>Exclude</x:v>
      </x:c>
      <x:c r="K923" s="25" t="str">
        <x:v>Exclude: topic mismatch</x:v>
      </x:c>
    </x:row>
    <x:row r="924">
      <x:c r="A924" s="20" t="str">
        <x:v>R0920</x:v>
      </x:c>
      <x:c r="B924" s="25" t="str">
        <x:v>3D CAD piping, equipment and structural design and modeling</x:v>
      </x:c>
      <x:c r="C924" s="25" t="n">
        <x:v>2001</x:v>
      </x:c>
      <x:c r="D924" s="25" t="str"/>
      <x:c r="E924" s="25" t="str">
        <x:v>Pigment &amp;amp; Resin Technology</x:v>
      </x:c>
      <x:c r="F924" s="25" t="str">
        <x:v>10.1108/prt.2001.12930bab.001</x:v>
      </x:c>
      <x:c r="G924" s="25" t="str">
        <x:v>https://doi.org/10.1108/prt.2001.12930bab.001</x:v>
      </x:c>
      <x:c r="H924" s="25" t="str">
        <x:v>Crossref</x:v>
      </x:c>
      <x:c r="I924" s="25" t="str">
        <x:v>C13_CAD_design_intent</x:v>
      </x:c>
      <x:c r="J924" s="25" t="str">
        <x:v>Exclude</x:v>
      </x:c>
      <x:c r="K924" s="25" t="str">
        <x:v>Exclude: adjacent/redundant or insufficiently theory-generative for DC1</x:v>
      </x:c>
    </x:row>
    <x:row r="925">
      <x:c r="A925" s="20" t="str">
        <x:v>R0921</x:v>
      </x:c>
      <x:c r="B925" s="25" t="str">
        <x:v>3D Convolutional Feature Fusion for 3D Shape Reconstruction from a Single Frame Structured Light Image</x:v>
      </x:c>
      <x:c r="C925" s="25" t="n">
        <x:v>2025</x:v>
      </x:c>
      <x:c r="D925" s="25" t="str">
        <x:v>Jiyong Luo; Ming Chen; ShengLian Lu</x:v>
      </x:c>
      <x:c r="E925" s="25" t="str">
        <x:v>Computer-Aided Design and Applications</x:v>
      </x:c>
      <x:c r="F925" s="25" t="str">
        <x:v>10.14733/cadaps.2026.326-339</x:v>
      </x:c>
      <x:c r="G925" s="25" t="str">
        <x:v>https://doi.org/10.14733/cadaps.2026.326-339</x:v>
      </x:c>
      <x:c r="H925" s="25" t="str">
        <x:v>Crossref</x:v>
      </x:c>
      <x:c r="I925" s="25" t="str">
        <x:v>C13_CAD_design_intent</x:v>
      </x:c>
      <x:c r="J925" s="25" t="str">
        <x:v>Exclude</x:v>
      </x:c>
      <x:c r="K925" s="25" t="str">
        <x:v>Exclude: adjacent/redundant or insufficiently theory-generative for DC1</x:v>
      </x:c>
    </x:row>
    <x:row r="926">
      <x:c r="A926" s="20" t="str">
        <x:v>R0922</x:v>
      </x:c>
      <x:c r="B926" s="25" t="str">
        <x:v>3D Map Representations</x:v>
      </x:c>
      <x:c r="C926" s="25" t="n">
        <x:v>2013</x:v>
      </x:c>
      <x:c r="D926" s="25" t="str">
        <x:v>Radu Bogdan Rusu</x:v>
      </x:c>
      <x:c r="E926" s="25" t="str">
        <x:v>Springer Tracts in Advanced Robotics</x:v>
      </x:c>
      <x:c r="F926" s="25" t="str">
        <x:v>10.1007/978-3-642-35479-3_2</x:v>
      </x:c>
      <x:c r="G926" s="25" t="str">
        <x:v>https://doi.org/10.1007/978-3-642-35479-3_2</x:v>
      </x:c>
      <x:c r="H926" s="25" t="str">
        <x:v>Crossref</x:v>
      </x:c>
      <x:c r="I926" s="25" t="str">
        <x:v>C8_AI_3D_authoring</x:v>
      </x:c>
      <x:c r="J926" s="25" t="str">
        <x:v>Exclude</x:v>
      </x:c>
      <x:c r="K926" s="25" t="str">
        <x:v>Exclude: adjacent/redundant or insufficiently theory-generative for DC1</x:v>
      </x:c>
    </x:row>
    <x:row r="927">
      <x:c r="A927" s="20" t="str">
        <x:v>R0923</x:v>
      </x:c>
      <x:c r="B927" s="25" t="str">
        <x:v>3D Point Feature Representations</x:v>
      </x:c>
      <x:c r="C927" s="25" t="n">
        <x:v>2013</x:v>
      </x:c>
      <x:c r="D927" s="25" t="str">
        <x:v>Radu Bogdan Rusu</x:v>
      </x:c>
      <x:c r="E927" s="25" t="str">
        <x:v>Springer Tracts in Advanced Robotics</x:v>
      </x:c>
      <x:c r="F927" s="25" t="str">
        <x:v>10.1007/978-3-642-35479-3_4</x:v>
      </x:c>
      <x:c r="G927" s="25" t="str">
        <x:v>https://doi.org/10.1007/978-3-642-35479-3_4</x:v>
      </x:c>
      <x:c r="H927" s="25" t="str">
        <x:v>Crossref</x:v>
      </x:c>
      <x:c r="I927" s="25" t="str">
        <x:v>C8_AI_3D_authoring</x:v>
      </x:c>
      <x:c r="J927" s="25" t="str">
        <x:v>Exclude</x:v>
      </x:c>
      <x:c r="K927" s="25" t="str">
        <x:v>Exclude: adjacent/redundant or insufficiently theory-generative for DC1</x:v>
      </x:c>
    </x:row>
    <x:row r="928">
      <x:c r="A928" s="20" t="str">
        <x:v>R0924</x:v>
      </x:c>
      <x:c r="B928" s="25" t="str">
        <x:v>3D visualization and interactive image manipulation for surgical planning in robot-assisted surgery</x:v>
      </x:c>
      <x:c r="C928" s="25" t="str"/>
      <x:c r="D928" s="25" t="str">
        <x:v>; Mohammad Reza Maddah</x:v>
      </x:c>
      <x:c r="E928" s="25" t="str"/>
      <x:c r="F928" s="25" t="str">
        <x:v>10.70675/6950032fzf0e7z44d5z8679z39c988e1327b</x:v>
      </x:c>
      <x:c r="G928" s="25" t="str">
        <x:v>https://doi.org/10.70675/6950032fzf0e7z44d5z8679z39c988e1327b</x:v>
      </x:c>
      <x:c r="H928" s="25" t="str">
        <x:v>Crossref</x:v>
      </x:c>
      <x:c r="I928" s="25" t="str">
        <x:v>C8_AI_3D_authoring</x:v>
      </x:c>
      <x:c r="J928" s="25" t="str">
        <x:v>Exclude</x:v>
      </x:c>
      <x:c r="K928" s="25" t="str">
        <x:v>Exclude: adjacent/redundant or insufficiently theory-generative for DC1</x:v>
      </x:c>
    </x:row>
    <x:row r="929">
      <x:c r="A929" s="20" t="str">
        <x:v>R0925</x:v>
      </x:c>
      <x:c r="B929" s="25" t="str">
        <x:v>3D-printed spatial manipulation toy in motion</x:v>
      </x:c>
      <x:c r="C929" s="25" t="str"/>
      <x:c r="D929" s="25" t="str"/>
      <x:c r="E929" s="25" t="str"/>
      <x:c r="F929" s="25" t="str">
        <x:v>10.3998/mpub.11724511.cmp7</x:v>
      </x:c>
      <x:c r="G929" s="25" t="str">
        <x:v>https://doi.org/10.3998/mpub.11724511.cmp7</x:v>
      </x:c>
      <x:c r="H929" s="25" t="str">
        <x:v>Crossref</x:v>
      </x:c>
      <x:c r="I929" s="25" t="str">
        <x:v>C1_3D_mental_models</x:v>
      </x:c>
      <x:c r="J929" s="25" t="str">
        <x:v>Exclude</x:v>
      </x:c>
      <x:c r="K929" s="25" t="str">
        <x:v>Exclude: adjacent/redundant or insufficiently theory-generative for DC1</x:v>
      </x:c>
    </x:row>
    <x:row r="930">
      <x:c r="A930" s="20" t="str">
        <x:v>R0926</x:v>
      </x:c>
      <x:c r="B930" s="25" t="str">
        <x:v>3d Portrait Stylization with Adaptive Semantic Editing Based on Gan Latent Code</x:v>
      </x:c>
      <x:c r="C930" s="25" t="n">
        <x:v>2025</x:v>
      </x:c>
      <x:c r="D930" s="25" t="str">
        <x:v>Yantao Song; Xiangchong Jia; Jieru Jia; Yudong Liang; Xinyan Liang</x:v>
      </x:c>
      <x:c r="E930" s="25" t="str"/>
      <x:c r="F930" s="25" t="str">
        <x:v>10.2139/ssrn.5111395</x:v>
      </x:c>
      <x:c r="G930" s="25" t="str">
        <x:v>https://doi.org/10.2139/ssrn.5111395</x:v>
      </x:c>
      <x:c r="H930" s="25" t="str">
        <x:v>Crossref</x:v>
      </x:c>
      <x:c r="I930" s="25" t="str">
        <x:v>C8_AI_3D_authoring</x:v>
      </x:c>
      <x:c r="J930" s="25" t="str">
        <x:v>Exclude</x:v>
      </x:c>
      <x:c r="K930" s="25" t="str">
        <x:v>Exclude: adjacent/redundant or insufficiently theory-generative for DC1</x:v>
      </x:c>
    </x:row>
    <x:row r="931">
      <x:c r="A931" s="20" t="str">
        <x:v>R0927</x:v>
      </x:c>
      <x:c r="B931" s="25" t="str">
        <x:v>A Constraint-based Framework to Recognize Design Intent during Sketching in Parametric Modeling Environments</x:v>
      </x:c>
      <x:c r="C931" s="25" t="n">
        <x:v>2020</x:v>
      </x:c>
      <x:c r="D931" s="25" t="str">
        <x:v>Sofia Kyratzi; Philip Azariadis</x:v>
      </x:c>
      <x:c r="E931" s="25" t="str">
        <x:v>CAD'20</x:v>
      </x:c>
      <x:c r="F931" s="25" t="str">
        <x:v>10.14733/cadconfp.2020.253-257</x:v>
      </x:c>
      <x:c r="G931" s="25" t="str">
        <x:v>https://doi.org/10.14733/cadconfp.2020.253-257</x:v>
      </x:c>
      <x:c r="H931" s="25" t="str">
        <x:v>Crossref</x:v>
      </x:c>
      <x:c r="I931" s="25" t="str">
        <x:v>C13_CAD_design_intent</x:v>
      </x:c>
      <x:c r="J931" s="25" t="str">
        <x:v>Exclude</x:v>
      </x:c>
      <x:c r="K931" s="25" t="str">
        <x:v>Exclude: adjacent/redundant or insufficiently theory-generative for DC1</x:v>
      </x:c>
    </x:row>
    <x:row r="932">
      <x:c r="A932" s="20" t="str">
        <x:v>R0928</x:v>
      </x:c>
      <x:c r="B932" s="25" t="str">
        <x:v>A Graphical User Interface (GUI) Testing Methodology</x:v>
      </x:c>
      <x:c r="C932" s="25" t="n">
        <x:v>2009</x:v>
      </x:c>
      <x:c r="D932" s="25" t="str">
        <x:v>Zafar Singhera; Ellis Horowitz; Abad Shah</x:v>
      </x:c>
      <x:c r="E932" s="25" t="str">
        <x:v>Human Computer Interaction</x:v>
      </x:c>
      <x:c r="F932" s="25" t="str">
        <x:v>10.4018/978-1-87828-991-9.ch044</x:v>
      </x:c>
      <x:c r="G932" s="25" t="str">
        <x:v>https://doi.org/10.4018/978-1-87828-991-9.ch044</x:v>
      </x:c>
      <x:c r="H932" s="25" t="str">
        <x:v>Crossref</x:v>
      </x:c>
      <x:c r="I932" s="25" t="str">
        <x:v>C6_frontend_GUI_intent</x:v>
      </x:c>
      <x:c r="J932" s="25" t="str">
        <x:v>Exclude</x:v>
      </x:c>
      <x:c r="K932" s="25" t="str">
        <x:v>Exclude: topic mismatch</x:v>
      </x:c>
    </x:row>
    <x:row r="933">
      <x:c r="A933" s="20" t="str">
        <x:v>R0929</x:v>
      </x:c>
      <x:c r="B933" s="25" t="str">
        <x:v>A Human-Centred Tri-Region Shared Autonomy Framework for Adaptive and Safe Human–Robot Interaction</x:v>
      </x:c>
      <x:c r="C933" s="25" t="n">
        <x:v>2026</x:v>
      </x:c>
      <x:c r="D933" s="25" t="str">
        <x:v>Abolfazl Zaraki; Hamed Rahimi Nohooji; Maryam Banitalebi Dehkordi; Holger Voos</x:v>
      </x:c>
      <x:c r="E933" s="25" t="str">
        <x:v>Companion Proceedings of the 21st ACM/IEEE International Conference on Human-Robot Interaction</x:v>
      </x:c>
      <x:c r="F933" s="25" t="str">
        <x:v>10.1145/3776734.3794536</x:v>
      </x:c>
      <x:c r="G933" s="25" t="str">
        <x:v>https://doi.org/10.1145/3776734.3794536</x:v>
      </x:c>
      <x:c r="H933" s="25" t="str">
        <x:v>Crossref</x:v>
      </x:c>
      <x:c r="I933" s="25" t="str">
        <x:v>C4_uncertainty_shared_autonomy</x:v>
      </x:c>
      <x:c r="J933" s="25" t="str">
        <x:v>Exclude</x:v>
      </x:c>
      <x:c r="K933" s="25" t="str">
        <x:v>Exclude: adjacent/redundant or insufficiently theory-generative for DC1</x:v>
      </x:c>
    </x:row>
    <x:row r="934">
      <x:c r="A934" s="20" t="str">
        <x:v>R0930</x:v>
      </x:c>
      <x:c r="B934" s="25" t="str">
        <x:v>A Human-Machine Interaction Approach for Overtaking Scenarios Based on Reinforcement Learning and Intent Inference</x:v>
      </x:c>
      <x:c r="C934" s="25" t="n">
        <x:v>2025</x:v>
      </x:c>
      <x:c r="D934" s="25" t="str">
        <x:v>Huan Wang; Yuwen Gan; Yun-Bo Zhao</x:v>
      </x:c>
      <x:c r="E934" s="25" t="str">
        <x:v>2025 44th Chinese Control Conference (CCC)</x:v>
      </x:c>
      <x:c r="F934" s="25" t="str">
        <x:v>10.23919/ccc64809.2025.11179320</x:v>
      </x:c>
      <x:c r="G934" s="25" t="str">
        <x:v>https://doi.org/10.23919/ccc64809.2025.11179320</x:v>
      </x:c>
      <x:c r="H934" s="25" t="str">
        <x:v>Crossref</x:v>
      </x:c>
      <x:c r="I934" s="25" t="str">
        <x:v>C2_interaction_signals; C4_uncertainty_shared_autonomy</x:v>
      </x:c>
      <x:c r="J934" s="25" t="str">
        <x:v>Exclude</x:v>
      </x:c>
      <x:c r="K934" s="25" t="str">
        <x:v>Exclude: adjacent/redundant or insufficiently theory-generative for DC1</x:v>
      </x:c>
    </x:row>
    <x:row r="935">
      <x:c r="A935" s="20" t="str">
        <x:v>R0931</x:v>
      </x:c>
      <x:c r="B935" s="25" t="str">
        <x:v>A Lifecycle and Application-Stack Survey of Large Language Model Vulnerabilities: Attacks, Risks, Defenses, and Open Problems</x:v>
      </x:c>
      <x:c r="C935" s="25" t="n">
        <x:v>2026</x:v>
      </x:c>
      <x:c r="D935" s="25" t="str">
        <x:v>Seyed Bagher Hashemi Natanzi; B Tang</x:v>
      </x:c>
      <x:c r="E935" s="25" t="str">
        <x:v>arXiv (Cornell University)</x:v>
      </x:c>
      <x:c r="F935" s="25" t="str"/>
      <x:c r="G935" s="25" t="str">
        <x:v>https://arxiv.org/abs/2606.31639</x:v>
      </x:c>
      <x:c r="H935" s="25" t="str">
        <x:v>OpenAlex</x:v>
      </x:c>
      <x:c r="I935" s="25" t="str">
        <x:v>C16_memory_conflict_bias</x:v>
      </x:c>
      <x:c r="J935" s="25" t="str">
        <x:v>Exclude</x:v>
      </x:c>
      <x:c r="K935" s="25" t="str">
        <x:v>Exclude: adjacent/redundant or insufficiently theory-generative for DC1</x:v>
      </x:c>
    </x:row>
    <x:row r="936">
      <x:c r="A936" s="20" t="str">
        <x:v>R0932</x:v>
      </x:c>
      <x:c r="B936" s="25" t="str">
        <x:v>A Method for Resolving Range Ambiguity of High-Frame-Rate Signals Based on Radial Velocity Constraint</x:v>
      </x:c>
      <x:c r="C936" s="25" t="n">
        <x:v>2024</x:v>
      </x:c>
      <x:c r="D936" s="25" t="str">
        <x:v>Zongyan Li; Yujie Ouyang</x:v>
      </x:c>
      <x:c r="E936" s="25" t="str">
        <x:v>2024 OES China Ocean Acoustics (COA)</x:v>
      </x:c>
      <x:c r="F936" s="25" t="str">
        <x:v>10.1109/coa58979.2024.10723448</x:v>
      </x:c>
      <x:c r="G936" s="25" t="str">
        <x:v>https://doi.org/10.1109/coa58979.2024.10723448</x:v>
      </x:c>
      <x:c r="H936" s="25" t="str">
        <x:v>Crossref</x:v>
      </x:c>
      <x:c r="I936" s="25" t="str">
        <x:v>C17_3D_gesture_ambiguity</x:v>
      </x:c>
      <x:c r="J936" s="25" t="str">
        <x:v>Exclude</x:v>
      </x:c>
      <x:c r="K936" s="25" t="str">
        <x:v>Exclude: topic mismatch</x:v>
      </x:c>
    </x:row>
    <x:row r="937">
      <x:c r="A937" s="20" t="str">
        <x:v>R0933</x:v>
      </x:c>
      <x:c r="B937" s="25" t="str">
        <x:v>A Negotiation-Theoretic Framework for Control Authority Transfer in Mixed-Initiative Robotic Systems</x:v>
      </x:c>
      <x:c r="C937" s="25" t="n">
        <x:v>2022</x:v>
      </x:c>
      <x:c r="D937" s="25" t="str">
        <x:v>Simon Rothfuß; Manolis Chiou; Jairo Inga; Sören Hohmann; Rustam Stolkin</x:v>
      </x:c>
      <x:c r="E937" s="25" t="str"/>
      <x:c r="F937" s="25" t="str">
        <x:v>10.36227/techrxiv.20306529</x:v>
      </x:c>
      <x:c r="G937" s="25" t="str">
        <x:v>https://doi.org/10.36227/techrxiv.20306529</x:v>
      </x:c>
      <x:c r="H937" s="25" t="str">
        <x:v>Crossref</x:v>
      </x:c>
      <x:c r="I937" s="25" t="str">
        <x:v>C9_human_agent_handoff</x:v>
      </x:c>
      <x:c r="J937" s="25" t="str">
        <x:v>Exclude</x:v>
      </x:c>
      <x:c r="K937" s="25" t="str">
        <x:v>Exclude: adjacent/redundant or insufficiently theory-generative for DC1</x:v>
      </x:c>
    </x:row>
    <x:row r="938">
      <x:c r="A938" s="20" t="str">
        <x:v>R0934</x:v>
      </x:c>
      <x:c r="B938" s="25" t="str">
        <x:v>A New Electronic Handoff Tool to Facilitate Patient Transfer from the OR to SICU: A Quality Improvement Initiative</x:v>
      </x:c>
      <x:c r="C938" s="25" t="str"/>
      <x:c r="D938" s="25" t="str">
        <x:v>Kaylan Jean Kerrigan</x:v>
      </x:c>
      <x:c r="E938" s="25" t="str"/>
      <x:c r="F938" s="25" t="str">
        <x:v>10.33915/etd.13001</x:v>
      </x:c>
      <x:c r="G938" s="25" t="str">
        <x:v>https://doi.org/10.33915/etd.13001</x:v>
      </x:c>
      <x:c r="H938" s="25" t="str">
        <x:v>Crossref</x:v>
      </x:c>
      <x:c r="I938" s="25" t="str">
        <x:v>C9_human_agent_handoff</x:v>
      </x:c>
      <x:c r="J938" s="25" t="str">
        <x:v>Exclude</x:v>
      </x:c>
      <x:c r="K938" s="25" t="str">
        <x:v>Exclude: adjacent/redundant or insufficiently theory-generative for DC1</x:v>
      </x:c>
    </x:row>
    <x:row r="939">
      <x:c r="A939" s="20" t="str">
        <x:v>R0935</x:v>
      </x:c>
      <x:c r="B939" s="25" t="str">
        <x:v>A Probabilistic Inference Approach for Skill-Based Shared Autonomy in Assistive Robotic Manipulation_supp1-3595044.mp4</x:v>
      </x:c>
      <x:c r="C939" s="25" t="str"/>
      <x:c r="D939" s="25" t="str">
        <x:v>Chao Jiang</x:v>
      </x:c>
      <x:c r="E939" s="25" t="str"/>
      <x:c r="F939" s="25" t="str">
        <x:v>10.1109/lra.2025.3595044/mm1</x:v>
      </x:c>
      <x:c r="G939" s="25" t="str">
        <x:v>https://doi.org/10.1109/lra.2025.3595044/mm1</x:v>
      </x:c>
      <x:c r="H939" s="25" t="str">
        <x:v>Crossref</x:v>
      </x:c>
      <x:c r="I939" s="25" t="str">
        <x:v>C4_uncertainty_shared_autonomy</x:v>
      </x:c>
      <x:c r="J939" s="25" t="str">
        <x:v>Exclude</x:v>
      </x:c>
      <x:c r="K939" s="25" t="str">
        <x:v>Exclude: adjacent/redundant or insufficiently theory-generative for DC1</x:v>
      </x:c>
    </x:row>
    <x:row r="940">
      <x:c r="A940" s="20" t="str">
        <x:v>R0936</x:v>
      </x:c>
      <x:c r="B940" s="25" t="str">
        <x:v>A Skill-Based Cognitive Task Analysis Framework</x:v>
      </x:c>
      <x:c r="C940" s="25" t="n">
        <x:v>2000</x:v>
      </x:c>
      <x:c r="D940" s="25" t="str"/>
      <x:c r="E940" s="25" t="str">
        <x:v>Cognitive Task Analysis</x:v>
      </x:c>
      <x:c r="F940" s="25" t="str">
        <x:v>10.4324/9781410605795-19</x:v>
      </x:c>
      <x:c r="G940" s="25" t="str">
        <x:v>https://doi.org/10.4324/9781410605795-19</x:v>
      </x:c>
      <x:c r="H940" s="25" t="str">
        <x:v>Crossref</x:v>
      </x:c>
      <x:c r="I940" s="25" t="str">
        <x:v>C18_video_intent_coding_VLM_annotation</x:v>
      </x:c>
      <x:c r="J940" s="25" t="str">
        <x:v>Exclude</x:v>
      </x:c>
      <x:c r="K940" s="25" t="str">
        <x:v>Exclude: topic mismatch</x:v>
      </x:c>
    </x:row>
    <x:row r="941">
      <x:c r="A941" s="20" t="str">
        <x:v>R0937</x:v>
      </x:c>
      <x:c r="B941" s="25" t="str">
        <x:v>A Survey on Foundation Models for Personalized Federated Intelligence</x:v>
      </x:c>
      <x:c r="C941" s="25" t="n">
        <x:v>2025</x:v>
      </x:c>
      <x:c r="D941" s="25" t="str">
        <x:v>Yu Qiao; Huy Q. Le; Avi Deb Raha; Pham-Tue-Hung Tran; Apurba Adhikary; Mengchun Zhang; Loc X. Nguyen; Eui‐Nam Huh; Dusit Niyato; Choong Seon Hong</x:v>
      </x:c>
      <x:c r="E941" s="25" t="str">
        <x:v>ArXiv.org</x:v>
      </x:c>
      <x:c r="F941" s="25" t="str">
        <x:v>10.48550/arxiv.2505.06907</x:v>
      </x:c>
      <x:c r="G941" s="25" t="str">
        <x:v>http://arxiv.org/abs/2505.06907</x:v>
      </x:c>
      <x:c r="H941" s="25" t="str">
        <x:v>OpenAlex</x:v>
      </x:c>
      <x:c r="I941" s="25" t="str">
        <x:v>C16_memory_conflict_bias</x:v>
      </x:c>
      <x:c r="J941" s="25" t="str">
        <x:v>Exclude</x:v>
      </x:c>
      <x:c r="K941" s="25" t="str">
        <x:v>Exclude: adjacent/redundant or insufficiently theory-generative for DC1</x:v>
      </x:c>
    </x:row>
    <x:row r="942">
      <x:c r="A942" s="20" t="str">
        <x:v>R0938</x:v>
      </x:c>
      <x:c r="B942" s="25" t="str">
        <x:v>A Systematic Review and Empirical Framework for Human-AI Co-Creation in the Conceptual Design Process</x:v>
      </x:c>
      <x:c r="C942" s="25" t="n">
        <x:v>2026</x:v>
      </x:c>
      <x:c r="D942" s="25" t="str">
        <x:v>Muhammad Mushtaq</x:v>
      </x:c>
      <x:c r="E942" s="25" t="str"/>
      <x:c r="F942" s="25" t="str">
        <x:v>10.20944/preprints202603.1431.v1</x:v>
      </x:c>
      <x:c r="G942" s="25" t="str">
        <x:v>https://doi.org/10.20944/preprints202603.1431.v1</x:v>
      </x:c>
      <x:c r="H942" s="25" t="str">
        <x:v>Crossref</x:v>
      </x:c>
      <x:c r="I942" s="25" t="str">
        <x:v>C14_agency_ownership</x:v>
      </x:c>
      <x:c r="J942" s="25" t="str">
        <x:v>Exclude</x:v>
      </x:c>
      <x:c r="K942" s="25" t="str">
        <x:v>Exclude: adjacent/redundant or insufficiently theory-generative for DC1</x:v>
      </x:c>
    </x:row>
    <x:row r="943">
      <x:c r="A943" s="20" t="str">
        <x:v>R0939</x:v>
      </x:c>
      <x:c r="B943" s="25" t="str">
        <x:v>A Tale of Two Walks: Episodic Memory and Semantic Representations Both Guide Memory Retrieval</x:v>
      </x:c>
      <x:c r="C943" s="25" t="n">
        <x:v>2025</x:v>
      </x:c>
      <x:c r="D943" s="25" t="str">
        <x:v>Achiel Fenneman; Claus Lamm</x:v>
      </x:c>
      <x:c r="E943" s="25" t="str"/>
      <x:c r="F943" s="25" t="str">
        <x:v>10.31234/osf.io/r4fev_v1</x:v>
      </x:c>
      <x:c r="G943" s="25" t="str">
        <x:v>https://doi.org/10.31234/osf.io/r4fev_v1</x:v>
      </x:c>
      <x:c r="H943" s="25" t="str">
        <x:v>Crossref</x:v>
      </x:c>
      <x:c r="I943" s="25" t="str">
        <x:v>C5_agent_memory</x:v>
      </x:c>
      <x:c r="J943" s="25" t="str">
        <x:v>Exclude</x:v>
      </x:c>
      <x:c r="K943" s="25" t="str">
        <x:v>Exclude: adjacent/redundant or insufficiently theory-generative for DC1</x:v>
      </x:c>
    </x:row>
    <x:row r="944">
      <x:c r="A944" s="20" t="str">
        <x:v>R0940</x:v>
      </x:c>
      <x:c r="B944" s="25" t="str">
        <x:v>A Vision for Sustainable AI-Assisted Development: Semantic Retrieval for Efficient AI Code Generation</x:v>
      </x:c>
      <x:c r="C944" s="25" t="str"/>
      <x:c r="D944" s="25" t="str">
        <x:v>Krishiv Piduri</x:v>
      </x:c>
      <x:c r="E944" s="25" t="str">
        <x:v>EPiC Series in Technology</x:v>
      </x:c>
      <x:c r="F944" s="25" t="str">
        <x:v>10.29007/8qdh</x:v>
      </x:c>
      <x:c r="G944" s="25" t="str">
        <x:v>https://doi.org/10.29007/8qdh</x:v>
      </x:c>
      <x:c r="H944" s="25" t="str">
        <x:v>Crossref</x:v>
      </x:c>
      <x:c r="I944" s="25" t="str">
        <x:v>C8_AI_3D_authoring</x:v>
      </x:c>
      <x:c r="J944" s="25" t="str">
        <x:v>Exclude</x:v>
      </x:c>
      <x:c r="K944" s="25" t="str">
        <x:v>Exclude: adjacent/redundant or insufficiently theory-generative for DC1</x:v>
      </x:c>
    </x:row>
    <x:row r="945">
      <x:c r="A945" s="20" t="str">
        <x:v>R0941</x:v>
      </x:c>
      <x:c r="B945" s="25" t="str">
        <x:v>A fully-discrete mixed virtual element scheme for the unsteady Navier–Stokes equation coupled with a heat transfer equation under mixed boundary conditions</x:v>
      </x:c>
      <x:c r="C945" s="25" t="n">
        <x:v>2025</x:v>
      </x:c>
      <x:c r="D945" s="25" t="str">
        <x:v>Zeinab Gharibi; Mehdi Dehghan</x:v>
      </x:c>
      <x:c r="E945" s="25" t="str">
        <x:v>Calcolo</x:v>
      </x:c>
      <x:c r="F945" s="25" t="str">
        <x:v>10.1007/s10092-025-00650-3</x:v>
      </x:c>
      <x:c r="G945" s="25" t="str">
        <x:v>https://doi.org/10.1007/s10092-025-00650-3</x:v>
      </x:c>
      <x:c r="H945" s="25" t="str">
        <x:v>Crossref</x:v>
      </x:c>
      <x:c r="I945" s="25" t="str">
        <x:v>C9_human_agent_handoff</x:v>
      </x:c>
      <x:c r="J945" s="25" t="str">
        <x:v>Exclude</x:v>
      </x:c>
      <x:c r="K945" s="25" t="str">
        <x:v>Exclude: topic mismatch</x:v>
      </x:c>
    </x:row>
    <x:row r="946">
      <x:c r="A946" s="20" t="str">
        <x:v>R0942</x:v>
      </x:c>
      <x:c r="B946" s="25" t="str">
        <x:v>A graph theory approach to human episodic memory: Outlining the spectrotemporal basis of episodic memory retrieval</x:v>
      </x:c>
      <x:c r="C946" s="25" t="n">
        <x:v>2015</x:v>
      </x:c>
      <x:c r="D946" s="25" t="str">
        <x:v>Ekstrom Arne</x:v>
      </x:c>
      <x:c r="E946" s="25" t="str">
        <x:v>Frontiers in Human Neuroscience</x:v>
      </x:c>
      <x:c r="F946" s="25" t="str">
        <x:v>10.3389/conf.fnhum.2015.217.00067</x:v>
      </x:c>
      <x:c r="G946" s="25" t="str">
        <x:v>https://doi.org/10.3389/conf.fnhum.2015.217.00067</x:v>
      </x:c>
      <x:c r="H946" s="25" t="str">
        <x:v>Crossref</x:v>
      </x:c>
      <x:c r="I946" s="25" t="str">
        <x:v>C5_agent_memory</x:v>
      </x:c>
      <x:c r="J946" s="25" t="str">
        <x:v>Exclude</x:v>
      </x:c>
      <x:c r="K946" s="25" t="str">
        <x:v>Exclude: adjacent/redundant or insufficiently theory-generative for DC1</x:v>
      </x:c>
    </x:row>
    <x:row r="947">
      <x:c r="A947" s="20" t="str">
        <x:v>R0943</x:v>
      </x:c>
      <x:c r="B947" s="25" t="str">
        <x:v>A novel hierarchical interaction model and HITS map for action recognition in static images</x:v>
      </x:c>
      <x:c r="C947" s="25" t="n">
        <x:v>2014</x:v>
      </x:c>
      <x:c r="D947" s="25" t="str">
        <x:v>Qingfeng Liu; Chengjun Liu</x:v>
      </x:c>
      <x:c r="E947" s="25" t="str">
        <x:v>2014 IEEE International Conference on Systems, Man, and Cybernetics (SMC)</x:v>
      </x:c>
      <x:c r="F947" s="25" t="str">
        <x:v>10.1109/smc.2014.6973909</x:v>
      </x:c>
      <x:c r="G947" s="25" t="str">
        <x:v>https://doi.org/10.1109/smc.2014.6973909</x:v>
      </x:c>
      <x:c r="H947" s="25" t="str">
        <x:v>Crossref</x:v>
      </x:c>
      <x:c r="I947" s="25" t="str">
        <x:v>C11_hierarchical_goal_recognition</x:v>
      </x:c>
      <x:c r="J947" s="25" t="str">
        <x:v>Exclude</x:v>
      </x:c>
      <x:c r="K947" s="25" t="str">
        <x:v>Exclude: topic mismatch</x:v>
      </x:c>
    </x:row>
    <x:row r="948">
      <x:c r="A948" s="20" t="str">
        <x:v>R0944</x:v>
      </x:c>
      <x:c r="B948" s="25" t="str">
        <x:v>A sketch of the grammar of ASL</x:v>
      </x:c>
      <x:c r="C948" s="25" t="n">
        <x:v>2003</x:v>
      </x:c>
      <x:c r="D948" s="25" t="str"/>
      <x:c r="E948" s="25" t="str">
        <x:v>Grammar, Gesture, and Meaning in American Sign Language</x:v>
      </x:c>
      <x:c r="F948" s="25" t="str">
        <x:v>10.1017/cbo9780511615054.003</x:v>
      </x:c>
      <x:c r="G948" s="25" t="str">
        <x:v>https://doi.org/10.1017/cbo9780511615054.003</x:v>
      </x:c>
      <x:c r="H948" s="25" t="str">
        <x:v>Crossref</x:v>
      </x:c>
      <x:c r="I948" s="25" t="str">
        <x:v>C17_3D_gesture_ambiguity</x:v>
      </x:c>
      <x:c r="J948" s="25" t="str">
        <x:v>Exclude</x:v>
      </x:c>
      <x:c r="K948" s="25" t="str">
        <x:v>Exclude: topic mismatch</x:v>
      </x:c>
    </x:row>
    <x:row r="949">
      <x:c r="A949" s="20" t="str">
        <x:v>R0945</x:v>
      </x:c>
      <x:c r="B949" s="25" t="str">
        <x:v>A stigmergy-driven multi-agent framework for intelligent task orchestration</x:v>
      </x:c>
      <x:c r="C949" s="25" t="n">
        <x:v>2026</x:v>
      </x:c>
      <x:c r="D949" s="25" t="str">
        <x:v>Eva Veli</x:v>
      </x:c>
      <x:c r="E949" s="25" t="str">
        <x:v>UPCommons institutional repository (Universitat Politècnica de Catalunya)</x:v>
      </x:c>
      <x:c r="F949" s="25" t="str"/>
      <x:c r="G949" s="25" t="str">
        <x:v>https://hdl.handle.net/2117/463237</x:v>
      </x:c>
      <x:c r="H949" s="25" t="str">
        <x:v>OpenAlex</x:v>
      </x:c>
      <x:c r="I949" s="25" t="str">
        <x:v>C16_memory_conflict_bias</x:v>
      </x:c>
      <x:c r="J949" s="25" t="str">
        <x:v>Exclude</x:v>
      </x:c>
      <x:c r="K949" s="25" t="str">
        <x:v>Exclude: adjacent/redundant or insufficiently theory-generative for DC1</x:v>
      </x:c>
    </x:row>
    <x:row r="950">
      <x:c r="A950" s="20" t="str">
        <x:v>R0946</x:v>
      </x:c>
      <x:c r="B950" s="25" t="str">
        <x:v>ABEL-GUI: AN AGENT-BASED GRAPHICAL USER INTERFACE FOR E-LEARNING</x:v>
      </x:c>
      <x:c r="C950" s="25" t="n">
        <x:v>2007</x:v>
      </x:c>
      <x:c r="D950" s="25" t="str"/>
      <x:c r="E950" s="25" t="str">
        <x:v>Proceedings of the Third International Conference on Web Information Systems and Technologies</x:v>
      </x:c>
      <x:c r="F950" s="25" t="str">
        <x:v>10.5220/0001271504910494</x:v>
      </x:c>
      <x:c r="G950" s="25" t="str">
        <x:v>https://doi.org/10.5220/0001271504910494</x:v>
      </x:c>
      <x:c r="H950" s="25" t="str">
        <x:v>Crossref</x:v>
      </x:c>
      <x:c r="I950" s="25" t="str">
        <x:v>C6_frontend_GUI_intent</x:v>
      </x:c>
      <x:c r="J950" s="25" t="str">
        <x:v>Exclude</x:v>
      </x:c>
      <x:c r="K950" s="25" t="str">
        <x:v>Exclude: topic mismatch</x:v>
      </x:c>
    </x:row>
    <x:row r="951">
      <x:c r="A951" s="20" t="str">
        <x:v>R0947</x:v>
      </x:c>
      <x:c r="B951" s="25" t="str">
        <x:v>ADAPTIVE CONSTRAINT AND 3D SKETCH-BASED DEFORMATION FOR INTERACTIVE FREE FORM SURFACE STYLING</x:v>
      </x:c>
      <x:c r="C951" s="25" t="n">
        <x:v>2006</x:v>
      </x:c>
      <x:c r="D951" s="25" t="str"/>
      <x:c r="E951" s="25" t="str">
        <x:v>Proceedings of the First International Conference on Computer Graphics Theory and Applications</x:v>
      </x:c>
      <x:c r="F951" s="25" t="str">
        <x:v>10.5220/0001352803920399</x:v>
      </x:c>
      <x:c r="G951" s="25" t="str">
        <x:v>https://doi.org/10.5220/0001352803920399</x:v>
      </x:c>
      <x:c r="H951" s="25" t="str">
        <x:v>Crossref</x:v>
      </x:c>
      <x:c r="I951" s="25" t="str">
        <x:v>C17_3D_gesture_ambiguity</x:v>
      </x:c>
      <x:c r="J951" s="25" t="str">
        <x:v>Exclude</x:v>
      </x:c>
      <x:c r="K951" s="25" t="str">
        <x:v>Exclude: adjacent/redundant or insufficiently theory-generative for DC1</x:v>
      </x:c>
    </x:row>
    <x:row r="952">
      <x:c r="A952" s="20" t="str">
        <x:v>R0948</x:v>
      </x:c>
      <x:c r="B952" s="25" t="str">
        <x:v>AGENTIC AI IN HEALTHCARE &amp;amp; MEDICINE: A SEVEN-DIMENSIONAL TAXONOMY FOR EMPIRICAL EVALUATION OF LLM-BASED AGENTS</x:v>
      </x:c>
      <x:c r="C952" s="25" t="n">
        <x:v>2025</x:v>
      </x:c>
      <x:c r="D952" s="25" t="str">
        <x:v>Shubham Vatsal; Harsh Dubey; Aditi Singh</x:v>
      </x:c>
      <x:c r="E952" s="25" t="str"/>
      <x:c r="F952" s="25" t="str">
        <x:v>10.36227/techrxiv.175951916.60039552/v1</x:v>
      </x:c>
      <x:c r="G952" s="25" t="str">
        <x:v>https://doi.org/10.36227/techrxiv.175951916.60039552/v1</x:v>
      </x:c>
      <x:c r="H952" s="25" t="str">
        <x:v>OpenAlex</x:v>
      </x:c>
      <x:c r="I952" s="25" t="str">
        <x:v>C16_memory_conflict_bias</x:v>
      </x:c>
      <x:c r="J952" s="25" t="str">
        <x:v>Exclude</x:v>
      </x:c>
      <x:c r="K952" s="25" t="str">
        <x:v>Exclude: topic mismatch</x:v>
      </x:c>
    </x:row>
    <x:row r="953">
      <x:c r="A953" s="20" t="str">
        <x:v>R0949</x:v>
      </x:c>
      <x:c r="B953" s="25" t="str">
        <x:v>AI Narrative Co-creation in Interaction Design Education:  A Thing-Perspective Pedagogical Framework with MacGuffin Creative Cards</x:v>
      </x:c>
      <x:c r="C953" s="25" t="n">
        <x:v>2026</x:v>
      </x:c>
      <x:c r="D953" s="25" t="str">
        <x:v>Wan-Chen Lee</x:v>
      </x:c>
      <x:c r="E953" s="25" t="str">
        <x:v>AHFE International</x:v>
      </x:c>
      <x:c r="F953" s="25" t="str">
        <x:v>10.54941/ahfe1007207</x:v>
      </x:c>
      <x:c r="G953" s="25" t="str">
        <x:v>https://doi.org/10.54941/ahfe1007207</x:v>
      </x:c>
      <x:c r="H953" s="25" t="str">
        <x:v>Crossref</x:v>
      </x:c>
      <x:c r="I953" s="25" t="str">
        <x:v>C14_agency_ownership; C7_creative_agency</x:v>
      </x:c>
      <x:c r="J953" s="25" t="str">
        <x:v>Exclude</x:v>
      </x:c>
      <x:c r="K953" s="25" t="str">
        <x:v>Exclude: adjacent/redundant or insufficiently theory-generative for DC1</x:v>
      </x:c>
    </x:row>
    <x:row r="954">
      <x:c r="A954" s="20" t="str">
        <x:v>R0950</x:v>
      </x:c>
      <x:c r="B954" s="25" t="str">
        <x:v>AI and Art</x:v>
      </x:c>
      <x:c r="C954" s="25" t="n">
        <x:v>2024</x:v>
      </x:c>
      <x:c r="D954" s="25" t="str">
        <x:v>Caterina Moruzzi; Oreste Leone Campagner</x:v>
      </x:c>
      <x:c r="E954" s="25" t="str">
        <x:v>Artificial Intelligence, Co-Creation and Creativity</x:v>
      </x:c>
      <x:c r="F954" s="25" t="str">
        <x:v>10.4324/9781003453901-10</x:v>
      </x:c>
      <x:c r="G954" s="25" t="str">
        <x:v>https://doi.org/10.4324/9781003453901-10</x:v>
      </x:c>
      <x:c r="H954" s="25" t="str">
        <x:v>Crossref</x:v>
      </x:c>
      <x:c r="I954" s="25" t="str">
        <x:v>C3_mixed_initiative_cocreation</x:v>
      </x:c>
      <x:c r="J954" s="25" t="str">
        <x:v>Exclude</x:v>
      </x:c>
      <x:c r="K954" s="25" t="str">
        <x:v>Exclude: topic mismatch</x:v>
      </x:c>
    </x:row>
    <x:row r="955">
      <x:c r="A955" s="20" t="str">
        <x:v>R0951</x:v>
      </x:c>
      <x:c r="B955" s="25" t="str">
        <x:v>AI as creative partner: exploring perceived roles in human-AI co-creation</x:v>
      </x:c>
      <x:c r="C955" s="25" t="n">
        <x:v>2026</x:v>
      </x:c>
      <x:c r="D955" s="25" t="str">
        <x:v>Susanne Dreyer; Chris McTeague; Katja Thoring</x:v>
      </x:c>
      <x:c r="E955" s="25" t="str">
        <x:v>Proceedings of the Design Society</x:v>
      </x:c>
      <x:c r="F955" s="25" t="str">
        <x:v>10.1017/pds.2026.10459</x:v>
      </x:c>
      <x:c r="G955" s="25" t="str">
        <x:v>https://doi.org/10.1017/pds.2026.10459</x:v>
      </x:c>
      <x:c r="H955" s="25" t="str">
        <x:v>Crossref</x:v>
      </x:c>
      <x:c r="I955" s="25" t="str">
        <x:v>C14_agency_ownership; C7_creative_agency</x:v>
      </x:c>
      <x:c r="J955" s="25" t="str">
        <x:v>Exclude</x:v>
      </x:c>
      <x:c r="K955" s="25" t="str">
        <x:v>Exclude: adjacent/redundant or insufficiently theory-generative for DC1</x:v>
      </x:c>
    </x:row>
    <x:row r="956">
      <x:c r="A956" s="20" t="str">
        <x:v>R0952</x:v>
      </x:c>
      <x:c r="B956" s="25" t="str">
        <x:v>AI can help warring political camps find common ground</x:v>
      </x:c>
      <x:c r="C956" s="25" t="n">
        <x:v>2024</x:v>
      </x:c>
      <x:c r="D956" s="25" t="str"/>
      <x:c r="E956" s="25" t="str">
        <x:v>AAAS Articles DO Group</x:v>
      </x:c>
      <x:c r="F956" s="25" t="str">
        <x:v>10.1126/science.zaa64l6</x:v>
      </x:c>
      <x:c r="G956" s="25" t="str">
        <x:v>https://doi.org/10.1126/science.zaa64l6</x:v>
      </x:c>
      <x:c r="H956" s="25" t="str">
        <x:v>Crossref</x:v>
      </x:c>
      <x:c r="I956" s="25" t="str">
        <x:v>C12_common_ground_repair</x:v>
      </x:c>
      <x:c r="J956" s="25" t="str">
        <x:v>Exclude</x:v>
      </x:c>
      <x:c r="K956" s="25" t="str">
        <x:v>Exclude: topic mismatch</x:v>
      </x:c>
    </x:row>
    <x:row r="957">
      <x:c r="A957" s="20" t="str">
        <x:v>R0953</x:v>
      </x:c>
      <x:c r="B957" s="25" t="str">
        <x:v>AI-ASSISTED 2D-3D SEMANTIC SEGMENTATION FOR STONE LEVEL HBIM</x:v>
      </x:c>
      <x:c r="C957" s="25" t="n">
        <x:v>2026</x:v>
      </x:c>
      <x:c r="D957" s="25" t="str">
        <x:v>Oxana V. Barsukova; Luís Sanhudo; Filipe J.S. Brandão; Bruno A.F. Figueiredo</x:v>
      </x:c>
      <x:c r="E957" s="25" t="str">
        <x:v>6º Congresso Português de ‘Building Information Modelling’: Livro de Atas</x:v>
      </x:c>
      <x:c r="F957" s="25" t="str">
        <x:v>10.24840/978-972-752-358-0_049</x:v>
      </x:c>
      <x:c r="G957" s="25" t="str">
        <x:v>https://doi.org/10.24840/978-972-752-358-0_049</x:v>
      </x:c>
      <x:c r="H957" s="25" t="str">
        <x:v>Crossref</x:v>
      </x:c>
      <x:c r="I957" s="25" t="str">
        <x:v>C8_AI_3D_authoring</x:v>
      </x:c>
      <x:c r="J957" s="25" t="str">
        <x:v>Exclude</x:v>
      </x:c>
      <x:c r="K957" s="25" t="str">
        <x:v>Exclude: adjacent/redundant or insufficiently theory-generative for DC1</x:v>
      </x:c>
    </x:row>
    <x:row r="958">
      <x:c r="A958" s="20" t="str">
        <x:v>R0954</x:v>
      </x:c>
      <x:c r="B958" s="25" t="str">
        <x:v>AI-Assisted 3D Modeling and Engineering Optimization of Artistic Mechanical Parts for TWS Earbud Charging Cases</x:v>
      </x:c>
      <x:c r="C958" s="25" t="n">
        <x:v>2026</x:v>
      </x:c>
      <x:c r="D958" s="25" t="str">
        <x:v>Jiayi Qi</x:v>
      </x:c>
      <x:c r="E958" s="25" t="str">
        <x:v>Exploring Science Academic Conference Series</x:v>
      </x:c>
      <x:c r="F958" s="25" t="str">
        <x:v>10.70267/ic-aimees.20260407413</x:v>
      </x:c>
      <x:c r="G958" s="25" t="str">
        <x:v>https://doi.org/10.70267/ic-aimees.20260407413</x:v>
      </x:c>
      <x:c r="H958" s="25" t="str">
        <x:v>Crossref</x:v>
      </x:c>
      <x:c r="I958" s="25" t="str">
        <x:v>C8_AI_3D_authoring</x:v>
      </x:c>
      <x:c r="J958" s="25" t="str">
        <x:v>Exclude</x:v>
      </x:c>
      <x:c r="K958" s="25" t="str">
        <x:v>Exclude: adjacent/redundant or insufficiently theory-generative for DC1</x:v>
      </x:c>
    </x:row>
    <x:row r="959">
      <x:c r="A959" s="20" t="str">
        <x:v>R0955</x:v>
      </x:c>
      <x:c r="B959" s="25" t="str">
        <x:v>AI-Assisted Creativity Support for Persona Creation Tools</x:v>
      </x:c>
      <x:c r="C959" s="25" t="n">
        <x:v>2025</x:v>
      </x:c>
      <x:c r="D959" s="25" t="str">
        <x:v>Shih Ju Wang; Chien-Hsiung Chen</x:v>
      </x:c>
      <x:c r="E959" s="25" t="str">
        <x:v>AHFE International</x:v>
      </x:c>
      <x:c r="F959" s="25" t="str">
        <x:v>10.54941/ahfe1006208</x:v>
      </x:c>
      <x:c r="G959" s="25" t="str">
        <x:v>https://doi.org/10.54941/ahfe1006208</x:v>
      </x:c>
      <x:c r="H959" s="25" t="str">
        <x:v>Crossref</x:v>
      </x:c>
      <x:c r="I959" s="25" t="str">
        <x:v>C3_mixed_initiative_cocreation</x:v>
      </x:c>
      <x:c r="J959" s="25" t="str">
        <x:v>Exclude</x:v>
      </x:c>
      <x:c r="K959" s="25" t="str">
        <x:v>Exclude: adjacent/redundant or insufficiently theory-generative for DC1</x:v>
      </x:c>
    </x:row>
    <x:row r="960">
      <x:c r="A960" s="20" t="str">
        <x:v>R0956</x:v>
      </x:c>
      <x:c r="B960" s="25" t="str">
        <x:v>AI-Assisted Semantic Modeling of Languages for Symbolic Execution Driven Unit Test Generation</x:v>
      </x:c>
      <x:c r="C960" s="25" t="n">
        <x:v>2026</x:v>
      </x:c>
      <x:c r="D960" s="25" t="str">
        <x:v>Mokshith Reddy Tanguturi; Atul Kumar; Nandakishore Menon; Sridhar Chimalakonda</x:v>
      </x:c>
      <x:c r="E960" s="25" t="str">
        <x:v>2026 IEEE International Conference on Software Analysis, Evolution and Reengineering (SANER)</x:v>
      </x:c>
      <x:c r="F960" s="25" t="str">
        <x:v>10.1109/saner67736.2026.00020</x:v>
      </x:c>
      <x:c r="G960" s="25" t="str">
        <x:v>https://doi.org/10.1109/saner67736.2026.00020</x:v>
      </x:c>
      <x:c r="H960" s="25" t="str">
        <x:v>Crossref</x:v>
      </x:c>
      <x:c r="I960" s="25" t="str">
        <x:v>C8_AI_3D_authoring</x:v>
      </x:c>
      <x:c r="J960" s="25" t="str">
        <x:v>Exclude</x:v>
      </x:c>
      <x:c r="K960" s="25" t="str">
        <x:v>Exclude: topic mismatch</x:v>
      </x:c>
    </x:row>
    <x:row r="961">
      <x:c r="A961" s="20" t="str">
        <x:v>R0957</x:v>
      </x:c>
      <x:c r="B961" s="25" t="str">
        <x:v>AI-Mediated Creative Agency: A Framework for Creative Self-Efficacy in Human-AI Collaboration</x:v>
      </x:c>
      <x:c r="C961" s="25" t="n">
        <x:v>2026</x:v>
      </x:c>
      <x:c r="D961" s="25" t="str">
        <x:v>Sabrina Habib</x:v>
      </x:c>
      <x:c r="E961" s="25" t="str"/>
      <x:c r="F961" s="25" t="str">
        <x:v>10.31235/osf.io/uh65j_v1</x:v>
      </x:c>
      <x:c r="G961" s="25" t="str">
        <x:v>https://doi.org/10.31235/osf.io/uh65j_v1</x:v>
      </x:c>
      <x:c r="H961" s="25" t="str">
        <x:v>Crossref</x:v>
      </x:c>
      <x:c r="I961" s="25" t="str">
        <x:v>C14_agency_ownership; C7_creative_agency</x:v>
      </x:c>
      <x:c r="J961" s="25" t="str">
        <x:v>Exclude</x:v>
      </x:c>
      <x:c r="K961" s="25" t="str">
        <x:v>Exclude: adjacent/redundant or insufficiently theory-generative for DC1</x:v>
      </x:c>
    </x:row>
    <x:row r="962">
      <x:c r="A962" s="20" t="str">
        <x:v>R0958</x:v>
      </x:c>
      <x:c r="B962" s="25" t="str">
        <x:v>AI-Native Closed-Loop Security for 6G-Enabled Cyber-Physical Systems: From Edge Detection to Network-Wide Mitigation</x:v>
      </x:c>
      <x:c r="C962" s="25" t="n">
        <x:v>2026</x:v>
      </x:c>
      <x:c r="D962" s="25" t="str">
        <x:v>Bilal Hussain; Dr Muhammad Bilal; Tan Li; Haris Pervaiz; Xiao Tang; Qinghe Du; Fawad Ahmad; Muhammad Azhar; Jun Zhang</x:v>
      </x:c>
      <x:c r="E962" s="25" t="str">
        <x:v>arXiv (Cornell University)</x:v>
      </x:c>
      <x:c r="F962" s="25" t="str"/>
      <x:c r="G962" s="25" t="str">
        <x:v>https://arxiv.org/abs/2606.08173</x:v>
      </x:c>
      <x:c r="H962" s="25" t="str">
        <x:v>OpenAlex</x:v>
      </x:c>
      <x:c r="I962" s="25" t="str">
        <x:v>C16_memory_conflict_bias</x:v>
      </x:c>
      <x:c r="J962" s="25" t="str">
        <x:v>Exclude</x:v>
      </x:c>
      <x:c r="K962" s="25" t="str">
        <x:v>Exclude: adjacent/redundant or insufficiently theory-generative for DC1</x:v>
      </x:c>
    </x:row>
    <x:row r="963">
      <x:c r="A963" s="20" t="str">
        <x:v>R0959</x:v>
      </x:c>
      <x:c r="B963" s="25" t="str">
        <x:v>About the Editors</x:v>
      </x:c>
      <x:c r="C963" s="25" t="n">
        <x:v>2014</x:v>
      </x:c>
      <x:c r="D963" s="25" t="str"/>
      <x:c r="E963" s="25" t="str">
        <x:v>Plan, Activity, and Intent Recognition</x:v>
      </x:c>
      <x:c r="F963" s="25" t="str">
        <x:v>10.1016/b978-0-12-398532-3.00019-1</x:v>
      </x:c>
      <x:c r="G963" s="25" t="str">
        <x:v>https://doi.org/10.1016/b978-0-12-398532-3.00019-1</x:v>
      </x:c>
      <x:c r="H963" s="25" t="str">
        <x:v>Crossref</x:v>
      </x:c>
      <x:c r="I963" s="25" t="str">
        <x:v>C11_hierarchical_goal_recognition</x:v>
      </x:c>
      <x:c r="J963" s="25" t="str">
        <x:v>Exclude</x:v>
      </x:c>
      <x:c r="K963" s="25" t="str">
        <x:v>Exclude: topic mismatch</x:v>
      </x:c>
    </x:row>
    <x:row r="964">
      <x:c r="A964" s="20" t="str">
        <x:v>R0960</x:v>
      </x:c>
      <x:c r="B964" s="25" t="str">
        <x:v>Action 3 – Agreeing a Goal and Action Plan</x:v>
      </x:c>
      <x:c r="C964" s="25" t="n">
        <x:v>2026</x:v>
      </x:c>
      <x:c r="D964" s="25" t="str"/>
      <x:c r="E964" s="25" t="str">
        <x:v>CBT Frontline Action for Long‐Term Conditions and Palliative Care</x:v>
      </x:c>
      <x:c r="F964" s="25" t="str">
        <x:v>10.1002/9781119375234.ch7</x:v>
      </x:c>
      <x:c r="G964" s="25" t="str">
        <x:v>https://doi.org/10.1002/9781119375234.ch7</x:v>
      </x:c>
      <x:c r="H964" s="25" t="str">
        <x:v>Crossref</x:v>
      </x:c>
      <x:c r="I964" s="25" t="str">
        <x:v>C11_hierarchical_goal_recognition</x:v>
      </x:c>
      <x:c r="J964" s="25" t="str">
        <x:v>Exclude</x:v>
      </x:c>
      <x:c r="K964" s="25" t="str">
        <x:v>Exclude: topic mismatch</x:v>
      </x:c>
    </x:row>
    <x:row r="965">
      <x:c r="A965" s="20" t="str">
        <x:v>R0961</x:v>
      </x:c>
      <x:c r="B965" s="25" t="str">
        <x:v>Adoption-Driven Authority Transfer: A Structural Model of AI-Human Control</x:v>
      </x:c>
      <x:c r="C965" s="25" t="n">
        <x:v>2026</x:v>
      </x:c>
      <x:c r="D965" s="25" t="str">
        <x:v>Adrian Erckenbrack</x:v>
      </x:c>
      <x:c r="E965" s="25" t="str"/>
      <x:c r="F965" s="25" t="str">
        <x:v>10.2139/ssrn.6082453</x:v>
      </x:c>
      <x:c r="G965" s="25" t="str">
        <x:v>https://doi.org/10.2139/ssrn.6082453</x:v>
      </x:c>
      <x:c r="H965" s="25" t="str">
        <x:v>Crossref</x:v>
      </x:c>
      <x:c r="I965" s="25" t="str">
        <x:v>C9_human_agent_handoff</x:v>
      </x:c>
      <x:c r="J965" s="25" t="str">
        <x:v>Exclude</x:v>
      </x:c>
      <x:c r="K965" s="25" t="str">
        <x:v>Exclude: topic mismatch</x:v>
      </x:c>
    </x:row>
    <x:row r="966">
      <x:c r="A966" s="20" t="str">
        <x:v>R0962</x:v>
      </x:c>
      <x:c r="B966" s="25" t="str">
        <x:v>Advances in Human–AI Collaboration</x:v>
      </x:c>
      <x:c r="C966" s="25" t="n">
        <x:v>2026</x:v>
      </x:c>
      <x:c r="D966" s="25" t="str">
        <x:v>Yubin Xie; Siu Shing Man; Ronggang Zhou; Alan Hoi Shou Chan</x:v>
      </x:c>
      <x:c r="E966" s="25" t="str">
        <x:v>Advances in Human‐AI Collaboration</x:v>
      </x:c>
      <x:c r="F966" s="25" t="str">
        <x:v>10.1002/9781394266401.ch6</x:v>
      </x:c>
      <x:c r="G966" s="25" t="str">
        <x:v>https://doi.org/10.1002/9781394266401.ch6</x:v>
      </x:c>
      <x:c r="H966" s="25" t="str">
        <x:v>Crossref</x:v>
      </x:c>
      <x:c r="I966" s="25" t="str">
        <x:v>C12_common_ground_repair</x:v>
      </x:c>
      <x:c r="J966" s="25" t="str">
        <x:v>Exclude</x:v>
      </x:c>
      <x:c r="K966" s="25" t="str">
        <x:v>Exclude: topic mismatch</x:v>
      </x:c>
    </x:row>
    <x:row r="967">
      <x:c r="A967" s="20" t="str">
        <x:v>R0963</x:v>
      </x:c>
      <x:c r="B967" s="25" t="str">
        <x:v>Affordance</x:v>
      </x:c>
      <x:c r="C967" s="25" t="n">
        <x:v>2022</x:v>
      </x:c>
      <x:c r="D967" s="25" t="str"/>
      <x:c r="E967" s="25" t="str">
        <x:v>Embodying Design</x:v>
      </x:c>
      <x:c r="F967" s="25" t="str">
        <x:v>10.7551/mitpress/12419.003.0006</x:v>
      </x:c>
      <x:c r="G967" s="25" t="str">
        <x:v>https://doi.org/10.7551/mitpress/12419.003.0006</x:v>
      </x:c>
      <x:c r="H967" s="25" t="str">
        <x:v>Crossref</x:v>
      </x:c>
      <x:c r="I967" s="25" t="str">
        <x:v>C10_affordance_embodied</x:v>
      </x:c>
      <x:c r="J967" s="25" t="str">
        <x:v>Exclude</x:v>
      </x:c>
      <x:c r="K967" s="25" t="str">
        <x:v>Exclude: topic mismatch</x:v>
      </x:c>
    </x:row>
    <x:row r="968">
      <x:c r="A968" s="20" t="str">
        <x:v>R0964</x:v>
      </x:c>
      <x:c r="B968" s="25" t="str">
        <x:v>Agent Learning for Mixed-Initiative Knowledge Acquisition</x:v>
      </x:c>
      <x:c r="C968" s="25" t="n">
        <x:v>2010</x:v>
      </x:c>
      <x:c r="D968" s="25" t="str">
        <x:v>Gheorghe Tecuci; Mihai Boicu</x:v>
      </x:c>
      <x:c r="E968" s="25" t="str"/>
      <x:c r="F968" s="25" t="str">
        <x:v>10.21236/ada546637</x:v>
      </x:c>
      <x:c r="G968" s="25" t="str">
        <x:v>https://doi.org/10.21236/ada546637</x:v>
      </x:c>
      <x:c r="H968" s="25" t="str">
        <x:v>Crossref</x:v>
      </x:c>
      <x:c r="I968" s="25" t="str">
        <x:v>C15_proactive_interruption</x:v>
      </x:c>
      <x:c r="J968" s="25" t="str">
        <x:v>Exclude</x:v>
      </x:c>
      <x:c r="K968" s="25" t="str">
        <x:v>Exclude: adjacent/redundant or insufficiently theory-generative for DC1</x:v>
      </x:c>
    </x:row>
    <x:row r="969">
      <x:c r="A969" s="20" t="str">
        <x:v>R0965</x:v>
      </x:c>
      <x:c r="B969" s="25" t="str">
        <x:v>Ai in Co-Creation - Shadowed Agency, Responsiveness, and Beneficiaries in Entangled Human-Ai Value Systems</x:v>
      </x:c>
      <x:c r="C969" s="25" t="n">
        <x:v>2024</x:v>
      </x:c>
      <x:c r="D969" s="25" t="str">
        <x:v>Uta Wilkens; Daniel Lupp; Annette Urban</x:v>
      </x:c>
      <x:c r="E969" s="25" t="str"/>
      <x:c r="F969" s="25" t="str">
        <x:v>10.2139/ssrn.5037487</x:v>
      </x:c>
      <x:c r="G969" s="25" t="str">
        <x:v>https://doi.org/10.2139/ssrn.5037487</x:v>
      </x:c>
      <x:c r="H969" s="25" t="str">
        <x:v>Crossref</x:v>
      </x:c>
      <x:c r="I969" s="25" t="str">
        <x:v>C14_agency_ownership; C7_creative_agency</x:v>
      </x:c>
      <x:c r="J969" s="25" t="str">
        <x:v>Exclude</x:v>
      </x:c>
      <x:c r="K969" s="25" t="str">
        <x:v>Exclude: topic mismatch</x:v>
      </x:c>
    </x:row>
    <x:row r="970">
      <x:c r="A970" s="20" t="str">
        <x:v>R0966</x:v>
      </x:c>
      <x:c r="B970" s="25" t="str">
        <x:v>Ai-Assisted Semantic Reconstruction of Process Behavior from Memory Dumps</x:v>
      </x:c>
      <x:c r="C970" s="25" t="n">
        <x:v>2025</x:v>
      </x:c>
      <x:c r="D970" s="25" t="str">
        <x:v>Mohammed  I. Al-Saleh</x:v>
      </x:c>
      <x:c r="E970" s="25" t="str"/>
      <x:c r="F970" s="25" t="str">
        <x:v>10.2139/ssrn.5398092</x:v>
      </x:c>
      <x:c r="G970" s="25" t="str">
        <x:v>https://doi.org/10.2139/ssrn.5398092</x:v>
      </x:c>
      <x:c r="H970" s="25" t="str">
        <x:v>Crossref</x:v>
      </x:c>
      <x:c r="I970" s="25" t="str">
        <x:v>C8_AI_3D_authoring</x:v>
      </x:c>
      <x:c r="J970" s="25" t="str">
        <x:v>Exclude</x:v>
      </x:c>
      <x:c r="K970" s="25" t="str">
        <x:v>Exclude: adjacent/redundant or insufficiently theory-generative for DC1</x:v>
      </x:c>
    </x:row>
    <x:row r="971">
      <x:c r="A971" s="20" t="str">
        <x:v>R0967</x:v>
      </x:c>
      <x:c r="B971" s="25" t="str">
        <x:v>Always-OnAgents:A Survey of Persistent Memory, State, and Governance in LLMAgents</x:v>
      </x:c>
      <x:c r="C971" s="25" t="n">
        <x:v>2026</x:v>
      </x:c>
      <x:c r="D971" s="25" t="str">
        <x:v>Tianyu Ding; Aditya Nannapaneni; Bingfan Liu; Ling Zhang</x:v>
      </x:c>
      <x:c r="E971" s="25" t="str">
        <x:v>arXiv (Cornell University)</x:v>
      </x:c>
      <x:c r="F971" s="25" t="str"/>
      <x:c r="G971" s="25" t="str">
        <x:v>https://arxiv.org/abs/2606.30306</x:v>
      </x:c>
      <x:c r="H971" s="25" t="str">
        <x:v>OpenAlex</x:v>
      </x:c>
      <x:c r="I971" s="25" t="str">
        <x:v>C16_memory_conflict_bias</x:v>
      </x:c>
      <x:c r="J971" s="25" t="str">
        <x:v>Exclude</x:v>
      </x:c>
      <x:c r="K971" s="25" t="str">
        <x:v>Exclude: adjacent/redundant or insufficiently theory-generative for DC1</x:v>
      </x:c>
    </x:row>
    <x:row r="972">
      <x:c r="A972" s="20" t="str">
        <x:v>R0968</x:v>
      </x:c>
      <x:c r="B972" s="25" t="str">
        <x:v>Ambiguity and interplay</x:v>
      </x:c>
      <x:c r="C972" s="25" t="n">
        <x:v>2023</x:v>
      </x:c>
      <x:c r="D972" s="25" t="str"/>
      <x:c r="E972" s="25" t="str">
        <x:v>The Hidden Factor</x:v>
      </x:c>
      <x:c r="F972" s="25" t="str">
        <x:v>10.7551/mitpress/14695.003.0011</x:v>
      </x:c>
      <x:c r="G972" s="25" t="str">
        <x:v>https://doi.org/10.7551/mitpress/14695.003.0011</x:v>
      </x:c>
      <x:c r="H972" s="25" t="str">
        <x:v>Crossref</x:v>
      </x:c>
      <x:c r="I972" s="25" t="str">
        <x:v>C17_3D_gesture_ambiguity</x:v>
      </x:c>
      <x:c r="J972" s="25" t="str">
        <x:v>Exclude</x:v>
      </x:c>
      <x:c r="K972" s="25" t="str">
        <x:v>Exclude: topic mismatch</x:v>
      </x:c>
    </x:row>
    <x:row r="973">
      <x:c r="A973" s="20" t="str">
        <x:v>R0969</x:v>
      </x:c>
      <x:c r="B973" s="25" t="str">
        <x:v>An Automated Aid for Modeling Human-Computer Interaction</x:v>
      </x:c>
      <x:c r="C973" s="25" t="n">
        <x:v>2000</x:v>
      </x:c>
      <x:c r="D973" s="25" t="str"/>
      <x:c r="E973" s="25" t="str">
        <x:v>Cognitive Task Analysis</x:v>
      </x:c>
      <x:c r="F973" s="25" t="str">
        <x:v>10.4324/9781410605795-21</x:v>
      </x:c>
      <x:c r="G973" s="25" t="str">
        <x:v>https://doi.org/10.4324/9781410605795-21</x:v>
      </x:c>
      <x:c r="H973" s="25" t="str">
        <x:v>Crossref</x:v>
      </x:c>
      <x:c r="I973" s="25" t="str">
        <x:v>C18_video_intent_coding_VLM_annotation</x:v>
      </x:c>
      <x:c r="J973" s="25" t="str">
        <x:v>Exclude</x:v>
      </x:c>
      <x:c r="K973" s="25" t="str">
        <x:v>Exclude: topic mismatch</x:v>
      </x:c>
    </x:row>
    <x:row r="974">
      <x:c r="A974" s="20" t="str">
        <x:v>R0970</x:v>
      </x:c>
      <x:c r="B974" s="25" t="str">
        <x:v>An Episodic-Procedural Semantic Memory Model for Continuous Topological Sensorimotor Map Building</x:v>
      </x:c>
      <x:c r="C974" s="25" t="n">
        <x:v>2022</x:v>
      </x:c>
      <x:c r="D974" s="25" t="str">
        <x:v>Wei Hong Chin; Naoyuki Kubota; Chu Kiong Loo</x:v>
      </x:c>
      <x:c r="E974" s="25" t="str">
        <x:v>Cognitive Robotics and Adaptive Behaviors</x:v>
      </x:c>
      <x:c r="F974" s="25" t="str">
        <x:v>10.5772/intechopen.104818</x:v>
      </x:c>
      <x:c r="G974" s="25" t="str">
        <x:v>https://doi.org/10.5772/intechopen.104818</x:v>
      </x:c>
      <x:c r="H974" s="25" t="str">
        <x:v>Crossref</x:v>
      </x:c>
      <x:c r="I974" s="25" t="str">
        <x:v>C5_agent_memory</x:v>
      </x:c>
      <x:c r="J974" s="25" t="str">
        <x:v>Exclude</x:v>
      </x:c>
      <x:c r="K974" s="25" t="str">
        <x:v>Exclude: adjacent/redundant or insufficiently theory-generative for DC1</x:v>
      </x:c>
    </x:row>
    <x:row r="975">
      <x:c r="A975" s="20" t="str">
        <x:v>R0971</x:v>
      </x:c>
      <x:c r="B975" s="25" t="str">
        <x:v>An Object-Oriented Framework for Direct-Manipulation User Interfaces</x:v>
      </x:c>
      <x:c r="C975" s="25" t="n">
        <x:v>1991</x:v>
      </x:c>
      <x:c r="D975" s="25" t="str">
        <x:v>Yen-Ping Shan</x:v>
      </x:c>
      <x:c r="E975" s="25" t="str">
        <x:v>Advances in Object-Oriented Graphics I</x:v>
      </x:c>
      <x:c r="F975" s="25" t="str">
        <x:v>10.1007/978-3-642-76303-8_1</x:v>
      </x:c>
      <x:c r="G975" s="25" t="str">
        <x:v>https://doi.org/10.1007/978-3-642-76303-8_1</x:v>
      </x:c>
      <x:c r="H975" s="25" t="str">
        <x:v>Crossref</x:v>
      </x:c>
      <x:c r="I975" s="25" t="str">
        <x:v>C1_3D_mental_models</x:v>
      </x:c>
      <x:c r="J975" s="25" t="str">
        <x:v>Exclude</x:v>
      </x:c>
      <x:c r="K975" s="25" t="str">
        <x:v>Exclude: adjacent/redundant or insufficiently theory-generative for DC1</x:v>
      </x:c>
    </x:row>
    <x:row r="976">
      <x:c r="A976" s="20" t="str">
        <x:v>R0972</x:v>
      </x:c>
      <x:c r="B976" s="25" t="str">
        <x:v>Application of Deep Learning-Based User Intent Recognition in Human-Computer Interaction</x:v>
      </x:c>
      <x:c r="C976" s="25" t="n">
        <x:v>2024</x:v>
      </x:c>
      <x:c r="D976" s="25" t="str">
        <x:v>Lingling Qiu</x:v>
      </x:c>
      <x:c r="E976" s="25" t="str">
        <x:v>2024 5th International Conference on Intelligent Computing and Human-Computer Interaction (ICHCI)</x:v>
      </x:c>
      <x:c r="F976" s="25" t="str">
        <x:v>10.1109/ichci63580.2024.10808121</x:v>
      </x:c>
      <x:c r="G976" s="25" t="str">
        <x:v>https://doi.org/10.1109/ichci63580.2024.10808121</x:v>
      </x:c>
      <x:c r="H976" s="25" t="str">
        <x:v>Crossref</x:v>
      </x:c>
      <x:c r="I976" s="25" t="str">
        <x:v>C11_hierarchical_goal_recognition; C2_interaction_signals</x:v>
      </x:c>
      <x:c r="J976" s="25" t="str">
        <x:v>Exclude</x:v>
      </x:c>
      <x:c r="K976" s="25" t="str">
        <x:v>Exclude: adjacent/redundant or insufficiently theory-generative for DC1</x:v>
      </x:c>
    </x:row>
    <x:row r="977">
      <x:c r="A977" s="20" t="str">
        <x:v>R0973</x:v>
      </x:c>
      <x:c r="B977" s="25" t="str">
        <x:v>Applied cognitive task analysis (ACTA): a practitioner’s toolkit for understanding cognitive task demands</x:v>
      </x:c>
      <x:c r="C977" s="25" t="n">
        <x:v>2000</x:v>
      </x:c>
      <x:c r="D977" s="25" t="str"/>
      <x:c r="E977" s="25" t="str">
        <x:v>Task Analysis</x:v>
      </x:c>
      <x:c r="F977" s="25" t="str">
        <x:v>10.1201/9781482289275-6</x:v>
      </x:c>
      <x:c r="G977" s="25" t="str">
        <x:v>https://doi.org/10.1201/9781482289275-6</x:v>
      </x:c>
      <x:c r="H977" s="25" t="str">
        <x:v>Crossref</x:v>
      </x:c>
      <x:c r="I977" s="25" t="str">
        <x:v>C18_video_intent_coding_VLM_annotation</x:v>
      </x:c>
      <x:c r="J977" s="25" t="str">
        <x:v>Exclude</x:v>
      </x:c>
      <x:c r="K977" s="25" t="str">
        <x:v>Exclude: topic mismatch</x:v>
      </x:c>
    </x:row>
    <x:row r="978">
      <x:c r="A978" s="20" t="str">
        <x:v>R0974</x:v>
      </x:c>
      <x:c r="B978" s="25" t="str">
        <x:v>Artistic Individuality in Human–AI Co-Creation</x:v>
      </x:c>
      <x:c r="C978" s="25" t="n">
        <x:v>2026</x:v>
      </x:c>
      <x:c r="D978" s="25" t="str">
        <x:v>Ali Nikrang; Susanne Kiesenhofer; Karin Breckner; Thomas Neumayr; Mirjam Augstein</x:v>
      </x:c>
      <x:c r="E978" s="25" t="str">
        <x:v>Artificial Intelligence in Creative Industries</x:v>
      </x:c>
      <x:c r="F978" s="25" t="str">
        <x:v>10.4324/9781003606802-3</x:v>
      </x:c>
      <x:c r="G978" s="25" t="str">
        <x:v>https://doi.org/10.4324/9781003606802-3</x:v>
      </x:c>
      <x:c r="H978" s="25" t="str">
        <x:v>Crossref</x:v>
      </x:c>
      <x:c r="I978" s="25" t="str">
        <x:v>C14_agency_ownership; C7_creative_agency</x:v>
      </x:c>
      <x:c r="J978" s="25" t="str">
        <x:v>Exclude</x:v>
      </x:c>
      <x:c r="K978" s="25" t="str">
        <x:v>Exclude: topic mismatch</x:v>
      </x:c>
    </x:row>
    <x:row r="979">
      <x:c r="A979" s="20" t="str">
        <x:v>R0975</x:v>
      </x:c>
      <x:c r="B979" s="25" t="str">
        <x:v>Auditable LLM Autonomy for Operational Decision-Making: Big Data Evidence and Decision Traces</x:v>
      </x:c>
      <x:c r="C979" s="25" t="n">
        <x:v>2026</x:v>
      </x:c>
      <x:c r="D979" s="25" t="str">
        <x:v>Leonidas Theodorakopoulos; Alexandra Theodoropoulou</x:v>
      </x:c>
      <x:c r="E979" s="25" t="str">
        <x:v>Computers, materials &amp; continua/Computers, materials &amp; continua (Print)</x:v>
      </x:c>
      <x:c r="F979" s="25" t="str">
        <x:v>10.32604/cmc.2026.082270</x:v>
      </x:c>
      <x:c r="G979" s="25" t="str">
        <x:v>https://doi.org/10.32604/cmc.2026.082270</x:v>
      </x:c>
      <x:c r="H979" s="25" t="str">
        <x:v>OpenAlex</x:v>
      </x:c>
      <x:c r="I979" s="25" t="str">
        <x:v>C16_memory_conflict_bias</x:v>
      </x:c>
      <x:c r="J979" s="25" t="str">
        <x:v>Exclude</x:v>
      </x:c>
      <x:c r="K979" s="25" t="str">
        <x:v>Exclude: adjacent/redundant or insufficiently theory-generative for DC1</x:v>
      </x:c>
    </x:row>
    <x:row r="980">
      <x:c r="A980" s="20" t="str">
        <x:v>R0976</x:v>
      </x:c>
      <x:c r="B980" s="25" t="str">
        <x:v>Augmented Learning for Joint Creativity in Human-AI Co-Creation</x:v>
      </x:c>
      <x:c r="C980" s="25" t="n">
        <x:v>2025</x:v>
      </x:c>
      <x:c r="D980" s="25" t="str">
        <x:v>Yingyue Luan; Yeun Joon Kim; Jing Zhou; Pengzhao Lyu</x:v>
      </x:c>
      <x:c r="E980" s="25" t="str">
        <x:v>Academy of Management Proceedings</x:v>
      </x:c>
      <x:c r="F980" s="25" t="str">
        <x:v>10.5465/amproc.2025.227bp</x:v>
      </x:c>
      <x:c r="G980" s="25" t="str">
        <x:v>https://doi.org/10.5465/amproc.2025.227bp</x:v>
      </x:c>
      <x:c r="H980" s="25" t="str">
        <x:v>Crossref</x:v>
      </x:c>
      <x:c r="I980" s="25" t="str">
        <x:v>C3_mixed_initiative_cocreation</x:v>
      </x:c>
      <x:c r="J980" s="25" t="str">
        <x:v>Exclude</x:v>
      </x:c>
      <x:c r="K980" s="25" t="str">
        <x:v>Exclude: adjacent/redundant or insufficiently theory-generative for DC1</x:v>
      </x:c>
    </x:row>
    <x:row r="981">
      <x:c r="A981" s="20" t="str">
        <x:v>R0977</x:v>
      </x:c>
      <x:c r="B981" s="25" t="str">
        <x:v>Author Index</x:v>
      </x:c>
      <x:c r="C981" s="25" t="n">
        <x:v>2014</x:v>
      </x:c>
      <x:c r="D981" s="25" t="str"/>
      <x:c r="E981" s="25" t="str">
        <x:v>Plan, Activity, and Intent Recognition</x:v>
      </x:c>
      <x:c r="F981" s="25" t="str">
        <x:v>10.1016/b978-0-12-398532-3.00023-3</x:v>
      </x:c>
      <x:c r="G981" s="25" t="str">
        <x:v>https://doi.org/10.1016/b978-0-12-398532-3.00023-3</x:v>
      </x:c>
      <x:c r="H981" s="25" t="str">
        <x:v>Crossref</x:v>
      </x:c>
      <x:c r="I981" s="25" t="str">
        <x:v>C11_hierarchical_goal_recognition</x:v>
      </x:c>
      <x:c r="J981" s="25" t="str">
        <x:v>Exclude</x:v>
      </x:c>
      <x:c r="K981" s="25" t="str">
        <x:v>Exclude: topic mismatch</x:v>
      </x:c>
    </x:row>
    <x:row r="982">
      <x:c r="A982" s="20" t="str">
        <x:v>R0978</x:v>
      </x:c>
      <x:c r="B982" s="25" t="str">
        <x:v>Autobiographical memory retrieval : overgeneral memory and intrusions</x:v>
      </x:c>
      <x:c r="C982" s="25" t="str"/>
      <x:c r="D982" s="25" t="str">
        <x:v>B.J.A. Hauer</x:v>
      </x:c>
      <x:c r="E982" s="25" t="str"/>
      <x:c r="F982" s="25" t="str">
        <x:v>10.26481/dis.20080222bh</x:v>
      </x:c>
      <x:c r="G982" s="25" t="str">
        <x:v>https://doi.org/10.26481/dis.20080222bh</x:v>
      </x:c>
      <x:c r="H982" s="25" t="str">
        <x:v>Crossref</x:v>
      </x:c>
      <x:c r="I982" s="25" t="str">
        <x:v>C16_memory_conflict_bias</x:v>
      </x:c>
      <x:c r="J982" s="25" t="str">
        <x:v>Exclude</x:v>
      </x:c>
      <x:c r="K982" s="25" t="str">
        <x:v>Exclude: adjacent/redundant or insufficiently theory-generative for DC1</x:v>
      </x:c>
    </x:row>
    <x:row r="983">
      <x:c r="A983" s="20" t="str">
        <x:v>R0979</x:v>
      </x:c>
      <x:c r="B983" s="25" t="str">
        <x:v>Autonomous Information Seeking: A Roadmap for Agentic Recommender Systems</x:v>
      </x:c>
      <x:c r="C983" s="25" t="n">
        <x:v>2026</x:v>
      </x:c>
      <x:c r="D983" s="25" t="str">
        <x:v>Xinyu Lin; Yashar Deldjoo; Sunhao Dai; Honghui Bao; Xiaopeng Ye; Fatemeh Nazary; Wenjie Wang; Tommaso Di Noia; J Q Xu; Tat-Seng Chua</x:v>
      </x:c>
      <x:c r="E983" s="25" t="str">
        <x:v>arXiv (Cornell University)</x:v>
      </x:c>
      <x:c r="F983" s="25" t="str"/>
      <x:c r="G983" s="25" t="str">
        <x:v>https://arxiv.org/abs/2607.04433</x:v>
      </x:c>
      <x:c r="H983" s="25" t="str">
        <x:v>OpenAlex</x:v>
      </x:c>
      <x:c r="I983" s="25" t="str">
        <x:v>C16_memory_conflict_bias</x:v>
      </x:c>
      <x:c r="J983" s="25" t="str">
        <x:v>Exclude</x:v>
      </x:c>
      <x:c r="K983" s="25" t="str">
        <x:v>Exclude: adjacent/redundant or insufficiently theory-generative for DC1</x:v>
      </x:c>
    </x:row>
    <x:row r="984">
      <x:c r="A984" s="20" t="str">
        <x:v>R0980</x:v>
      </x:c>
      <x:c r="B984" s="25" t="str">
        <x:v>BLOCKED STUDIES OF EPISODIC RETRIEVAL</x:v>
      </x:c>
      <x:c r="C984" s="25" t="n">
        <x:v>2005</x:v>
      </x:c>
      <x:c r="D984" s="25" t="str"/>
      <x:c r="E984" s="25" t="str">
        <x:v>The Cognitive Neuroscience of Memory</x:v>
      </x:c>
      <x:c r="F984" s="25" t="str">
        <x:v>10.4324/9780203989388-9</x:v>
      </x:c>
      <x:c r="G984" s="25" t="str">
        <x:v>https://doi.org/10.4324/9780203989388-9</x:v>
      </x:c>
      <x:c r="H984" s="25" t="str">
        <x:v>Crossref</x:v>
      </x:c>
      <x:c r="I984" s="25" t="str">
        <x:v>C5_agent_memory</x:v>
      </x:c>
      <x:c r="J984" s="25" t="str">
        <x:v>Exclude</x:v>
      </x:c>
      <x:c r="K984" s="25" t="str">
        <x:v>Exclude: topic mismatch</x:v>
      </x:c>
    </x:row>
    <x:row r="985">
      <x:c r="A985" s="20" t="str">
        <x:v>R0981</x:v>
      </x:c>
      <x:c r="B985" s="25" t="str">
        <x:v>Beyond Embodied Cognition: Intentionality, Affordance, and Environmental Adaptation</x:v>
      </x:c>
      <x:c r="C985" s="25" t="n">
        <x:v>2019</x:v>
      </x:c>
      <x:c r="D985" s="25" t="str"/>
      <x:c r="E985" s="25" t="str">
        <x:v>Frontiers Research Topics</x:v>
      </x:c>
      <x:c r="F985" s="25" t="str">
        <x:v>10.3389/978-2-88945-815-8</x:v>
      </x:c>
      <x:c r="G985" s="25" t="str">
        <x:v>https://doi.org/10.3389/978-2-88945-815-8</x:v>
      </x:c>
      <x:c r="H985" s="25" t="str">
        <x:v>Crossref</x:v>
      </x:c>
      <x:c r="I985" s="25" t="str">
        <x:v>C10_affordance_embodied</x:v>
      </x:c>
      <x:c r="J985" s="25" t="str">
        <x:v>Exclude</x:v>
      </x:c>
      <x:c r="K985" s="25" t="str">
        <x:v>Exclude: adjacent/redundant or insufficiently theory-generative for DC1</x:v>
      </x:c>
    </x:row>
    <x:row r="986">
      <x:c r="A986" s="20" t="str">
        <x:v>R0982</x:v>
      </x:c>
      <x:c r="B986" s="25" t="str">
        <x:v>Beyond Obedient Tools: A Tensional-Field Relational Ontology for Human-AI Co-creation</x:v>
      </x:c>
      <x:c r="C986" s="25" t="n">
        <x:v>2025</x:v>
      </x:c>
      <x:c r="D986" s="25" t="str">
        <x:v>Ziming Wang; Junyi Zeng; Krity Gera; Ashley Hall</x:v>
      </x:c>
      <x:c r="E986" s="25" t="str">
        <x:v>IASDR 2025: Design Next</x:v>
      </x:c>
      <x:c r="F986" s="25" t="str">
        <x:v>10.21606/iasdr.2025.804</x:v>
      </x:c>
      <x:c r="G986" s="25" t="str">
        <x:v>https://doi.org/10.21606/iasdr.2025.804</x:v>
      </x:c>
      <x:c r="H986" s="25" t="str">
        <x:v>Crossref</x:v>
      </x:c>
      <x:c r="I986" s="25" t="str">
        <x:v>C3_mixed_initiative_cocreation; C7_creative_agency</x:v>
      </x:c>
      <x:c r="J986" s="25" t="str">
        <x:v>Exclude</x:v>
      </x:c>
      <x:c r="K986" s="25" t="str">
        <x:v>Exclude: topic mismatch</x:v>
      </x:c>
    </x:row>
    <x:row r="987">
      <x:c r="A987" s="20" t="str">
        <x:v>R0983</x:v>
      </x:c>
      <x:c r="B987" s="25" t="str">
        <x:v>Blockchain and AI: Securing Intelligent Networks for the Future</x:v>
      </x:c>
      <x:c r="C987" s="25" t="n">
        <x:v>2026</x:v>
      </x:c>
      <x:c r="D987" s="25" t="str">
        <x:v>Joy Dutta; Hossien B. Eldeeb; Tu Dac Ho</x:v>
      </x:c>
      <x:c r="E987" s="25" t="str">
        <x:v>arXiv (Cornell University)</x:v>
      </x:c>
      <x:c r="F987" s="25" t="str"/>
      <x:c r="G987" s="25" t="str">
        <x:v>http://arxiv.org/abs/2604.06323</x:v>
      </x:c>
      <x:c r="H987" s="25" t="str">
        <x:v>OpenAlex</x:v>
      </x:c>
      <x:c r="I987" s="25" t="str">
        <x:v>C16_memory_conflict_bias</x:v>
      </x:c>
      <x:c r="J987" s="25" t="str">
        <x:v>Exclude</x:v>
      </x:c>
      <x:c r="K987" s="25" t="str">
        <x:v>Exclude: topic mismatch</x:v>
      </x:c>
    </x:row>
    <x:row r="988">
      <x:c r="A988" s="20" t="str">
        <x:v>R0984</x:v>
      </x:c>
      <x:c r="B988" s="25" t="str">
        <x:v>Challenges of Generative AI on Human–AI Interaction and Collaboration</x:v>
      </x:c>
      <x:c r="C988" s="25" t="n">
        <x:v>2025</x:v>
      </x:c>
      <x:c r="D988" s="25" t="str">
        <x:v>Shaobo Liang; Yiting Cai</x:v>
      </x:c>
      <x:c r="E988" s="25" t="str">
        <x:v>Human-AI Interaction and Collaboration</x:v>
      </x:c>
      <x:c r="F988" s="25" t="str">
        <x:v>10.1017/9781009587877.012</x:v>
      </x:c>
      <x:c r="G988" s="25" t="str">
        <x:v>https://doi.org/10.1017/9781009587877.012</x:v>
      </x:c>
      <x:c r="H988" s="25" t="str">
        <x:v>Crossref</x:v>
      </x:c>
      <x:c r="I988" s="25" t="str">
        <x:v>C12_common_ground_repair</x:v>
      </x:c>
      <x:c r="J988" s="25" t="str">
        <x:v>Exclude</x:v>
      </x:c>
      <x:c r="K988" s="25" t="str">
        <x:v>Exclude: topic mismatch</x:v>
      </x:c>
    </x:row>
    <x:row r="989">
      <x:c r="A989" s="20" t="str">
        <x:v>R0985</x:v>
      </x:c>
      <x:c r="B989" s="25" t="str">
        <x:v>Changes in frame of reference use across the preschool years: A longitudinal study of the gestures and speech produced during route descriptions</x:v>
      </x:c>
      <x:c r="C989" s="25" t="n">
        <x:v>2020</x:v>
      </x:c>
      <x:c r="D989" s="25" t="str">
        <x:v>Kazuki Sekine</x:v>
      </x:c>
      <x:c r="E989" s="25" t="str">
        <x:v>Speech Accompanying-Gesture</x:v>
      </x:c>
      <x:c r="F989" s="25" t="str">
        <x:v>10.4324/9781003059783-4</x:v>
      </x:c>
      <x:c r="G989" s="25" t="str">
        <x:v>https://doi.org/10.4324/9781003059783-4</x:v>
      </x:c>
      <x:c r="H989" s="25" t="str">
        <x:v>Crossref</x:v>
      </x:c>
      <x:c r="I989" s="25" t="str">
        <x:v>C17_3D_gesture_ambiguity</x:v>
      </x:c>
      <x:c r="J989" s="25" t="str">
        <x:v>Exclude</x:v>
      </x:c>
      <x:c r="K989" s="25" t="str">
        <x:v>Exclude: topic mismatch</x:v>
      </x:c>
    </x:row>
    <x:row r="990">
      <x:c r="A990" s="20" t="str">
        <x:v>R0986</x:v>
      </x:c>
      <x:c r="B990" s="25" t="str">
        <x:v>Chapter 6 Solid Editing Commands</x:v>
      </x:c>
      <x:c r="C990" s="25" t="n">
        <x:v>2021</x:v>
      </x:c>
      <x:c r="D990" s="25" t="str"/>
      <x:c r="E990" s="25" t="str">
        <x:v>AutoCAD 2022 3D Modeling</x:v>
      </x:c>
      <x:c r="F990" s="25" t="str">
        <x:v>10.1515/9781683927266-008</x:v>
      </x:c>
      <x:c r="G990" s="25" t="str">
        <x:v>https://doi.org/10.1515/9781683927266-008</x:v>
      </x:c>
      <x:c r="H990" s="25" t="str">
        <x:v>Crossref</x:v>
      </x:c>
      <x:c r="I990" s="25" t="str">
        <x:v>C8_AI_3D_authoring</x:v>
      </x:c>
      <x:c r="J990" s="25" t="str">
        <x:v>Exclude</x:v>
      </x:c>
      <x:c r="K990" s="25" t="str">
        <x:v>Exclude: topic mismatch</x:v>
      </x:c>
    </x:row>
    <x:row r="991">
      <x:c r="A991" s="20" t="str">
        <x:v>R0987</x:v>
      </x:c>
      <x:c r="B991" s="25" t="str">
        <x:v>Chapter 6 Solid Editing Commands</x:v>
      </x:c>
      <x:c r="C991" s="25" t="n">
        <x:v>2019</x:v>
      </x:c>
      <x:c r="D991" s="25" t="str"/>
      <x:c r="E991" s="25" t="str">
        <x:v>AutoCAD 2020 3D Modeling</x:v>
      </x:c>
      <x:c r="F991" s="25" t="str">
        <x:v>10.1515/9781683923817-008</x:v>
      </x:c>
      <x:c r="G991" s="25" t="str">
        <x:v>https://doi.org/10.1515/9781683923817-008</x:v>
      </x:c>
      <x:c r="H991" s="25" t="str">
        <x:v>Crossref</x:v>
      </x:c>
      <x:c r="I991" s="25" t="str">
        <x:v>C8_AI_3D_authoring</x:v>
      </x:c>
      <x:c r="J991" s="25" t="str">
        <x:v>Exclude</x:v>
      </x:c>
      <x:c r="K991" s="25" t="str">
        <x:v>Exclude: topic mismatch</x:v>
      </x:c>
    </x:row>
    <x:row r="992">
      <x:c r="A992" s="20" t="str">
        <x:v>R0988</x:v>
      </x:c>
      <x:c r="B992" s="25" t="str">
        <x:v>Chapter 6 Solid Editing Commands</x:v>
      </x:c>
      <x:c r="C992" s="25" t="n">
        <x:v>2022</x:v>
      </x:c>
      <x:c r="D992" s="25" t="str"/>
      <x:c r="E992" s="25" t="str">
        <x:v>AutoCAD 2023 3D Modeling</x:v>
      </x:c>
      <x:c r="F992" s="25" t="str">
        <x:v>10.1515/9781683928492-008</x:v>
      </x:c>
      <x:c r="G992" s="25" t="str">
        <x:v>https://doi.org/10.1515/9781683928492-008</x:v>
      </x:c>
      <x:c r="H992" s="25" t="str">
        <x:v>Crossref</x:v>
      </x:c>
      <x:c r="I992" s="25" t="str">
        <x:v>C8_AI_3D_authoring</x:v>
      </x:c>
      <x:c r="J992" s="25" t="str">
        <x:v>Exclude</x:v>
      </x:c>
      <x:c r="K992" s="25" t="str">
        <x:v>Exclude: topic mismatch</x:v>
      </x:c>
    </x:row>
    <x:row r="993">
      <x:c r="A993" s="20" t="str">
        <x:v>R0989</x:v>
      </x:c>
      <x:c r="B993" s="25" t="str">
        <x:v>Chapter 6: A Direct Manipulation Interface for User Feedback</x:v>
      </x:c>
      <x:c r="C993" s="25" t="n">
        <x:v>1994</x:v>
      </x:c>
      <x:c r="D993" s="25" t="str"/>
      <x:c r="E993" s="25" t="str">
        <x:v>Participating in Explanatory Dialogues</x:v>
      </x:c>
      <x:c r="F993" s="25" t="str">
        <x:v>10.7551/mitpress/5247.003.0008</x:v>
      </x:c>
      <x:c r="G993" s="25" t="str">
        <x:v>https://doi.org/10.7551/mitpress/5247.003.0008</x:v>
      </x:c>
      <x:c r="H993" s="25" t="str">
        <x:v>Crossref</x:v>
      </x:c>
      <x:c r="I993" s="25" t="str">
        <x:v>C1_3D_mental_models</x:v>
      </x:c>
      <x:c r="J993" s="25" t="str">
        <x:v>Exclude</x:v>
      </x:c>
      <x:c r="K993" s="25" t="str">
        <x:v>Exclude: adjacent/redundant or insufficiently theory-generative for DC1</x:v>
      </x:c>
    </x:row>
    <x:row r="994">
      <x:c r="A994" s="20" t="str">
        <x:v>R0990</x:v>
      </x:c>
      <x:c r="B994" s="25" t="str">
        <x:v>Chapter 6: Solid Editing Commands</x:v>
      </x:c>
      <x:c r="C994" s="25" t="n">
        <x:v>2012</x:v>
      </x:c>
      <x:c r="D994" s="25" t="str"/>
      <x:c r="E994" s="25" t="str">
        <x:v>AutoCAD 2013 3D Modeling</x:v>
      </x:c>
      <x:c r="F994" s="25" t="str">
        <x:v>10.1515/9781937585105-010</x:v>
      </x:c>
      <x:c r="G994" s="25" t="str">
        <x:v>https://doi.org/10.1515/9781937585105-010</x:v>
      </x:c>
      <x:c r="H994" s="25" t="str">
        <x:v>Crossref</x:v>
      </x:c>
      <x:c r="I994" s="25" t="str">
        <x:v>C8_AI_3D_authoring</x:v>
      </x:c>
      <x:c r="J994" s="25" t="str">
        <x:v>Exclude</x:v>
      </x:c>
      <x:c r="K994" s="25" t="str">
        <x:v>Exclude: topic mismatch</x:v>
      </x:c>
    </x:row>
    <x:row r="995">
      <x:c r="A995" s="20" t="str">
        <x:v>R0991</x:v>
      </x:c>
      <x:c r="B995" s="25" t="str">
        <x:v>Chapter 6: Solid Editing Commands</x:v>
      </x:c>
      <x:c r="C995" s="25" t="n">
        <x:v>2018</x:v>
      </x:c>
      <x:c r="D995" s="25" t="str"/>
      <x:c r="E995" s="25" t="str">
        <x:v>AutoCAD 2019 3D Modeling</x:v>
      </x:c>
      <x:c r="F995" s="25" t="str">
        <x:v>10.1515/9781683922582-008</x:v>
      </x:c>
      <x:c r="G995" s="25" t="str">
        <x:v>https://doi.org/10.1515/9781683922582-008</x:v>
      </x:c>
      <x:c r="H995" s="25" t="str">
        <x:v>Crossref</x:v>
      </x:c>
      <x:c r="I995" s="25" t="str">
        <x:v>C8_AI_3D_authoring</x:v>
      </x:c>
      <x:c r="J995" s="25" t="str">
        <x:v>Exclude</x:v>
      </x:c>
      <x:c r="K995" s="25" t="str">
        <x:v>Exclude: topic mismatch</x:v>
      </x:c>
    </x:row>
    <x:row r="996">
      <x:c r="A996" s="20" t="str">
        <x:v>R0992</x:v>
      </x:c>
      <x:c r="B996" s="25" t="str">
        <x:v>Chapter 6: Solid Editing Commands</x:v>
      </x:c>
      <x:c r="C996" s="25" t="n">
        <x:v>2016</x:v>
      </x:c>
      <x:c r="D996" s="25" t="str"/>
      <x:c r="E996" s="25" t="str">
        <x:v>AutoCAD 2017 3D Modeling</x:v>
      </x:c>
      <x:c r="F996" s="25" t="str">
        <x:v>10.1515/9781501521850-008</x:v>
      </x:c>
      <x:c r="G996" s="25" t="str">
        <x:v>https://doi.org/10.1515/9781501521850-008</x:v>
      </x:c>
      <x:c r="H996" s="25" t="str">
        <x:v>Crossref</x:v>
      </x:c>
      <x:c r="I996" s="25" t="str">
        <x:v>C8_AI_3D_authoring</x:v>
      </x:c>
      <x:c r="J996" s="25" t="str">
        <x:v>Exclude</x:v>
      </x:c>
      <x:c r="K996" s="25" t="str">
        <x:v>Exclude: topic mismatch</x:v>
      </x:c>
    </x:row>
    <x:row r="997">
      <x:c r="A997" s="20" t="str">
        <x:v>R0993</x:v>
      </x:c>
      <x:c r="B997" s="25" t="str">
        <x:v>Chapter 6: Solid Editing Commands</x:v>
      </x:c>
      <x:c r="C997" s="25" t="n">
        <x:v>2017</x:v>
      </x:c>
      <x:c r="D997" s="25" t="str"/>
      <x:c r="E997" s="25" t="str">
        <x:v>AutoCAD 2018 3D Modeling</x:v>
      </x:c>
      <x:c r="F997" s="25" t="str">
        <x:v>10.1515/9781683922568-008</x:v>
      </x:c>
      <x:c r="G997" s="25" t="str">
        <x:v>https://doi.org/10.1515/9781683922568-008</x:v>
      </x:c>
      <x:c r="H997" s="25" t="str">
        <x:v>Crossref</x:v>
      </x:c>
      <x:c r="I997" s="25" t="str">
        <x:v>C8_AI_3D_authoring</x:v>
      </x:c>
      <x:c r="J997" s="25" t="str">
        <x:v>Exclude</x:v>
      </x:c>
      <x:c r="K997" s="25" t="str">
        <x:v>Exclude: topic mismatch</x:v>
      </x:c>
    </x:row>
    <x:row r="998">
      <x:c r="A998" s="20" t="str">
        <x:v>R0994</x:v>
      </x:c>
      <x:c r="B998" s="25" t="str">
        <x:v>Chapter 6: Solid Editing Commands</x:v>
      </x:c>
      <x:c r="C998" s="25" t="n">
        <x:v>2015</x:v>
      </x:c>
      <x:c r="D998" s="25" t="str"/>
      <x:c r="E998" s="25" t="str">
        <x:v>AutoCAD 2015 3D Modeling</x:v>
      </x:c>
      <x:c r="F998" s="25" t="str">
        <x:v>10.1515/9781942270331-009</x:v>
      </x:c>
      <x:c r="G998" s="25" t="str">
        <x:v>https://doi.org/10.1515/9781942270331-009</x:v>
      </x:c>
      <x:c r="H998" s="25" t="str">
        <x:v>Crossref</x:v>
      </x:c>
      <x:c r="I998" s="25" t="str">
        <x:v>C8_AI_3D_authoring</x:v>
      </x:c>
      <x:c r="J998" s="25" t="str">
        <x:v>Exclude</x:v>
      </x:c>
      <x:c r="K998" s="25" t="str">
        <x:v>Exclude: topic mismatch</x:v>
      </x:c>
    </x:row>
    <x:row r="999">
      <x:c r="A999" s="20" t="str">
        <x:v>R0995</x:v>
      </x:c>
      <x:c r="B999" s="25" t="str">
        <x:v>Chapter 6: Solid Editing Commands</x:v>
      </x:c>
      <x:c r="C999" s="25" t="n">
        <x:v>2024</x:v>
      </x:c>
      <x:c r="D999" s="25" t="str"/>
      <x:c r="E999" s="25" t="str">
        <x:v>AutoCAD 2025 3D Modeling</x:v>
      </x:c>
      <x:c r="F999" s="25" t="str">
        <x:v>10.1515/9781501520457-008</x:v>
      </x:c>
      <x:c r="G999" s="25" t="str">
        <x:v>https://doi.org/10.1515/9781501520457-008</x:v>
      </x:c>
      <x:c r="H999" s="25" t="str">
        <x:v>Crossref</x:v>
      </x:c>
      <x:c r="I999" s="25" t="str">
        <x:v>C8_AI_3D_authoring</x:v>
      </x:c>
      <x:c r="J999" s="25" t="str">
        <x:v>Exclude</x:v>
      </x:c>
      <x:c r="K999" s="25" t="str">
        <x:v>Exclude: topic mismatch</x:v>
      </x:c>
    </x:row>
    <x:row r="1000">
      <x:c r="A1000" s="20" t="str">
        <x:v>R0996</x:v>
      </x:c>
      <x:c r="B1000" s="25" t="str">
        <x:v>Chapter 6: Solid Editing Commands</x:v>
      </x:c>
      <x:c r="C1000" s="25" t="n">
        <x:v>2011</x:v>
      </x:c>
      <x:c r="D1000" s="25" t="str"/>
      <x:c r="E1000" s="25" t="str">
        <x:v>AutoCAD® 2012 3D Modeling</x:v>
      </x:c>
      <x:c r="F1000" s="25" t="str">
        <x:v>10.1515/9781936420476-010</x:v>
      </x:c>
      <x:c r="G1000" s="25" t="str">
        <x:v>https://doi.org/10.1515/9781936420476-010</x:v>
      </x:c>
      <x:c r="H1000" s="25" t="str">
        <x:v>Crossref</x:v>
      </x:c>
      <x:c r="I1000" s="25" t="str">
        <x:v>C8_AI_3D_authoring</x:v>
      </x:c>
      <x:c r="J1000" s="25" t="str">
        <x:v>Exclude</x:v>
      </x:c>
      <x:c r="K1000" s="25" t="str">
        <x:v>Exclude: topic mismatch</x:v>
      </x:c>
    </x:row>
    <x:row r="1001">
      <x:c r="A1001" s="20" t="str">
        <x:v>R0997</x:v>
      </x:c>
      <x:c r="B1001" s="25" t="str">
        <x:v>Chapter 6: Solid Editing Commands</x:v>
      </x:c>
      <x:c r="C1001" s="25" t="n">
        <x:v>2023</x:v>
      </x:c>
      <x:c r="D1001" s="25" t="str"/>
      <x:c r="E1001" s="25" t="str">
        <x:v>AutoCAD 2024 3D Modeling</x:v>
      </x:c>
      <x:c r="F1001" s="25" t="str">
        <x:v>10.1515/9781683929307-008</x:v>
      </x:c>
      <x:c r="G1001" s="25" t="str">
        <x:v>https://doi.org/10.1515/9781683929307-008</x:v>
      </x:c>
      <x:c r="H1001" s="25" t="str">
        <x:v>Crossref</x:v>
      </x:c>
      <x:c r="I1001" s="25" t="str">
        <x:v>C8_AI_3D_authoring</x:v>
      </x:c>
      <x:c r="J1001" s="25" t="str">
        <x:v>Exclude</x:v>
      </x:c>
      <x:c r="K1001" s="25" t="str">
        <x:v>Exclude: topic mismatch</x:v>
      </x:c>
    </x:row>
    <x:row r="1002">
      <x:c r="A1002" s="20" t="str">
        <x:v>R0998</x:v>
      </x:c>
      <x:c r="B1002" s="25" t="str">
        <x:v>Chapter 6: Solid Editing Commands</x:v>
      </x:c>
      <x:c r="C1002" s="25" t="n">
        <x:v>2013</x:v>
      </x:c>
      <x:c r="D1002" s="25" t="str"/>
      <x:c r="E1002" s="25" t="str">
        <x:v>AutoCAD 2014 3D Modeling</x:v>
      </x:c>
      <x:c r="F1002" s="25" t="str">
        <x:v>10.1515/9781938549922-010</x:v>
      </x:c>
      <x:c r="G1002" s="25" t="str">
        <x:v>https://doi.org/10.1515/9781938549922-010</x:v>
      </x:c>
      <x:c r="H1002" s="25" t="str">
        <x:v>Crossref</x:v>
      </x:c>
      <x:c r="I1002" s="25" t="str">
        <x:v>C8_AI_3D_authoring</x:v>
      </x:c>
      <x:c r="J1002" s="25" t="str">
        <x:v>Exclude</x:v>
      </x:c>
      <x:c r="K1002" s="25" t="str">
        <x:v>Exclude: topic mismatch</x:v>
      </x:c>
    </x:row>
    <x:row r="1003">
      <x:c r="A1003" s="20" t="str">
        <x:v>R0999</x:v>
      </x:c>
      <x:c r="B1003" s="25" t="str">
        <x:v>Chapter 6: Solid Editing Commands</x:v>
      </x:c>
      <x:c r="C1003" s="25" t="n">
        <x:v>2016</x:v>
      </x:c>
      <x:c r="D1003" s="25" t="str"/>
      <x:c r="E1003" s="25" t="str">
        <x:v>AutoCAD 2016. 3D Modeling PB+CD</x:v>
      </x:c>
      <x:c r="F1003" s="25" t="str">
        <x:v>10.1515/9781942270539-009</x:v>
      </x:c>
      <x:c r="G1003" s="25" t="str">
        <x:v>https://doi.org/10.1515/9781942270539-009</x:v>
      </x:c>
      <x:c r="H1003" s="25" t="str">
        <x:v>Crossref</x:v>
      </x:c>
      <x:c r="I1003" s="25" t="str">
        <x:v>C8_AI_3D_authoring</x:v>
      </x:c>
      <x:c r="J1003" s="25" t="str">
        <x:v>Exclude</x:v>
      </x:c>
      <x:c r="K1003" s="25" t="str">
        <x:v>Exclude: topic mismatch</x:v>
      </x:c>
    </x:row>
    <x:row r="1004">
      <x:c r="A1004" s="20" t="str">
        <x:v>R1000</x:v>
      </x:c>
      <x:c r="B1004" s="25" t="str">
        <x:v>Classifying Documents with Human-AI-Collaboration: Introducing the Human-AI Collaboration in Classification Utility Framework</x:v>
      </x:c>
      <x:c r="C1004" s="25" t="n">
        <x:v>2024</x:v>
      </x:c>
      <x:c r="D1004" s="25" t="str">
        <x:v>Sebastian Block; Dominic Nyhuis; Martin Gross; Morten Harmening; Jan Velimsky</x:v>
      </x:c>
      <x:c r="E1004" s="25" t="str"/>
      <x:c r="F1004" s="25" t="str">
        <x:v>10.31219/osf.io/5m8vx</x:v>
      </x:c>
      <x:c r="G1004" s="25" t="str">
        <x:v>https://doi.org/10.31219/osf.io/5m8vx</x:v>
      </x:c>
      <x:c r="H1004" s="25" t="str">
        <x:v>Crossref</x:v>
      </x:c>
      <x:c r="I1004" s="25" t="str">
        <x:v>C12_common_ground_repair</x:v>
      </x:c>
      <x:c r="J1004" s="25" t="str">
        <x:v>Exclude</x:v>
      </x:c>
      <x:c r="K1004" s="25" t="str">
        <x:v>Exclude: topic mismatch</x:v>
      </x:c>
    </x:row>
    <x:row r="1005">
      <x:c r="A1005" s="20" t="str">
        <x:v>R1001</x:v>
      </x:c>
      <x:c r="B1005" s="25" t="str">
        <x:v>Cognitive Task Analysis Using ATLAS</x:v>
      </x:c>
      <x:c r="C1005" s="25" t="n">
        <x:v>2000</x:v>
      </x:c>
      <x:c r="D1005" s="25" t="str"/>
      <x:c r="E1005" s="25" t="str">
        <x:v>Cognitive Task Analysis</x:v>
      </x:c>
      <x:c r="F1005" s="25" t="str">
        <x:v>10.4324/9781410605795-24</x:v>
      </x:c>
      <x:c r="G1005" s="25" t="str">
        <x:v>https://doi.org/10.4324/9781410605795-24</x:v>
      </x:c>
      <x:c r="H1005" s="25" t="str">
        <x:v>Crossref</x:v>
      </x:c>
      <x:c r="I1005" s="25" t="str">
        <x:v>C18_video_intent_coding_VLM_annotation</x:v>
      </x:c>
      <x:c r="J1005" s="25" t="str">
        <x:v>Exclude</x:v>
      </x:c>
      <x:c r="K1005" s="25" t="str">
        <x:v>Exclude: topic mismatch</x:v>
      </x:c>
    </x:row>
    <x:row r="1006">
      <x:c r="A1006" s="20" t="str">
        <x:v>R1002</x:v>
      </x:c>
      <x:c r="B1006" s="25" t="str">
        <x:v>Cognitive algorithms and systems of episodic memory, semantic memory, and their learnings</x:v>
      </x:c>
      <x:c r="C1006" s="25" t="n">
        <x:v>2025</x:v>
      </x:c>
      <x:c r="D1006" s="25" t="str">
        <x:v>Qi Zhang</x:v>
      </x:c>
      <x:c r="E1006" s="25" t="str"/>
      <x:c r="F1006" s="25" t="str">
        <x:v>10.31234/osf.io/uxdza_v1</x:v>
      </x:c>
      <x:c r="G1006" s="25" t="str">
        <x:v>https://doi.org/10.31234/osf.io/uxdza_v1</x:v>
      </x:c>
      <x:c r="H1006" s="25" t="str">
        <x:v>Crossref</x:v>
      </x:c>
      <x:c r="I1006" s="25" t="str">
        <x:v>C5_agent_memory</x:v>
      </x:c>
      <x:c r="J1006" s="25" t="str">
        <x:v>Exclude</x:v>
      </x:c>
      <x:c r="K1006" s="25" t="str">
        <x:v>Exclude: adjacent/redundant or insufficiently theory-generative for DC1</x:v>
      </x:c>
    </x:row>
    <x:row r="1007">
      <x:c r="A1007" s="20" t="str">
        <x:v>R1003</x:v>
      </x:c>
      <x:c r="B1007" s="25" t="str">
        <x:v>Common Ground</x:v>
      </x:c>
      <x:c r="C1007" s="25" t="n">
        <x:v>2014</x:v>
      </x:c>
      <x:c r="D1007" s="25" t="str">
        <x:v>Judith S. Olson; Gary M. Olson</x:v>
      </x:c>
      <x:c r="E1007" s="25" t="str">
        <x:v>Synthesis Lectures on Human-Centered Informatics</x:v>
      </x:c>
      <x:c r="F1007" s="25" t="str">
        <x:v>10.1007/978-3-031-02203-6_6</x:v>
      </x:c>
      <x:c r="G1007" s="25" t="str">
        <x:v>https://doi.org/10.1007/978-3-031-02203-6_6</x:v>
      </x:c>
      <x:c r="H1007" s="25" t="str">
        <x:v>Crossref</x:v>
      </x:c>
      <x:c r="I1007" s="25" t="str">
        <x:v>C12_common_ground_repair</x:v>
      </x:c>
      <x:c r="J1007" s="25" t="str">
        <x:v>Exclude</x:v>
      </x:c>
      <x:c r="K1007" s="25" t="str">
        <x:v>Exclude: topic mismatch</x:v>
      </x:c>
    </x:row>
    <x:row r="1008">
      <x:c r="A1008" s="20" t="str">
        <x:v>R1004</x:v>
      </x:c>
      <x:c r="B1008" s="25" t="str">
        <x:v>Common Human Condition</x:v>
      </x:c>
      <x:c r="C1008" s="25" t="n">
        <x:v>2010</x:v>
      </x:c>
      <x:c r="D1008" s="25" t="str"/>
      <x:c r="E1008" s="25" t="str">
        <x:v>Human Behavior in a Just World</x:v>
      </x:c>
      <x:c r="F1008" s="25" t="str">
        <x:v>10.5040/9798216384885.ch-002</x:v>
      </x:c>
      <x:c r="G1008" s="25" t="str">
        <x:v>https://doi.org/10.5040/9798216384885.ch-002</x:v>
      </x:c>
      <x:c r="H1008" s="25" t="str">
        <x:v>Crossref</x:v>
      </x:c>
      <x:c r="I1008" s="25" t="str">
        <x:v>C12_common_ground_repair</x:v>
      </x:c>
      <x:c r="J1008" s="25" t="str">
        <x:v>Exclude</x:v>
      </x:c>
      <x:c r="K1008" s="25" t="str">
        <x:v>Exclude: topic mismatch</x:v>
      </x:c>
    </x:row>
    <x:row r="1009">
      <x:c r="A1009" s="20" t="str">
        <x:v>R1005</x:v>
      </x:c>
      <x:c r="B1009" s="25" t="str">
        <x:v>Common Mode Grounding</x:v>
      </x:c>
      <x:c r="C1009" s="25" t="n">
        <x:v>2024</x:v>
      </x:c>
      <x:c r="D1009" s="25" t="str"/>
      <x:c r="E1009" s="25" t="str">
        <x:v>Design of Shipboard Power System Grounding/Earthing</x:v>
      </x:c>
      <x:c r="F1009" s="25" t="str">
        <x:v>10.1002/9781119933113.ch13</x:v>
      </x:c>
      <x:c r="G1009" s="25" t="str">
        <x:v>https://doi.org/10.1002/9781119933113.ch13</x:v>
      </x:c>
      <x:c r="H1009" s="25" t="str">
        <x:v>Crossref</x:v>
      </x:c>
      <x:c r="I1009" s="25" t="str">
        <x:v>C12_common_ground_repair</x:v>
      </x:c>
      <x:c r="J1009" s="25" t="str">
        <x:v>Exclude</x:v>
      </x:c>
      <x:c r="K1009" s="25" t="str">
        <x:v>Exclude: topic mismatch</x:v>
      </x:c>
    </x:row>
    <x:row r="1010">
      <x:c r="A1010" s="20" t="str">
        <x:v>R1006</x:v>
      </x:c>
      <x:c r="B1010" s="25" t="str">
        <x:v>Comparative Law and Common Frame of Reference</x:v>
      </x:c>
      <x:c r="C1010" s="25" t="n">
        <x:v>2009</x:v>
      </x:c>
      <x:c r="D1010" s="25" t="str"/>
      <x:c r="E1010" s="25" t="str">
        <x:v>Common Frame of Reference and Existing EC Contract Law</x:v>
      </x:c>
      <x:c r="F1010" s="25" t="str">
        <x:v>10.1515/9783866538009.1.25</x:v>
      </x:c>
      <x:c r="G1010" s="25" t="str">
        <x:v>https://doi.org/10.1515/9783866538009.1.25</x:v>
      </x:c>
      <x:c r="H1010" s="25" t="str">
        <x:v>Crossref</x:v>
      </x:c>
      <x:c r="I1010" s="25" t="str">
        <x:v>C17_3D_gesture_ambiguity</x:v>
      </x:c>
      <x:c r="J1010" s="25" t="str">
        <x:v>Exclude</x:v>
      </x:c>
      <x:c r="K1010" s="25" t="str">
        <x:v>Exclude: topic mismatch</x:v>
      </x:c>
    </x:row>
    <x:row r="1011">
      <x:c r="A1011" s="20" t="str">
        <x:v>R1007</x:v>
      </x:c>
      <x:c r="B1011" s="25" t="str">
        <x:v>Computers in control: Rational transfer of authority or irresponsible abdication of autonomy?</x:v>
      </x:c>
      <x:c r="C1011" s="25" t="n">
        <x:v>2017</x:v>
      </x:c>
      <x:c r="D1011" s="25" t="str">
        <x:v>Arthur Kuflik</x:v>
      </x:c>
      <x:c r="E1011" s="25" t="str">
        <x:v>Computer Ethics</x:v>
      </x:c>
      <x:c r="F1011" s="25" t="str">
        <x:v>10.4324/9781315259697-40</x:v>
      </x:c>
      <x:c r="G1011" s="25" t="str">
        <x:v>https://doi.org/10.4324/9781315259697-40</x:v>
      </x:c>
      <x:c r="H1011" s="25" t="str">
        <x:v>Crossref</x:v>
      </x:c>
      <x:c r="I1011" s="25" t="str">
        <x:v>C9_human_agent_handoff</x:v>
      </x:c>
      <x:c r="J1011" s="25" t="str">
        <x:v>Exclude</x:v>
      </x:c>
      <x:c r="K1011" s="25" t="str">
        <x:v>Exclude: adjacent/redundant or insufficiently theory-generative for DC1</x:v>
      </x:c>
    </x:row>
    <x:row r="1012">
      <x:c r="A1012" s="20" t="str">
        <x:v>R1008</x:v>
      </x:c>
      <x:c r="B1012" s="25" t="str">
        <x:v>Conceptual Modeling in Product Design within Virtual Reality Environments: Interaction and Geometry Representation</x:v>
      </x:c>
      <x:c r="C1012" s="25" t="n">
        <x:v>2020</x:v>
      </x:c>
      <x:c r="D1012" s="25" t="str">
        <x:v>Marcello Lorusso; Giorgio Colombo; Marco Rossoni</x:v>
      </x:c>
      <x:c r="E1012" s="25" t="str">
        <x:v>CAD'20</x:v>
      </x:c>
      <x:c r="F1012" s="25" t="str">
        <x:v>10.14733/cadconfp.2020.162-166</x:v>
      </x:c>
      <x:c r="G1012" s="25" t="str">
        <x:v>https://doi.org/10.14733/cadconfp.2020.162-166</x:v>
      </x:c>
      <x:c r="H1012" s="25" t="str">
        <x:v>Crossref</x:v>
      </x:c>
      <x:c r="I1012" s="25" t="str">
        <x:v>C13_CAD_design_intent</x:v>
      </x:c>
      <x:c r="J1012" s="25" t="str">
        <x:v>Exclude</x:v>
      </x:c>
      <x:c r="K1012" s="25" t="str">
        <x:v>Exclude: topic mismatch</x:v>
      </x:c>
    </x:row>
    <x:row r="1013">
      <x:c r="A1013" s="20" t="str">
        <x:v>R1009</x:v>
      </x:c>
      <x:c r="B1013" s="25" t="str">
        <x:v>Conflict Archaeology, Historical Memory, and Commemoration</x:v>
      </x:c>
      <x:c r="C1013" s="25" t="n">
        <x:v>2023</x:v>
      </x:c>
      <x:c r="D1013" s="25" t="str"/>
      <x:c r="E1013" s="25" t="str">
        <x:v>Conflict Archaeology, Historical Memory, and the Experience of War</x:v>
      </x:c>
      <x:c r="F1013" s="25" t="str">
        <x:v>10.5744/florida/9780813069562.003.0001</x:v>
      </x:c>
      <x:c r="G1013" s="25" t="str">
        <x:v>https://doi.org/10.5744/florida/9780813069562.003.0001</x:v>
      </x:c>
      <x:c r="H1013" s="25" t="str">
        <x:v>Crossref</x:v>
      </x:c>
      <x:c r="I1013" s="25" t="str">
        <x:v>C16_memory_conflict_bias</x:v>
      </x:c>
      <x:c r="J1013" s="25" t="str">
        <x:v>Exclude</x:v>
      </x:c>
      <x:c r="K1013" s="25" t="str">
        <x:v>Exclude: adjacent/redundant or insufficiently theory-generative for DC1</x:v>
      </x:c>
    </x:row>
    <x:row r="1014">
      <x:c r="A1014" s="20" t="str">
        <x:v>R1010</x:v>
      </x:c>
      <x:c r="B1014" s="25" t="str">
        <x:v>Conflict Simulation for Shared Autonomy in Autonomous Driving</x:v>
      </x:c>
      <x:c r="C1014" s="25" t="n">
        <x:v>2024</x:v>
      </x:c>
      <x:c r="D1014" s="25" t="str">
        <x:v>Stefan Reitmann; Tsvetomila Mihaylova; Elin Anna Topp; Ville Kyrki</x:v>
      </x:c>
      <x:c r="E1014" s="25" t="str">
        <x:v>Companion of the 2024 ACM/IEEE International Conference on Human-Robot Interaction</x:v>
      </x:c>
      <x:c r="F1014" s="25" t="str">
        <x:v>10.1145/3610978.3640589</x:v>
      </x:c>
      <x:c r="G1014" s="25" t="str">
        <x:v>https://doi.org/10.1145/3610978.3640589</x:v>
      </x:c>
      <x:c r="H1014" s="25" t="str">
        <x:v>Crossref</x:v>
      </x:c>
      <x:c r="I1014" s="25" t="str">
        <x:v>C4_uncertainty_shared_autonomy</x:v>
      </x:c>
      <x:c r="J1014" s="25" t="str">
        <x:v>Exclude</x:v>
      </x:c>
      <x:c r="K1014" s="25" t="str">
        <x:v>Exclude: adjacent/redundant or insufficiently theory-generative for DC1</x:v>
      </x:c>
    </x:row>
    <x:row r="1015">
      <x:c r="A1015" s="20" t="str">
        <x:v>R1011</x:v>
      </x:c>
      <x:c r="B1015" s="25" t="str">
        <x:v>Constraint-Based Inference: A Bridge Between Constraint Processing and Probability Inference</x:v>
      </x:c>
      <x:c r="C1015" s="25" t="n">
        <x:v>2005</x:v>
      </x:c>
      <x:c r="D1015" s="25" t="str">
        <x:v>Le Chang; Alan K. Mackworth</x:v>
      </x:c>
      <x:c r="E1015" s="25" t="str">
        <x:v>Lecture Notes in Computer Science</x:v>
      </x:c>
      <x:c r="F1015" s="25" t="str">
        <x:v>10.1007/11564751_82</x:v>
      </x:c>
      <x:c r="G1015" s="25" t="str">
        <x:v>https://doi.org/10.1007/11564751_82</x:v>
      </x:c>
      <x:c r="H1015" s="25" t="str">
        <x:v>Crossref</x:v>
      </x:c>
      <x:c r="I1015" s="25" t="str">
        <x:v>C17_3D_gesture_ambiguity</x:v>
      </x:c>
      <x:c r="J1015" s="25" t="str">
        <x:v>Exclude</x:v>
      </x:c>
      <x:c r="K1015" s="25" t="str">
        <x:v>Exclude: topic mismatch</x:v>
      </x:c>
    </x:row>
    <x:row r="1016">
      <x:c r="A1016" s="20" t="str">
        <x:v>R1012</x:v>
      </x:c>
      <x:c r="B1016" s="25" t="str">
        <x:v>Contribution of dorsal versus ventral hippocampus to the hierarchical modulation of goal-directed action</x:v>
      </x:c>
      <x:c r="C1016" s="25" t="n">
        <x:v>2023</x:v>
      </x:c>
      <x:c r="D1016" s="25" t="str">
        <x:v>Robin Piquet; Angélique Faugère; Shauna L. Parkes</x:v>
      </x:c>
      <x:c r="E1016" s="25" t="str"/>
      <x:c r="F1016" s="25" t="str">
        <x:v>10.1101/2023.05.23.541867</x:v>
      </x:c>
      <x:c r="G1016" s="25" t="str">
        <x:v>https://doi.org/10.1101/2023.05.23.541867</x:v>
      </x:c>
      <x:c r="H1016" s="25" t="str">
        <x:v>Crossref</x:v>
      </x:c>
      <x:c r="I1016" s="25" t="str">
        <x:v>C11_hierarchical_goal_recognition</x:v>
      </x:c>
      <x:c r="J1016" s="25" t="str">
        <x:v>Exclude</x:v>
      </x:c>
      <x:c r="K1016" s="25" t="str">
        <x:v>Exclude: adjacent/redundant or insufficiently theory-generative for DC1</x:v>
      </x:c>
    </x:row>
    <x:row r="1017">
      <x:c r="A1017" s="20" t="str">
        <x:v>R1013</x:v>
      </x:c>
      <x:c r="B1017" s="25" t="str">
        <x:v>Convective Mass Transfer Boundary Conditions</x:v>
      </x:c>
      <x:c r="C1017" s="25" t="n">
        <x:v>2025</x:v>
      </x:c>
      <x:c r="D1017" s="25" t="str">
        <x:v>Steven Beale</x:v>
      </x:c>
      <x:c r="E1017" s="25" t="str"/>
      <x:c r="F1017" s="25" t="str">
        <x:v>10.2139/ssrn.5375581</x:v>
      </x:c>
      <x:c r="G1017" s="25" t="str">
        <x:v>https://doi.org/10.2139/ssrn.5375581</x:v>
      </x:c>
      <x:c r="H1017" s="25" t="str">
        <x:v>Crossref</x:v>
      </x:c>
      <x:c r="I1017" s="25" t="str">
        <x:v>C9_human_agent_handoff</x:v>
      </x:c>
      <x:c r="J1017" s="25" t="str">
        <x:v>Exclude</x:v>
      </x:c>
      <x:c r="K1017" s="25" t="str">
        <x:v>Exclude: topic mismatch</x:v>
      </x:c>
    </x:row>
    <x:row r="1018">
      <x:c r="A1018" s="20" t="str">
        <x:v>R1014</x:v>
      </x:c>
      <x:c r="B1018" s="25" t="str">
        <x:v>Copyright</x:v>
      </x:c>
      <x:c r="C1018" s="25" t="n">
        <x:v>2014</x:v>
      </x:c>
      <x:c r="D1018" s="25" t="str"/>
      <x:c r="E1018" s="25" t="str">
        <x:v>Plan, Activity, and Intent Recognition</x:v>
      </x:c>
      <x:c r="F1018" s="25" t="str">
        <x:v>10.1016/b978-0-12-398532-3.00017-8</x:v>
      </x:c>
      <x:c r="G1018" s="25" t="str">
        <x:v>https://doi.org/10.1016/b978-0-12-398532-3.00017-8</x:v>
      </x:c>
      <x:c r="H1018" s="25" t="str">
        <x:v>Crossref</x:v>
      </x:c>
      <x:c r="I1018" s="25" t="str">
        <x:v>C11_hierarchical_goal_recognition</x:v>
      </x:c>
      <x:c r="J1018" s="25" t="str">
        <x:v>Exclude</x:v>
      </x:c>
      <x:c r="K1018" s="25" t="str">
        <x:v>Exclude: topic mismatch</x:v>
      </x:c>
    </x:row>
    <x:row r="1019">
      <x:c r="A1019" s="20" t="str">
        <x:v>R1015</x:v>
      </x:c>
      <x:c r="B1019" s="25" t="str">
        <x:v>Creation and Allocation of Property Rights</x:v>
      </x:c>
      <x:c r="C1019" s="25" t="str"/>
      <x:c r="D1019" s="25" t="str"/>
      <x:c r="E1019" s="25" t="str">
        <x:v>Law and the Human Body : Property Rights, Ownership and Control</x:v>
      </x:c>
      <x:c r="F1019" s="25" t="str">
        <x:v>10.5040/9781474200592.ch-006</x:v>
      </x:c>
      <x:c r="G1019" s="25" t="str">
        <x:v>https://doi.org/10.5040/9781474200592.ch-006</x:v>
      </x:c>
      <x:c r="H1019" s="25" t="str">
        <x:v>Crossref</x:v>
      </x:c>
      <x:c r="I1019" s="25" t="str">
        <x:v>C14_agency_ownership</x:v>
      </x:c>
      <x:c r="J1019" s="25" t="str">
        <x:v>Exclude</x:v>
      </x:c>
      <x:c r="K1019" s="25" t="str">
        <x:v>Exclude: topic mismatch</x:v>
      </x:c>
    </x:row>
    <x:row r="1020">
      <x:c r="A1020" s="20" t="str">
        <x:v>R1016</x:v>
      </x:c>
      <x:c r="B1020" s="25" t="str">
        <x:v>Creative CRAFT 2.0: A Refined, Creativity-Centered Prompt Engineering Framework for Human-AI Co-Creation</x:v>
      </x:c>
      <x:c r="C1020" s="25" t="n">
        <x:v>2026</x:v>
      </x:c>
      <x:c r="D1020" s="25" t="str">
        <x:v>Allen Paul Esteban</x:v>
      </x:c>
      <x:c r="E1020" s="25" t="str">
        <x:v>Journal of Intelligent Decision Making and Information Science</x:v>
      </x:c>
      <x:c r="F1020" s="25" t="str">
        <x:v>10.59543/jidmis.v3.634</x:v>
      </x:c>
      <x:c r="G1020" s="25" t="str">
        <x:v>https://doi.org/10.59543/jidmis.v3.634</x:v>
      </x:c>
      <x:c r="H1020" s="25" t="str">
        <x:v>Crossref</x:v>
      </x:c>
      <x:c r="I1020" s="25" t="str">
        <x:v>C14_agency_ownership; C3_mixed_initiative_cocreation; C7_creative_agency</x:v>
      </x:c>
      <x:c r="J1020" s="25" t="str">
        <x:v>Exclude</x:v>
      </x:c>
      <x:c r="K1020" s="25" t="str">
        <x:v>Exclude: adjacent/redundant or insufficiently theory-generative for DC1</x:v>
      </x:c>
    </x:row>
    <x:row r="1021">
      <x:c r="A1021" s="20" t="str">
        <x:v>R1017</x:v>
      </x:c>
      <x:c r="B1021" s="25" t="str">
        <x:v>Creative Logics of AI Generative Design: A Framework for Human-AI Co-Creation in Visual Communication</x:v>
      </x:c>
      <x:c r="C1021" s="25" t="n">
        <x:v>2026</x:v>
      </x:c>
      <x:c r="D1021" s="25" t="str">
        <x:v>Muhammad Mushtaq; Fang Wei; Bushra Bushra</x:v>
      </x:c>
      <x:c r="E1021" s="25" t="str">
        <x:v>SSRN Electronic Journal</x:v>
      </x:c>
      <x:c r="F1021" s="25" t="str">
        <x:v>10.2139/ssrn.5922342</x:v>
      </x:c>
      <x:c r="G1021" s="25" t="str">
        <x:v>https://doi.org/10.2139/ssrn.5922342</x:v>
      </x:c>
      <x:c r="H1021" s="25" t="str">
        <x:v>Crossref</x:v>
      </x:c>
      <x:c r="I1021" s="25" t="str">
        <x:v>C14_agency_ownership; C7_creative_agency</x:v>
      </x:c>
      <x:c r="J1021" s="25" t="str">
        <x:v>Exclude</x:v>
      </x:c>
      <x:c r="K1021" s="25" t="str">
        <x:v>Exclude: adjacent/redundant or insufficiently theory-generative for DC1</x:v>
      </x:c>
    </x:row>
    <x:row r="1022">
      <x:c r="A1022" s="20" t="str">
        <x:v>R1018</x:v>
      </x:c>
      <x:c r="B1022" s="25" t="str">
        <x:v>Creativity in the Age of Artificial Intelligence: A Hybrid Human–AI Co-Creation Framework</x:v>
      </x:c>
      <x:c r="C1022" s="25" t="n">
        <x:v>2026</x:v>
      </x:c>
      <x:c r="D1022" s="25" t="str">
        <x:v>Maman Sulaeman</x:v>
      </x:c>
      <x:c r="E1022" s="25" t="str">
        <x:v>Manexia: Journal of Business, Management, and Creative Economy</x:v>
      </x:c>
      <x:c r="F1022" s="25" t="str">
        <x:v>10.66203/manexia.02202</x:v>
      </x:c>
      <x:c r="G1022" s="25" t="str">
        <x:v>https://doi.org/10.66203/manexia.02202</x:v>
      </x:c>
      <x:c r="H1022" s="25" t="str">
        <x:v>Crossref</x:v>
      </x:c>
      <x:c r="I1022" s="25" t="str">
        <x:v>C14_agency_ownership; C3_mixed_initiative_cocreation; C7_creative_agency</x:v>
      </x:c>
      <x:c r="J1022" s="25" t="str">
        <x:v>Exclude</x:v>
      </x:c>
      <x:c r="K1022" s="25" t="str">
        <x:v>Exclude: adjacent/redundant or insufficiently theory-generative for DC1</x:v>
      </x:c>
    </x:row>
    <x:row r="1023">
      <x:c r="A1023" s="20" t="str">
        <x:v>R1019</x:v>
      </x:c>
      <x:c r="B1023" s="25" t="str">
        <x:v>Critical Agency and Hybrid Cognition in Digital Art Education: Human–AI Co-Creation Using Stable Diffusion XL</x:v>
      </x:c>
      <x:c r="C1023" s="25" t="n">
        <x:v>2025</x:v>
      </x:c>
      <x:c r="D1023" s="25" t="str">
        <x:v>Muwaffaq Abdulmajid; Nabeel Alali; Abdulrahman Alsharrah</x:v>
      </x:c>
      <x:c r="E1023" s="25" t="str"/>
      <x:c r="F1023" s="25" t="str">
        <x:v>10.2139/ssrn.5983388</x:v>
      </x:c>
      <x:c r="G1023" s="25" t="str">
        <x:v>https://doi.org/10.2139/ssrn.5983388</x:v>
      </x:c>
      <x:c r="H1023" s="25" t="str">
        <x:v>Crossref</x:v>
      </x:c>
      <x:c r="I1023" s="25" t="str">
        <x:v>C14_agency_ownership; C7_creative_agency</x:v>
      </x:c>
      <x:c r="J1023" s="25" t="str">
        <x:v>Exclude</x:v>
      </x:c>
      <x:c r="K1023" s="25" t="str">
        <x:v>Exclude: topic mismatch</x:v>
      </x:c>
    </x:row>
    <x:row r="1024">
      <x:c r="A1024" s="20" t="str">
        <x:v>R1020</x:v>
      </x:c>
      <x:c r="B1024" s="25" t="str">
        <x:v>Critical Thinking Patterns and Their Associations with Creative Performance in Human-AI Co-Creation</x:v>
      </x:c>
      <x:c r="C1024" s="25" t="n">
        <x:v>2026</x:v>
      </x:c>
      <x:c r="D1024" s="25" t="str">
        <x:v>Jing Chen; Youjin Shi</x:v>
      </x:c>
      <x:c r="E1024" s="25" t="str">
        <x:v>Journal of Data and Information Science</x:v>
      </x:c>
      <x:c r="F1024" s="25" t="str">
        <x:v>10.1515/jdis-2025-0487</x:v>
      </x:c>
      <x:c r="G1024" s="25" t="str">
        <x:v>https://doi.org/10.1515/jdis-2025-0487</x:v>
      </x:c>
      <x:c r="H1024" s="25" t="str">
        <x:v>Crossref</x:v>
      </x:c>
      <x:c r="I1024" s="25" t="str">
        <x:v>C14_agency_ownership; C7_creative_agency</x:v>
      </x:c>
      <x:c r="J1024" s="25" t="str">
        <x:v>Exclude</x:v>
      </x:c>
      <x:c r="K1024" s="25" t="str">
        <x:v>Exclude: adjacent/redundant or insufficiently theory-generative for DC1</x:v>
      </x:c>
    </x:row>
    <x:row r="1025">
      <x:c r="A1025" s="20" t="str">
        <x:v>R1021</x:v>
      </x:c>
      <x:c r="B1025" s="25" t="str">
        <x:v>Culturally Adaptive Communication in the Age of AI</x:v>
      </x:c>
      <x:c r="C1025" s="25" t="n">
        <x:v>2026</x:v>
      </x:c>
      <x:c r="D1025" s="25" t="str">
        <x:v>Qian Xue</x:v>
      </x:c>
      <x:c r="E1025" s="25" t="str">
        <x:v>International Journal of e-Collaboration</x:v>
      </x:c>
      <x:c r="F1025" s="25" t="str">
        <x:v>10.4018/ijec.397912</x:v>
      </x:c>
      <x:c r="G1025" s="25" t="str">
        <x:v>https://doi.org/10.4018/ijec.397912</x:v>
      </x:c>
      <x:c r="H1025" s="25" t="str">
        <x:v>Crossref</x:v>
      </x:c>
      <x:c r="I1025" s="25" t="str">
        <x:v>C12_common_ground_repair</x:v>
      </x:c>
      <x:c r="J1025" s="25" t="str">
        <x:v>Exclude</x:v>
      </x:c>
      <x:c r="K1025" s="25" t="str">
        <x:v>Exclude: topic mismatch</x:v>
      </x:c>
    </x:row>
    <x:row r="1026">
      <x:c r="A1026" s="20" t="str">
        <x:v>R1022</x:v>
      </x:c>
      <x:c r="B1026" s="25" t="str">
        <x:v>Dealing with common ground in Human Translation and Neural Machine Translation: A case study on Italian equivalents of German Modal Particles</x:v>
      </x:c>
      <x:c r="C1026" s="25" t="n">
        <x:v>2024</x:v>
      </x:c>
      <x:c r="D1026" s="25" t="str">
        <x:v>Franz Meier</x:v>
      </x:c>
      <x:c r="E1026" s="25" t="str">
        <x:v>AI-Linguistica. Linguistic Studies on AI-Generated Texts and Discourses</x:v>
      </x:c>
      <x:c r="F1026" s="25" t="str">
        <x:v>10.62408/ai-ling.v1i1.12</x:v>
      </x:c>
      <x:c r="G1026" s="25" t="str">
        <x:v>https://doi.org/10.62408/ai-ling.v1i1.12</x:v>
      </x:c>
      <x:c r="H1026" s="25" t="str">
        <x:v>Crossref</x:v>
      </x:c>
      <x:c r="I1026" s="25" t="str">
        <x:v>C12_common_ground_repair</x:v>
      </x:c>
      <x:c r="J1026" s="25" t="str">
        <x:v>Exclude</x:v>
      </x:c>
      <x:c r="K1026" s="25" t="str">
        <x:v>Exclude: topic mismatch</x:v>
      </x:c>
    </x:row>
    <x:row r="1027">
      <x:c r="A1027" s="20" t="str">
        <x:v>R1023</x:v>
      </x:c>
      <x:c r="B1027" s="25" t="str">
        <x:v>Demystifying AI Techniques for Creative Domains</x:v>
      </x:c>
      <x:c r="C1027" s="25" t="n">
        <x:v>2024</x:v>
      </x:c>
      <x:c r="D1027" s="25" t="str">
        <x:v>Thorsten Fröhlich</x:v>
      </x:c>
      <x:c r="E1027" s="25" t="str">
        <x:v>Artificial Intelligence, Co-Creation and Creativity</x:v>
      </x:c>
      <x:c r="F1027" s="25" t="str">
        <x:v>10.4324/9781003453901-7</x:v>
      </x:c>
      <x:c r="G1027" s="25" t="str">
        <x:v>https://doi.org/10.4324/9781003453901-7</x:v>
      </x:c>
      <x:c r="H1027" s="25" t="str">
        <x:v>Crossref</x:v>
      </x:c>
      <x:c r="I1027" s="25" t="str">
        <x:v>C3_mixed_initiative_cocreation; C7_creative_agency</x:v>
      </x:c>
      <x:c r="J1027" s="25" t="str">
        <x:v>Exclude</x:v>
      </x:c>
      <x:c r="K1027" s="25" t="str">
        <x:v>Exclude: adjacent/redundant or insufficiently theory-generative for DC1</x:v>
      </x:c>
    </x:row>
    <x:row r="1028">
      <x:c r="A1028" s="20" t="str">
        <x:v>R1024</x:v>
      </x:c>
      <x:c r="B1028" s="25" t="str">
        <x:v>Design Intent for CAD Modeling Features Using Boolean Operations</x:v>
      </x:c>
      <x:c r="C1028" s="25" t="n">
        <x:v>2017</x:v>
      </x:c>
      <x:c r="D1028" s="25" t="str">
        <x:v>Chandrakant R Sonawane; Ghadge Sujit</x:v>
      </x:c>
      <x:c r="E1028" s="25" t="str">
        <x:v>IOP Conference Series: Materials Science and Engineering</x:v>
      </x:c>
      <x:c r="F1028" s="25" t="str">
        <x:v>10.1088/1757-899x/197/1/012047</x:v>
      </x:c>
      <x:c r="G1028" s="25" t="str">
        <x:v>https://doi.org/10.1088/1757-899x/197/1/012047</x:v>
      </x:c>
      <x:c r="H1028" s="25" t="str">
        <x:v>Crossref</x:v>
      </x:c>
      <x:c r="I1028" s="25" t="str">
        <x:v>C13_CAD_design_intent</x:v>
      </x:c>
      <x:c r="J1028" s="25" t="str">
        <x:v>Exclude</x:v>
      </x:c>
      <x:c r="K1028" s="25" t="str">
        <x:v>Exclude: adjacent/redundant or insufficiently theory-generative for DC1</x:v>
      </x:c>
    </x:row>
    <x:row r="1029">
      <x:c r="A1029" s="20" t="str">
        <x:v>R1025</x:v>
      </x:c>
      <x:c r="B1029" s="25" t="str">
        <x:v>Designing cognitive task analysis</x:v>
      </x:c>
      <x:c r="C1029" s="25" t="n">
        <x:v>2017</x:v>
      </x:c>
      <x:c r="D1029" s="25" t="str"/>
      <x:c r="E1029" s="25" t="str">
        <x:v>Applied Cognitive Task Analysis in Aviation</x:v>
      </x:c>
      <x:c r="F1029" s="25" t="str">
        <x:v>10.4324/9781315262321-12</x:v>
      </x:c>
      <x:c r="G1029" s="25" t="str">
        <x:v>https://doi.org/10.4324/9781315262321-12</x:v>
      </x:c>
      <x:c r="H1029" s="25" t="str">
        <x:v>Crossref</x:v>
      </x:c>
      <x:c r="I1029" s="25" t="str">
        <x:v>C18_video_intent_coding_VLM_annotation</x:v>
      </x:c>
      <x:c r="J1029" s="25" t="str">
        <x:v>Exclude</x:v>
      </x:c>
      <x:c r="K1029" s="25" t="str">
        <x:v>Exclude: topic mismatch</x:v>
      </x:c>
    </x:row>
    <x:row r="1030">
      <x:c r="A1030" s="20" t="str">
        <x:v>R1026</x:v>
      </x:c>
      <x:c r="B1030" s="25" t="str">
        <x:v>Designing for Meaning in AIGC Systems: The Control–Ownership Pathway in Human–AI Co-Creation</x:v>
      </x:c>
      <x:c r="C1030" s="25" t="n">
        <x:v>2026</x:v>
      </x:c>
      <x:c r="D1030" s="25" t="str">
        <x:v>Yu-Liang Feng; Ya-Qin You; Shing-Sheng Guan</x:v>
      </x:c>
      <x:c r="E1030" s="25" t="str">
        <x:v>IEEE Access</x:v>
      </x:c>
      <x:c r="F1030" s="25" t="str">
        <x:v>10.1109/access.2026.3679569</x:v>
      </x:c>
      <x:c r="G1030" s="25" t="str">
        <x:v>https://doi.org/10.1109/access.2026.3679569</x:v>
      </x:c>
      <x:c r="H1030" s="25" t="str">
        <x:v>Crossref</x:v>
      </x:c>
      <x:c r="I1030" s="25" t="str">
        <x:v>C14_agency_ownership</x:v>
      </x:c>
      <x:c r="J1030" s="25" t="str">
        <x:v>Exclude</x:v>
      </x:c>
      <x:c r="K1030" s="25" t="str">
        <x:v>Exclude: topic mismatch</x:v>
      </x:c>
    </x:row>
    <x:row r="1031">
      <x:c r="A1031" s="20" t="str">
        <x:v>R1027</x:v>
      </x:c>
      <x:c r="B1031" s="25" t="str">
        <x:v>Designing mixed-initiative video games</x:v>
      </x:c>
      <x:c r="C1031" s="25" t="str"/>
      <x:c r="D1031" s="25" t="str">
        <x:v>Daijin Yang</x:v>
      </x:c>
      <x:c r="E1031" s="25" t="str"/>
      <x:c r="F1031" s="25" t="str">
        <x:v>10.17760/d20618670</x:v>
      </x:c>
      <x:c r="G1031" s="25" t="str">
        <x:v>https://doi.org/10.17760/d20618670</x:v>
      </x:c>
      <x:c r="H1031" s="25" t="str">
        <x:v>Crossref</x:v>
      </x:c>
      <x:c r="I1031" s="25" t="str">
        <x:v>C15_proactive_interruption</x:v>
      </x:c>
      <x:c r="J1031" s="25" t="str">
        <x:v>Exclude</x:v>
      </x:c>
      <x:c r="K1031" s="25" t="str">
        <x:v>Exclude: adjacent/redundant or insufficiently theory-generative for DC1</x:v>
      </x:c>
    </x:row>
    <x:row r="1032">
      <x:c r="A1032" s="20" t="str">
        <x:v>R1028</x:v>
      </x:c>
      <x:c r="B1032" s="25" t="str">
        <x:v>Detecting Semantic Versus Episodic Memory Retrieval via fMRI Pattern Classification</x:v>
      </x:c>
      <x:c r="C1032" s="25" t="n">
        <x:v>2007</x:v>
      </x:c>
      <x:c r="D1032" s="25" t="str">
        <x:v>Per B. Sederberg; Kenneth A. Norman</x:v>
      </x:c>
      <x:c r="E1032" s="25" t="str">
        <x:v>PsycEXTRA Dataset</x:v>
      </x:c>
      <x:c r="F1032" s="25" t="str">
        <x:v>10.1037/e527342012-512</x:v>
      </x:c>
      <x:c r="G1032" s="25" t="str">
        <x:v>https://doi.org/10.1037/e527342012-512</x:v>
      </x:c>
      <x:c r="H1032" s="25" t="str">
        <x:v>Crossref</x:v>
      </x:c>
      <x:c r="I1032" s="25" t="str">
        <x:v>C5_agent_memory</x:v>
      </x:c>
      <x:c r="J1032" s="25" t="str">
        <x:v>Exclude</x:v>
      </x:c>
      <x:c r="K1032" s="25" t="str">
        <x:v>Exclude: adjacent/redundant or insufficiently theory-generative for DC1</x:v>
      </x:c>
    </x:row>
    <x:row r="1033">
      <x:c r="A1033" s="20" t="str">
        <x:v>R1029</x:v>
      </x:c>
      <x:c r="B1033" s="25" t="str">
        <x:v>Developing a 3D interface for sound corpus manipulation in virtual environments</x:v>
      </x:c>
      <x:c r="C1033" s="25" t="n">
        <x:v>2025</x:v>
      </x:c>
      <x:c r="D1033" s="25" t="str">
        <x:v>Matias A. Vilaplana Stark</x:v>
      </x:c>
      <x:c r="E1033" s="25" t="str">
        <x:v>2025 IEEE Conference on Virtual Reality and 3D User Interfaces Abstracts and Workshops (VRW)</x:v>
      </x:c>
      <x:c r="F1033" s="25" t="str">
        <x:v>10.1109/vrw66409.2025.00133</x:v>
      </x:c>
      <x:c r="G1033" s="25" t="str">
        <x:v>https://doi.org/10.1109/vrw66409.2025.00133</x:v>
      </x:c>
      <x:c r="H1033" s="25" t="str">
        <x:v>Crossref</x:v>
      </x:c>
      <x:c r="I1033" s="25" t="str">
        <x:v>C1_3D_mental_models</x:v>
      </x:c>
      <x:c r="J1033" s="25" t="str">
        <x:v>Exclude</x:v>
      </x:c>
      <x:c r="K1033" s="25" t="str">
        <x:v>Exclude: adjacent/redundant or insufficiently theory-generative for DC1</x:v>
      </x:c>
    </x:row>
    <x:row r="1034">
      <x:c r="A1034" s="20" t="str">
        <x:v>R1030</x:v>
      </x:c>
      <x:c r="B1034" s="25" t="str">
        <x:v>Draft Common Frame of Reference and Terminology</x:v>
      </x:c>
      <x:c r="C1034" s="25" t="str"/>
      <x:c r="D1034" s="25" t="str">
        <x:v>Elena Ioriatti Ferrari</x:v>
      </x:c>
      <x:c r="E1034" s="25" t="str">
        <x:v>A Factual Assessment of the Draft Common Frame of Reference</x:v>
      </x:c>
      <x:c r="F1034" s="25" t="str">
        <x:v>10.1515/9783866538696.313</x:v>
      </x:c>
      <x:c r="G1034" s="25" t="str">
        <x:v>https://doi.org/10.1515/9783866538696.313</x:v>
      </x:c>
      <x:c r="H1034" s="25" t="str">
        <x:v>Crossref</x:v>
      </x:c>
      <x:c r="I1034" s="25" t="str">
        <x:v>C17_3D_gesture_ambiguity</x:v>
      </x:c>
      <x:c r="J1034" s="25" t="str">
        <x:v>Exclude</x:v>
      </x:c>
      <x:c r="K1034" s="25" t="str">
        <x:v>Exclude: topic mismatch</x:v>
      </x:c>
    </x:row>
    <x:row r="1035">
      <x:c r="A1035" s="20" t="str">
        <x:v>R1031</x:v>
      </x:c>
      <x:c r="B1035" s="25" t="str">
        <x:v>ECONOMICS OF AUTHORITY EoA #8 Federated Authority and Inter-Organizational AI Execution The Unsolved Boundary Problem and a Dual-Authorization Mechanism</x:v>
      </x:c>
      <x:c r="C1035" s="25" t="n">
        <x:v>2026</x:v>
      </x:c>
      <x:c r="D1035" s="25" t="str">
        <x:v>Kevin Fenske</x:v>
      </x:c>
      <x:c r="E1035" s="25" t="str"/>
      <x:c r="F1035" s="25" t="str">
        <x:v>10.2139/ssrn.6559939</x:v>
      </x:c>
      <x:c r="G1035" s="25" t="str">
        <x:v>https://doi.org/10.2139/ssrn.6559939</x:v>
      </x:c>
      <x:c r="H1035" s="25" t="str">
        <x:v>Crossref</x:v>
      </x:c>
      <x:c r="I1035" s="25" t="str">
        <x:v>C9_human_agent_handoff</x:v>
      </x:c>
      <x:c r="J1035" s="25" t="str">
        <x:v>Exclude</x:v>
      </x:c>
      <x:c r="K1035" s="25" t="str">
        <x:v>Exclude: adjacent/redundant or insufficiently theory-generative for DC1</x:v>
      </x:c>
    </x:row>
    <x:row r="1036">
      <x:c r="A1036" s="20" t="str">
        <x:v>R1032</x:v>
      </x:c>
      <x:c r="B1036" s="25" t="str">
        <x:v>Ecological Interface Design</x:v>
      </x:c>
      <x:c r="C1036" s="25" t="n">
        <x:v>2022</x:v>
      </x:c>
      <x:c r="D1036" s="25" t="str"/>
      <x:c r="E1036" s="25" t="str">
        <x:v>Embodying Design</x:v>
      </x:c>
      <x:c r="F1036" s="25" t="str">
        <x:v>10.7551/mitpress/12419.003.0007</x:v>
      </x:c>
      <x:c r="G1036" s="25" t="str">
        <x:v>https://doi.org/10.7551/mitpress/12419.003.0007</x:v>
      </x:c>
      <x:c r="H1036" s="25" t="str">
        <x:v>Crossref</x:v>
      </x:c>
      <x:c r="I1036" s="25" t="str">
        <x:v>C10_affordance_embodied</x:v>
      </x:c>
      <x:c r="J1036" s="25" t="str">
        <x:v>Exclude</x:v>
      </x:c>
      <x:c r="K1036" s="25" t="str">
        <x:v>Exclude: topic mismatch</x:v>
      </x:c>
    </x:row>
    <x:row r="1037">
      <x:c r="A1037" s="20" t="str">
        <x:v>R1033</x:v>
      </x:c>
      <x:c r="B1037" s="25" t="str">
        <x:v>Editing user-specific diagrams by direct manipulation</x:v>
      </x:c>
      <x:c r="C1037" s="25" t="n">
        <x:v>1995</x:v>
      </x:c>
      <x:c r="D1037" s="25" t="str">
        <x:v>G. Viehstaedt; M. Minas</x:v>
      </x:c>
      <x:c r="E1037" s="25" t="str">
        <x:v>Conference companion on Human factors in computing systems  - CHI '95</x:v>
      </x:c>
      <x:c r="F1037" s="25" t="str">
        <x:v>10.1145/223355.223468</x:v>
      </x:c>
      <x:c r="G1037" s="25" t="str">
        <x:v>https://doi.org/10.1145/223355.223468</x:v>
      </x:c>
      <x:c r="H1037" s="25" t="str">
        <x:v>Crossref</x:v>
      </x:c>
      <x:c r="I1037" s="25" t="str">
        <x:v>C8_AI_3D_authoring</x:v>
      </x:c>
      <x:c r="J1037" s="25" t="str">
        <x:v>Exclude</x:v>
      </x:c>
      <x:c r="K1037" s="25" t="str">
        <x:v>Exclude: adjacent/redundant or insufficiently theory-generative for DC1</x:v>
      </x:c>
    </x:row>
    <x:row r="1038">
      <x:c r="A1038" s="20" t="str">
        <x:v>R1034</x:v>
      </x:c>
      <x:c r="B1038" s="25" t="str">
        <x:v>Embodied AI Agent for Co-creation Ecosystem: Elevating Human-AI Co-creation through Emotion Recognition and Dynamic Personality Adaptation</x:v>
      </x:c>
      <x:c r="C1038" s="25" t="n">
        <x:v>2025</x:v>
      </x:c>
      <x:c r="D1038" s="25" t="str">
        <x:v>Jade Zheng; Fernando Jia; Florence Li; Yuteng Fu</x:v>
      </x:c>
      <x:c r="E1038" s="25" t="str"/>
      <x:c r="F1038" s="25" t="str">
        <x:v>10.31234/osf.io/krxp6</x:v>
      </x:c>
      <x:c r="G1038" s="25" t="str">
        <x:v>https://doi.org/10.31234/osf.io/krxp6</x:v>
      </x:c>
      <x:c r="H1038" s="25" t="str">
        <x:v>Crossref</x:v>
      </x:c>
      <x:c r="I1038" s="25" t="str">
        <x:v>C14_agency_ownership; C3_mixed_initiative_cocreation; C7_creative_agency</x:v>
      </x:c>
      <x:c r="J1038" s="25" t="str">
        <x:v>Exclude</x:v>
      </x:c>
      <x:c r="K1038" s="25" t="str">
        <x:v>Exclude: adjacent/redundant or insufficiently theory-generative for DC1</x:v>
      </x:c>
    </x:row>
    <x:row r="1039">
      <x:c r="A1039" s="20" t="str">
        <x:v>R1035</x:v>
      </x:c>
      <x:c r="B1039" s="25" t="str">
        <x:v>Embodied AI Agent for Co-creation Ecosystem: Elevating Human-AI Co-creation through Emotion Recognition and Dynamic Personality Adaptation</x:v>
      </x:c>
      <x:c r="C1039" s="25" t="n">
        <x:v>2025</x:v>
      </x:c>
      <x:c r="D1039" s="25" t="str">
        <x:v>Jade Zheng; Fernando Jia; Florence Li; Yuteng Fu</x:v>
      </x:c>
      <x:c r="E1039" s="25" t="str"/>
      <x:c r="F1039" s="25" t="str">
        <x:v>10.31235/osf.io/54de2</x:v>
      </x:c>
      <x:c r="G1039" s="25" t="str">
        <x:v>https://doi.org/10.31235/osf.io/54de2</x:v>
      </x:c>
      <x:c r="H1039" s="25" t="str">
        <x:v>Crossref</x:v>
      </x:c>
      <x:c r="I1039" s="25" t="str">
        <x:v>C14_agency_ownership; C3_mixed_initiative_cocreation; C7_creative_agency</x:v>
      </x:c>
      <x:c r="J1039" s="25" t="str">
        <x:v>Exclude</x:v>
      </x:c>
      <x:c r="K1039" s="25" t="str">
        <x:v>Exclude: adjacent/redundant or insufficiently theory-generative for DC1</x:v>
      </x:c>
    </x:row>
    <x:row r="1040">
      <x:c r="A1040" s="20" t="str">
        <x:v>R1036</x:v>
      </x:c>
      <x:c r="B1040" s="25" t="str">
        <x:v>Embodied AI Agent for Co-creation Ecosystem: Elevating Human-AI Co-creation through Emotion Recognition and Dynamic Personality Adaptation</x:v>
      </x:c>
      <x:c r="C1040" s="25" t="n">
        <x:v>2025</x:v>
      </x:c>
      <x:c r="D1040" s="25" t="str">
        <x:v>Jade Zheng; Fernando Jia; Yuteng Fu; Florence Li</x:v>
      </x:c>
      <x:c r="E1040" s="25" t="str"/>
      <x:c r="F1040" s="25" t="str">
        <x:v>10.31237/osf.io/b2yu5</x:v>
      </x:c>
      <x:c r="G1040" s="25" t="str">
        <x:v>https://doi.org/10.31237/osf.io/b2yu5</x:v>
      </x:c>
      <x:c r="H1040" s="25" t="str">
        <x:v>Crossref</x:v>
      </x:c>
      <x:c r="I1040" s="25" t="str">
        <x:v>C14_agency_ownership; C3_mixed_initiative_cocreation; C7_creative_agency</x:v>
      </x:c>
      <x:c r="J1040" s="25" t="str">
        <x:v>Exclude</x:v>
      </x:c>
      <x:c r="K1040" s="25" t="str">
        <x:v>Exclude: adjacent/redundant or insufficiently theory-generative for DC1</x:v>
      </x:c>
    </x:row>
    <x:row r="1041">
      <x:c r="A1041" s="20" t="str">
        <x:v>R1037</x:v>
      </x:c>
      <x:c r="B1041" s="25" t="str">
        <x:v>Embodied AI Agent for Co-creation Ecosystem: Elevating Human-AI Co-creation through Emotion Recognition and Dynamic Personality Adaptation</x:v>
      </x:c>
      <x:c r="C1041" s="25" t="n">
        <x:v>2025</x:v>
      </x:c>
      <x:c r="D1041" s="25" t="str">
        <x:v>Fernando Jia; Yuteng Fu; Jade Zheng; Florence Li</x:v>
      </x:c>
      <x:c r="E1041" s="25" t="str"/>
      <x:c r="F1041" s="25" t="str">
        <x:v>10.31219/osf.io/y6gs3</x:v>
      </x:c>
      <x:c r="G1041" s="25" t="str">
        <x:v>https://doi.org/10.31219/osf.io/y6gs3</x:v>
      </x:c>
      <x:c r="H1041" s="25" t="str">
        <x:v>Crossref</x:v>
      </x:c>
      <x:c r="I1041" s="25" t="str">
        <x:v>C14_agency_ownership; C3_mixed_initiative_cocreation; C7_creative_agency</x:v>
      </x:c>
      <x:c r="J1041" s="25" t="str">
        <x:v>Exclude</x:v>
      </x:c>
      <x:c r="K1041" s="25" t="str">
        <x:v>Exclude: adjacent/redundant or insufficiently theory-generative for DC1</x:v>
      </x:c>
    </x:row>
    <x:row r="1042">
      <x:c r="A1042" s="20" t="str">
        <x:v>R1038</x:v>
      </x:c>
      <x:c r="B1042" s="25" t="str">
        <x:v>Embodied Cognition Without Causal Interaction in Leibniz</x:v>
      </x:c>
      <x:c r="C1042" s="25" t="n">
        <x:v>2019</x:v>
      </x:c>
      <x:c r="D1042" s="25" t="str">
        <x:v>Julia Jorati</x:v>
      </x:c>
      <x:c r="E1042" s="25" t="str">
        <x:v>Causation and Cognition in Early Modern Philosophy</x:v>
      </x:c>
      <x:c r="F1042" s="25" t="str">
        <x:v>10.4324/9781315146539-13</x:v>
      </x:c>
      <x:c r="G1042" s="25" t="str">
        <x:v>https://doi.org/10.4324/9781315146539-13</x:v>
      </x:c>
      <x:c r="H1042" s="25" t="str">
        <x:v>Crossref</x:v>
      </x:c>
      <x:c r="I1042" s="25" t="str">
        <x:v>C10_affordance_embodied</x:v>
      </x:c>
      <x:c r="J1042" s="25" t="str">
        <x:v>Exclude</x:v>
      </x:c>
      <x:c r="K1042" s="25" t="str">
        <x:v>Exclude: topic mismatch</x:v>
      </x:c>
    </x:row>
    <x:row r="1043">
      <x:c r="A1043" s="20" t="str">
        <x:v>R1039</x:v>
      </x:c>
      <x:c r="B1043" s="25" t="str">
        <x:v>Embodied Interaction for Data Manipulation Tasks on Wall-sized Displays</x:v>
      </x:c>
      <x:c r="C1043" s="25" t="str"/>
      <x:c r="D1043" s="25" t="str">
        <x:v>; Can Liu</x:v>
      </x:c>
      <x:c r="E1043" s="25" t="str"/>
      <x:c r="F1043" s="25" t="str">
        <x:v>10.70675/026489b7z5d97z4e29z9e2fz6b7775ba0536</x:v>
      </x:c>
      <x:c r="G1043" s="25" t="str">
        <x:v>https://doi.org/10.70675/026489b7z5d97z4e29z9e2fz6b7775ba0536</x:v>
      </x:c>
      <x:c r="H1043" s="25" t="str">
        <x:v>Crossref</x:v>
      </x:c>
      <x:c r="I1043" s="25" t="str">
        <x:v>C10_affordance_embodied</x:v>
      </x:c>
      <x:c r="J1043" s="25" t="str">
        <x:v>Exclude</x:v>
      </x:c>
      <x:c r="K1043" s="25" t="str">
        <x:v>Exclude: adjacent/redundant or insufficiently theory-generative for DC1</x:v>
      </x:c>
    </x:row>
    <x:row r="1044">
      <x:c r="A1044" s="20" t="str">
        <x:v>R1040</x:v>
      </x:c>
      <x:c r="B1044" s="25" t="str">
        <x:v>Embodied Interaction, Coordination and Reasoning in Computer Gameplay</x:v>
      </x:c>
      <x:c r="C1044" s="25" t="str"/>
      <x:c r="D1044" s="25" t="str">
        <x:v>Tarja Susi</x:v>
      </x:c>
      <x:c r="E1044" s="25" t="str">
        <x:v>The Routledge Handbook of Embodied Cognition</x:v>
      </x:c>
      <x:c r="F1044" s="25" t="str">
        <x:v>10.4324/9781315775845.ch18</x:v>
      </x:c>
      <x:c r="G1044" s="25" t="str">
        <x:v>https://doi.org/10.4324/9781315775845.ch18</x:v>
      </x:c>
      <x:c r="H1044" s="25" t="str">
        <x:v>Crossref</x:v>
      </x:c>
      <x:c r="I1044" s="25" t="str">
        <x:v>C10_affordance_embodied</x:v>
      </x:c>
      <x:c r="J1044" s="25" t="str">
        <x:v>Exclude</x:v>
      </x:c>
      <x:c r="K1044" s="25" t="str">
        <x:v>Exclude: topic mismatch</x:v>
      </x:c>
    </x:row>
    <x:row r="1045">
      <x:c r="A1045" s="20" t="str">
        <x:v>R1041</x:v>
      </x:c>
      <x:c r="B1045" s="25" t="str">
        <x:v>Embodied Spatial Affordance: Spatial-Aware Affordance Learning for Embodied Navigation and Manipulation</x:v>
      </x:c>
      <x:c r="C1045" s="25" t="n">
        <x:v>2026</x:v>
      </x:c>
      <x:c r="D1045" s="25" t="str">
        <x:v>Xiaoshuai Hao; Yingbo Tang; Lingfeng Zhang; Long Chen; Wei Zhou; Jungong Han; Wenbo Ding; Xiao-Ping Zhang</x:v>
      </x:c>
      <x:c r="E1045" s="25" t="str">
        <x:v>IEEE Transactions on Image Processing</x:v>
      </x:c>
      <x:c r="F1045" s="25" t="str">
        <x:v>10.1109/tip.2026.3698366</x:v>
      </x:c>
      <x:c r="G1045" s="25" t="str">
        <x:v>https://doi.org/10.1109/tip.2026.3698366</x:v>
      </x:c>
      <x:c r="H1045" s="25" t="str">
        <x:v>Crossref</x:v>
      </x:c>
      <x:c r="I1045" s="25" t="str">
        <x:v>C10_affordance_embodied</x:v>
      </x:c>
      <x:c r="J1045" s="25" t="str">
        <x:v>Exclude</x:v>
      </x:c>
      <x:c r="K1045" s="25" t="str">
        <x:v>Exclude: adjacent/redundant or insufficiently theory-generative for DC1</x:v>
      </x:c>
    </x:row>
    <x:row r="1046">
      <x:c r="A1046" s="20" t="str">
        <x:v>R1042</x:v>
      </x:c>
      <x:c r="B1046" s="25" t="str">
        <x:v>Embodied learning in interaction</x:v>
      </x:c>
      <x:c r="C1046" s="25" t="n">
        <x:v>2024</x:v>
      </x:c>
      <x:c r="D1046" s="25" t="str">
        <x:v>Susanne Ravn</x:v>
      </x:c>
      <x:c r="E1046" s="25" t="str">
        <x:v>Embodied Learning and Teaching using the 4E Cognition Approach</x:v>
      </x:c>
      <x:c r="F1046" s="25" t="str">
        <x:v>10.4324/9781003341604-23</x:v>
      </x:c>
      <x:c r="G1046" s="25" t="str">
        <x:v>https://doi.org/10.4324/9781003341604-23</x:v>
      </x:c>
      <x:c r="H1046" s="25" t="str">
        <x:v>Crossref</x:v>
      </x:c>
      <x:c r="I1046" s="25" t="str">
        <x:v>C10_affordance_embodied</x:v>
      </x:c>
      <x:c r="J1046" s="25" t="str">
        <x:v>Exclude</x:v>
      </x:c>
      <x:c r="K1046" s="25" t="str">
        <x:v>Exclude: topic mismatch</x:v>
      </x:c>
    </x:row>
    <x:row r="1047">
      <x:c r="A1047" s="20" t="str">
        <x:v>R1043</x:v>
      </x:c>
      <x:c r="B1047" s="25" t="str">
        <x:v>Embodied meaning and spatial experience</x:v>
      </x:c>
      <x:c r="C1047" s="25" t="n">
        <x:v>2003</x:v>
      </x:c>
      <x:c r="D1047" s="25" t="str"/>
      <x:c r="E1047" s="25" t="str">
        <x:v>The Semantics of English Prepositions</x:v>
      </x:c>
      <x:c r="F1047" s="25" t="str">
        <x:v>10.1017/cbo9780511486517.003</x:v>
      </x:c>
      <x:c r="G1047" s="25" t="str">
        <x:v>https://doi.org/10.1017/cbo9780511486517.003</x:v>
      </x:c>
      <x:c r="H1047" s="25" t="str">
        <x:v>Crossref</x:v>
      </x:c>
      <x:c r="I1047" s="25" t="str">
        <x:v>C10_affordance_embodied</x:v>
      </x:c>
      <x:c r="J1047" s="25" t="str">
        <x:v>Exclude</x:v>
      </x:c>
      <x:c r="K1047" s="25" t="str">
        <x:v>Exclude: topic mismatch</x:v>
      </x:c>
    </x:row>
    <x:row r="1048">
      <x:c r="A1048" s="20" t="str">
        <x:v>R1044</x:v>
      </x:c>
      <x:c r="B1048" s="25" t="str">
        <x:v>Embodied, situated, and sociocultural spatial cognition: Toward theoretical integration</x:v>
      </x:c>
      <x:c r="C1048" s="25" t="n">
        <x:v>2026</x:v>
      </x:c>
      <x:c r="D1048" s="25" t="str">
        <x:v>Markus Knauff</x:v>
      </x:c>
      <x:c r="E1048" s="25" t="str">
        <x:v>Spatial Cognition &amp;amp; Computation</x:v>
      </x:c>
      <x:c r="F1048" s="25" t="str">
        <x:v>10.1080/13875868.2026.2678799</x:v>
      </x:c>
      <x:c r="G1048" s="25" t="str">
        <x:v>https://doi.org/10.1080/13875868.2026.2678799</x:v>
      </x:c>
      <x:c r="H1048" s="25" t="str">
        <x:v>Crossref</x:v>
      </x:c>
      <x:c r="I1048" s="25" t="str">
        <x:v>C10_affordance_embodied</x:v>
      </x:c>
      <x:c r="J1048" s="25" t="str">
        <x:v>Exclude</x:v>
      </x:c>
      <x:c r="K1048" s="25" t="str">
        <x:v>Exclude: topic mismatch</x:v>
      </x:c>
    </x:row>
    <x:row r="1049">
      <x:c r="A1049" s="20" t="str">
        <x:v>R1045</x:v>
      </x:c>
      <x:c r="B1049" s="25" t="str">
        <x:v>Employees’ Initiative for Proactive Health Scale</x:v>
      </x:c>
      <x:c r="C1049" s="25" t="n">
        <x:v>2025</x:v>
      </x:c>
      <x:c r="D1049" s="25" t="str">
        <x:v>Qianqian Huang; Feng Jiang; Huanzhong Liu; Lufa Zhang; Yi-Lang Tang</x:v>
      </x:c>
      <x:c r="E1049" s="25" t="str">
        <x:v>PsycTESTS Dataset</x:v>
      </x:c>
      <x:c r="F1049" s="25" t="str">
        <x:v>10.1037/t96899-000</x:v>
      </x:c>
      <x:c r="G1049" s="25" t="str">
        <x:v>https://doi.org/10.1037/t96899-000</x:v>
      </x:c>
      <x:c r="H1049" s="25" t="str">
        <x:v>Crossref</x:v>
      </x:c>
      <x:c r="I1049" s="25" t="str">
        <x:v>C15_proactive_interruption</x:v>
      </x:c>
      <x:c r="J1049" s="25" t="str">
        <x:v>Exclude</x:v>
      </x:c>
      <x:c r="K1049" s="25" t="str">
        <x:v>Exclude: adjacent/redundant or insufficiently theory-generative for DC1</x:v>
      </x:c>
    </x:row>
    <x:row r="1050">
      <x:c r="A1050" s="20" t="str">
        <x:v>R1046</x:v>
      </x:c>
      <x:c r="B1050" s="25" t="str">
        <x:v>Encoding and Retrieval of Episodic Trajectories</x:v>
      </x:c>
      <x:c r="C1050" s="25" t="n">
        <x:v>2011</x:v>
      </x:c>
      <x:c r="D1050" s="25" t="str"/>
      <x:c r="E1050" s="25" t="str">
        <x:v>How We Remember</x:v>
      </x:c>
      <x:c r="F1050" s="25" t="str">
        <x:v>10.7551/mitpress/8110.003.0005</x:v>
      </x:c>
      <x:c r="G1050" s="25" t="str">
        <x:v>https://doi.org/10.7551/mitpress/8110.003.0005</x:v>
      </x:c>
      <x:c r="H1050" s="25" t="str">
        <x:v>Crossref</x:v>
      </x:c>
      <x:c r="I1050" s="25" t="str">
        <x:v>C5_agent_memory</x:v>
      </x:c>
      <x:c r="J1050" s="25" t="str">
        <x:v>Exclude</x:v>
      </x:c>
      <x:c r="K1050" s="25" t="str">
        <x:v>Exclude: topic mismatch</x:v>
      </x:c>
    </x:row>
    <x:row r="1051">
      <x:c r="A1051" s="20" t="str">
        <x:v>R1047</x:v>
      </x:c>
      <x:c r="B1051" s="25" t="str">
        <x:v>Enhancing Shared Autonomy in Teleoperation under Network Delay: Transparency- and Confidence-Aware Arbitration_supp1-3596436.mp4</x:v>
      </x:c>
      <x:c r="C1051" s="25" t="str"/>
      <x:c r="D1051" s="25" t="str">
        <x:v>Basak Gulecyuz</x:v>
      </x:c>
      <x:c r="E1051" s="25" t="str"/>
      <x:c r="F1051" s="25" t="str">
        <x:v>10.1109/lra.2025.3596436/mm1</x:v>
      </x:c>
      <x:c r="G1051" s="25" t="str">
        <x:v>https://doi.org/10.1109/lra.2025.3596436/mm1</x:v>
      </x:c>
      <x:c r="H1051" s="25" t="str">
        <x:v>Crossref</x:v>
      </x:c>
      <x:c r="I1051" s="25" t="str">
        <x:v>C4_uncertainty_shared_autonomy</x:v>
      </x:c>
      <x:c r="J1051" s="25" t="str">
        <x:v>Exclude</x:v>
      </x:c>
      <x:c r="K1051" s="25" t="str">
        <x:v>Exclude: adjacent/redundant or insufficiently theory-generative for DC1</x:v>
      </x:c>
    </x:row>
    <x:row r="1052">
      <x:c r="A1052" s="20" t="str">
        <x:v>R1048</x:v>
      </x:c>
      <x:c r="B1052" s="25" t="str">
        <x:v>Enhancing human-computer interaction by inferring users' intent from eye gaze</x:v>
      </x:c>
      <x:c r="C1052" s="25" t="str"/>
      <x:c r="D1052" s="25" t="str">
        <x:v>Zhaokang Chen</x:v>
      </x:c>
      <x:c r="E1052" s="25" t="str"/>
      <x:c r="F1052" s="25" t="str">
        <x:v>10.14711/thesis-991012818669803412</x:v>
      </x:c>
      <x:c r="G1052" s="25" t="str">
        <x:v>https://doi.org/10.14711/thesis-991012818669803412</x:v>
      </x:c>
      <x:c r="H1052" s="25" t="str">
        <x:v>Crossref</x:v>
      </x:c>
      <x:c r="I1052" s="25" t="str">
        <x:v>C4_uncertainty_shared_autonomy</x:v>
      </x:c>
      <x:c r="J1052" s="25" t="str">
        <x:v>Exclude</x:v>
      </x:c>
      <x:c r="K1052" s="25" t="str">
        <x:v>Exclude: adjacent/redundant or insufficiently theory-generative for DC1</x:v>
      </x:c>
    </x:row>
    <x:row r="1053">
      <x:c r="A1053" s="20" t="str">
        <x:v>R1049</x:v>
      </x:c>
      <x:c r="B1053" s="25" t="str">
        <x:v>Episodic memory</x:v>
      </x:c>
      <x:c r="C1053" s="25" t="n">
        <x:v>2005</x:v>
      </x:c>
      <x:c r="D1053" s="25" t="str"/>
      <x:c r="E1053" s="25" t="str">
        <x:v>The Cognitive Neuroscience of Memory</x:v>
      </x:c>
      <x:c r="F1053" s="25" t="str">
        <x:v>10.4324/9780203989388-8</x:v>
      </x:c>
      <x:c r="G1053" s="25" t="str">
        <x:v>https://doi.org/10.4324/9780203989388-8</x:v>
      </x:c>
      <x:c r="H1053" s="25" t="str">
        <x:v>Crossref</x:v>
      </x:c>
      <x:c r="I1053" s="25" t="str">
        <x:v>C16_memory_conflict_bias; C5_agent_memory</x:v>
      </x:c>
      <x:c r="J1053" s="25" t="str">
        <x:v>Exclude</x:v>
      </x:c>
      <x:c r="K1053" s="25" t="str">
        <x:v>Exclude: adjacent/redundant or insufficiently theory-generative for DC1</x:v>
      </x:c>
    </x:row>
    <x:row r="1054">
      <x:c r="A1054" s="20" t="str">
        <x:v>R1050</x:v>
      </x:c>
      <x:c r="B1054" s="25" t="str">
        <x:v>Episodic memory retrieval: An (event-related) functional neuroimaging perspective</x:v>
      </x:c>
      <x:c r="C1054" s="25" t="n">
        <x:v>2005</x:v>
      </x:c>
      <x:c r="D1054" s="25" t="str"/>
      <x:c r="E1054" s="25" t="str">
        <x:v>The Cognitive Neuroscience of Memory</x:v>
      </x:c>
      <x:c r="F1054" s="25" t="str">
        <x:v>10.4324/9780203989388-7</x:v>
      </x:c>
      <x:c r="G1054" s="25" t="str">
        <x:v>https://doi.org/10.4324/9780203989388-7</x:v>
      </x:c>
      <x:c r="H1054" s="25" t="str">
        <x:v>Crossref</x:v>
      </x:c>
      <x:c r="I1054" s="25" t="str">
        <x:v>C16_memory_conflict_bias; C5_agent_memory</x:v>
      </x:c>
      <x:c r="J1054" s="25" t="str">
        <x:v>Exclude</x:v>
      </x:c>
      <x:c r="K1054" s="25" t="str">
        <x:v>Exclude: adjacent/redundant or insufficiently theory-generative for DC1</x:v>
      </x:c>
    </x:row>
    <x:row r="1055">
      <x:c r="A1055" s="20" t="str">
        <x:v>R1051</x:v>
      </x:c>
      <x:c r="B1055" s="25" t="str">
        <x:v>Ergonomics of human-system interaction</x:v>
      </x:c>
      <x:c r="C1055" s="25" t="str"/>
      <x:c r="D1055" s="25" t="str"/>
      <x:c r="E1055" s="25" t="str"/>
      <x:c r="F1055" s="25" t="str">
        <x:v>10.3403/30438670u</x:v>
      </x:c>
      <x:c r="G1055" s="25" t="str">
        <x:v>https://doi.org/10.3403/30438670u</x:v>
      </x:c>
      <x:c r="H1055" s="25" t="str">
        <x:v>Crossref</x:v>
      </x:c>
      <x:c r="I1055" s="25" t="str">
        <x:v>C6_frontend_GUI_intent</x:v>
      </x:c>
      <x:c r="J1055" s="25" t="str">
        <x:v>Exclude</x:v>
      </x:c>
      <x:c r="K1055" s="25" t="str">
        <x:v>Exclude: topic mismatch</x:v>
      </x:c>
    </x:row>
    <x:row r="1056">
      <x:c r="A1056" s="20" t="str">
        <x:v>R1052</x:v>
      </x:c>
      <x:c r="B1056" s="25" t="str">
        <x:v>Ergonomics of human-system interaction</x:v>
      </x:c>
      <x:c r="C1056" s="25" t="str"/>
      <x:c r="D1056" s="25" t="str"/>
      <x:c r="E1056" s="25" t="str"/>
      <x:c r="F1056" s="25" t="str">
        <x:v>10.3403/30438670</x:v>
      </x:c>
      <x:c r="G1056" s="25" t="str">
        <x:v>https://doi.org/10.3403/30438670</x:v>
      </x:c>
      <x:c r="H1056" s="25" t="str">
        <x:v>Crossref</x:v>
      </x:c>
      <x:c r="I1056" s="25" t="str">
        <x:v>C6_frontend_GUI_intent</x:v>
      </x:c>
      <x:c r="J1056" s="25" t="str">
        <x:v>Exclude</x:v>
      </x:c>
      <x:c r="K1056" s="25" t="str">
        <x:v>Exclude: topic mismatch</x:v>
      </x:c>
    </x:row>
    <x:row r="1057">
      <x:c r="A1057" s="20" t="str">
        <x:v>R1053</x:v>
      </x:c>
      <x:c r="B1057" s="25" t="str">
        <x:v>Evaluating Gains on Blockchain Analysis for Money Laundering (AML) detection through Machine Learning Operations (MLOps) adoption</x:v>
      </x:c>
      <x:c r="C1057" s="25" t="n">
        <x:v>2026</x:v>
      </x:c>
      <x:c r="D1057" s="25" t="str">
        <x:v>Henrique Seganfredo</x:v>
      </x:c>
      <x:c r="E1057" s="25" t="str">
        <x:v>Portuguese National Funding Agency for Science, Research and Technology (RCAAP Project by FCT)</x:v>
      </x:c>
      <x:c r="F1057" s="25" t="str"/>
      <x:c r="G1057" s="25" t="str">
        <x:v>http://hdl.handle.net/10362/200408</x:v>
      </x:c>
      <x:c r="H1057" s="25" t="str">
        <x:v>OpenAlex</x:v>
      </x:c>
      <x:c r="I1057" s="25" t="str">
        <x:v>C16_memory_conflict_bias</x:v>
      </x:c>
      <x:c r="J1057" s="25" t="str">
        <x:v>Exclude</x:v>
      </x:c>
      <x:c r="K1057" s="25" t="str">
        <x:v>Exclude: topic mismatch</x:v>
      </x:c>
    </x:row>
    <x:row r="1058">
      <x:c r="A1058" s="20" t="str">
        <x:v>R1054</x:v>
      </x:c>
      <x:c r="B1058" s="25" t="str">
        <x:v>Evaluating the Efficacy and Implications of Ai-Assisted Linguistic Editing in Academic Writing</x:v>
      </x:c>
      <x:c r="C1058" s="25" t="n">
        <x:v>2024</x:v>
      </x:c>
      <x:c r="D1058" s="25" t="str">
        <x:v>Shai Farber</x:v>
      </x:c>
      <x:c r="E1058" s="25" t="str"/>
      <x:c r="F1058" s="25" t="str">
        <x:v>10.2139/ssrn.4910187</x:v>
      </x:c>
      <x:c r="G1058" s="25" t="str">
        <x:v>https://doi.org/10.2139/ssrn.4910187</x:v>
      </x:c>
      <x:c r="H1058" s="25" t="str">
        <x:v>Crossref</x:v>
      </x:c>
      <x:c r="I1058" s="25" t="str">
        <x:v>C8_AI_3D_authoring</x:v>
      </x:c>
      <x:c r="J1058" s="25" t="str">
        <x:v>Exclude</x:v>
      </x:c>
      <x:c r="K1058" s="25" t="str">
        <x:v>Exclude: topic mismatch</x:v>
      </x:c>
    </x:row>
    <x:row r="1059">
      <x:c r="A1059" s="20" t="str">
        <x:v>R1055</x:v>
      </x:c>
      <x:c r="B1059" s="25" t="str">
        <x:v>Evidence-Grounded Verified Agentic Reasoning: A Path Toward Eliminating LLM Hallucination in Empirical Inference via Tool-Attested Kernel Proofs</x:v>
      </x:c>
      <x:c r="C1059" s="25" t="n">
        <x:v>2026</x:v>
      </x:c>
      <x:c r="D1059" s="25" t="str">
        <x:v>Junyu Ren</x:v>
      </x:c>
      <x:c r="E1059" s="25" t="str">
        <x:v>arXiv (Cornell University)</x:v>
      </x:c>
      <x:c r="F1059" s="25" t="str"/>
      <x:c r="G1059" s="25" t="str">
        <x:v>https://arxiv.org/abs/2607.12650</x:v>
      </x:c>
      <x:c r="H1059" s="25" t="str">
        <x:v>OpenAlex</x:v>
      </x:c>
      <x:c r="I1059" s="25" t="str">
        <x:v>C16_memory_conflict_bias</x:v>
      </x:c>
      <x:c r="J1059" s="25" t="str">
        <x:v>Exclude</x:v>
      </x:c>
      <x:c r="K1059" s="25" t="str">
        <x:v>Exclude: topic mismatch</x:v>
      </x:c>
    </x:row>
    <x:row r="1060">
      <x:c r="A1060" s="20" t="str">
        <x:v>R1056</x:v>
      </x:c>
      <x:c r="B1060" s="25" t="str">
        <x:v>EvidentialRAG: Quantifying and Mitigating Information Conflict in Multi-Source Retrieval-Augmented Generation via Evidential Deep Learning</x:v>
      </x:c>
      <x:c r="C1060" s="25" t="n">
        <x:v>2026</x:v>
      </x:c>
      <x:c r="D1060" s="25" t="str">
        <x:v>S M Asif Hossain; Ruksat Khan Shayoni; M. F. Mridha</x:v>
      </x:c>
      <x:c r="E1060" s="25" t="str">
        <x:v>arXiv (Cornell University)</x:v>
      </x:c>
      <x:c r="F1060" s="25" t="str"/>
      <x:c r="G1060" s="25" t="str">
        <x:v>https://arxiv.org/abs/2607.10491</x:v>
      </x:c>
      <x:c r="H1060" s="25" t="str">
        <x:v>OpenAlex</x:v>
      </x:c>
      <x:c r="I1060" s="25" t="str">
        <x:v>C16_memory_conflict_bias</x:v>
      </x:c>
      <x:c r="J1060" s="25" t="str">
        <x:v>Exclude</x:v>
      </x:c>
      <x:c r="K1060" s="25" t="str">
        <x:v>Exclude: adjacent/redundant or insufficiently theory-generative for DC1</x:v>
      </x:c>
    </x:row>
    <x:row r="1061">
      <x:c r="A1061" s="20" t="str">
        <x:v>R1057</x:v>
      </x:c>
      <x:c r="B1061" s="25" t="str">
        <x:v>Evolution of Systems Design in AI Era</x:v>
      </x:c>
      <x:c r="C1061" s="25" t="n">
        <x:v>2026</x:v>
      </x:c>
      <x:c r="D1061" s="25" t="str">
        <x:v>Ankit Jain</x:v>
      </x:c>
      <x:c r="E1061" s="25" t="str">
        <x:v>International Journal on Science and Technology</x:v>
      </x:c>
      <x:c r="F1061" s="25" t="str">
        <x:v>10.71097/ijsat.v17.i2.11316</x:v>
      </x:c>
      <x:c r="G1061" s="25" t="str">
        <x:v>https://doi.org/10.71097/ijsat.v17.i2.11316</x:v>
      </x:c>
      <x:c r="H1061" s="25" t="str">
        <x:v>OpenAlex</x:v>
      </x:c>
      <x:c r="I1061" s="25" t="str">
        <x:v>C16_memory_conflict_bias</x:v>
      </x:c>
      <x:c r="J1061" s="25" t="str">
        <x:v>Exclude</x:v>
      </x:c>
      <x:c r="K1061" s="25" t="str">
        <x:v>Exclude: domain-specific signal model without transferable HCI theory</x:v>
      </x:c>
    </x:row>
    <x:row r="1062">
      <x:c r="A1062" s="20" t="str">
        <x:v>R1058</x:v>
      </x:c>
      <x:c r="B1062" s="25" t="str">
        <x:v>Experimental Evaluation of Model Predictive Mixed-Initiative Variable Autonomy Systems Applied to Human-Robot Teams</x:v>
      </x:c>
      <x:c r="C1062" s="25" t="n">
        <x:v>2023</x:v>
      </x:c>
      <x:c r="D1062" s="25" t="str">
        <x:v>Aniketh Ramesh; Christian Alexander Braun; Tianshu Ruan; Simon Rothfuß; Sören Hohmann; Rustam Stolkin; Manolis Chiou</x:v>
      </x:c>
      <x:c r="E1062" s="25" t="str"/>
      <x:c r="F1062" s="25" t="str">
        <x:v>10.36227/techrxiv.24018825</x:v>
      </x:c>
      <x:c r="G1062" s="25" t="str">
        <x:v>https://doi.org/10.36227/techrxiv.24018825</x:v>
      </x:c>
      <x:c r="H1062" s="25" t="str">
        <x:v>Crossref</x:v>
      </x:c>
      <x:c r="I1062" s="25" t="str">
        <x:v>C9_human_agent_handoff</x:v>
      </x:c>
      <x:c r="J1062" s="25" t="str">
        <x:v>Exclude</x:v>
      </x:c>
      <x:c r="K1062" s="25" t="str">
        <x:v>Exclude: adjacent/redundant or insufficiently theory-generative for DC1</x:v>
      </x:c>
    </x:row>
    <x:row r="1063">
      <x:c r="A1063" s="20" t="str">
        <x:v>R1059</x:v>
      </x:c>
      <x:c r="B1063" s="25" t="str">
        <x:v>Experimental Evaluation of Model Predictive Mixed-Initiative Variable Autonomy Systems Applied to Human-Robot Teams</x:v>
      </x:c>
      <x:c r="C1063" s="25" t="n">
        <x:v>2023</x:v>
      </x:c>
      <x:c r="D1063" s="25" t="str">
        <x:v>Aniketh Ramesh; Christian Alexander Braun; Tianshu Ruan; Simon Rothfuß; Sören Hohmann; Rustam Stolkin; Manolis Chiou</x:v>
      </x:c>
      <x:c r="E1063" s="25" t="str"/>
      <x:c r="F1063" s="25" t="str">
        <x:v>10.36227/techrxiv.24018825.v1</x:v>
      </x:c>
      <x:c r="G1063" s="25" t="str">
        <x:v>https://doi.org/10.36227/techrxiv.24018825.v1</x:v>
      </x:c>
      <x:c r="H1063" s="25" t="str">
        <x:v>Crossref</x:v>
      </x:c>
      <x:c r="I1063" s="25" t="str">
        <x:v>C9_human_agent_handoff</x:v>
      </x:c>
      <x:c r="J1063" s="25" t="str">
        <x:v>Exclude</x:v>
      </x:c>
      <x:c r="K1063" s="25" t="str">
        <x:v>Exclude: adjacent/redundant or insufficiently theory-generative for DC1</x:v>
      </x:c>
    </x:row>
    <x:row r="1064">
      <x:c r="A1064" s="20" t="str">
        <x:v>R1060</x:v>
      </x:c>
      <x:c r="B1064" s="25" t="str">
        <x:v>Explicit 3D Functional Dimensioning to Support Design Intent Representation and Robust Model Alteration</x:v>
      </x:c>
      <x:c r="C1064" s="25" t="n">
        <x:v>2015</x:v>
      </x:c>
      <x:c r="D1064" s="25" t="str">
        <x:v>Ferruccio Mandorli; Harald Otto; Roberto Raffaeli</x:v>
      </x:c>
      <x:c r="E1064" s="25" t="str">
        <x:v>Proceedings of CAD'15</x:v>
      </x:c>
      <x:c r="F1064" s="25" t="str">
        <x:v>10.14733/cadconfp.2015.177-182</x:v>
      </x:c>
      <x:c r="G1064" s="25" t="str">
        <x:v>https://doi.org/10.14733/cadconfp.2015.177-182</x:v>
      </x:c>
      <x:c r="H1064" s="25" t="str">
        <x:v>Crossref</x:v>
      </x:c>
      <x:c r="I1064" s="25" t="str">
        <x:v>C13_CAD_design_intent</x:v>
      </x:c>
      <x:c r="J1064" s="25" t="str">
        <x:v>Exclude</x:v>
      </x:c>
      <x:c r="K1064" s="25" t="str">
        <x:v>Exclude: adjacent/redundant or insufficiently theory-generative for DC1</x:v>
      </x:c>
    </x:row>
    <x:row r="1065">
      <x:c r="A1065" s="20" t="str">
        <x:v>R1061</x:v>
      </x:c>
      <x:c r="B1065" s="25" t="str">
        <x:v>Exploring Mixed-Initiative Dialogue Using Computer Dialogue Simulation</x:v>
      </x:c>
      <x:c r="C1065" s="25" t="n">
        <x:v>1999</x:v>
      </x:c>
      <x:c r="D1065" s="25" t="str">
        <x:v>Masato Ishizaki; Matthew Crocker; Chris Mellish</x:v>
      </x:c>
      <x:c r="E1065" s="25" t="str">
        <x:v>Computational Models of Mixed-Initiative Interaction</x:v>
      </x:c>
      <x:c r="F1065" s="25" t="str">
        <x:v>10.1007/978-94-017-1118-0_7</x:v>
      </x:c>
      <x:c r="G1065" s="25" t="str">
        <x:v>https://doi.org/10.1007/978-94-017-1118-0_7</x:v>
      </x:c>
      <x:c r="H1065" s="25" t="str">
        <x:v>Crossref</x:v>
      </x:c>
      <x:c r="I1065" s="25" t="str">
        <x:v>C15_proactive_interruption</x:v>
      </x:c>
      <x:c r="J1065" s="25" t="str">
        <x:v>Exclude</x:v>
      </x:c>
      <x:c r="K1065" s="25" t="str">
        <x:v>Exclude: adjacent/redundant or insufficiently theory-generative for DC1</x:v>
      </x:c>
    </x:row>
    <x:row r="1066">
      <x:c r="A1066" s="20" t="str">
        <x:v>R1062</x:v>
      </x:c>
      <x:c r="B1066" s="25" t="str">
        <x:v>Exploring the Future of Human-AI Collaboration: Insights from "Human-AI Interaction and Collaboration"</x:v>
      </x:c>
      <x:c r="C1066" s="25" t="n">
        <x:v>2026</x:v>
      </x:c>
      <x:c r="D1066" s="25" t="str">
        <x:v>Dan Wu; Shaobo Liang</x:v>
      </x:c>
      <x:c r="E1066" s="25" t="str">
        <x:v>SSRN Electronic Journal</x:v>
      </x:c>
      <x:c r="F1066" s="25" t="str">
        <x:v>10.2139/ssrn.6250558</x:v>
      </x:c>
      <x:c r="G1066" s="25" t="str">
        <x:v>https://doi.org/10.2139/ssrn.6250558</x:v>
      </x:c>
      <x:c r="H1066" s="25" t="str">
        <x:v>Crossref</x:v>
      </x:c>
      <x:c r="I1066" s="25" t="str">
        <x:v>C12_common_ground_repair</x:v>
      </x:c>
      <x:c r="J1066" s="25" t="str">
        <x:v>Exclude</x:v>
      </x:c>
      <x:c r="K1066" s="25" t="str">
        <x:v>Exclude: topic mismatch</x:v>
      </x:c>
    </x:row>
    <x:row r="1067">
      <x:c r="A1067" s="20" t="str">
        <x:v>R1063</x:v>
      </x:c>
      <x:c r="B1067" s="25" t="str">
        <x:v>Eye-Tracking Video Augmented Cognitive Task Analysis of Neonatal Resuscitation</x:v>
      </x:c>
      <x:c r="C1067" s="25" t="n">
        <x:v>2020</x:v>
      </x:c>
      <x:c r="D1067" s="25" t="str">
        <x:v>Emily Zehnder; Georg Schmölzer</x:v>
      </x:c>
      <x:c r="E1067" s="25" t="str"/>
      <x:c r="F1067" s="25" t="str">
        <x:v>10.4135/9781529734478</x:v>
      </x:c>
      <x:c r="G1067" s="25" t="str">
        <x:v>https://doi.org/10.4135/9781529734478</x:v>
      </x:c>
      <x:c r="H1067" s="25" t="str">
        <x:v>Crossref</x:v>
      </x:c>
      <x:c r="I1067" s="25" t="str">
        <x:v>C18_video_intent_coding_VLM_annotation</x:v>
      </x:c>
      <x:c r="J1067" s="25" t="str">
        <x:v>Exclude</x:v>
      </x:c>
      <x:c r="K1067" s="25" t="str">
        <x:v>Exclude: topic mismatch</x:v>
      </x:c>
    </x:row>
    <x:row r="1068">
      <x:c r="A1068" s="20" t="str">
        <x:v>R1064</x:v>
      </x:c>
      <x:c r="B1068" s="25" t="str">
        <x:v>Face and Form</x:v>
      </x:c>
      <x:c r="C1068" s="25" t="n">
        <x:v>2025</x:v>
      </x:c>
      <x:c r="D1068" s="25" t="str">
        <x:v>Anca Parvulescu</x:v>
      </x:c>
      <x:c r="E1068" s="25" t="str">
        <x:v>Cambridge University Press eBooks</x:v>
      </x:c>
      <x:c r="F1068" s="25" t="str">
        <x:v>10.1017/9781009599801</x:v>
      </x:c>
      <x:c r="G1068" s="25" t="str">
        <x:v>https://doi.org/10.1017/9781009599801</x:v>
      </x:c>
      <x:c r="H1068" s="25" t="str">
        <x:v>OpenAlex</x:v>
      </x:c>
      <x:c r="I1068" s="25" t="str">
        <x:v>C16_memory_conflict_bias</x:v>
      </x:c>
      <x:c r="J1068" s="25" t="str">
        <x:v>Exclude</x:v>
      </x:c>
      <x:c r="K1068" s="25" t="str">
        <x:v>Exclude: adjacent/redundant or insufficiently theory-generative for DC1</x:v>
      </x:c>
    </x:row>
    <x:row r="1069">
      <x:c r="A1069" s="20" t="str">
        <x:v>R1065</x:v>
      </x:c>
      <x:c r="B1069" s="25" t="str">
        <x:v>Feature-Based Modeling for Preliminary Design Support</x:v>
      </x:c>
      <x:c r="C1069" s="25" t="n">
        <x:v>1992</x:v>
      </x:c>
      <x:c r="D1069" s="25" t="str">
        <x:v>Jivka Ovtcharova</x:v>
      </x:c>
      <x:c r="E1069" s="25" t="str">
        <x:v>Informatik aktuell</x:v>
      </x:c>
      <x:c r="F1069" s="25" t="str">
        <x:v>10.1007/978-3-642-77531-4_33</x:v>
      </x:c>
      <x:c r="G1069" s="25" t="str">
        <x:v>https://doi.org/10.1007/978-3-642-77531-4_33</x:v>
      </x:c>
      <x:c r="H1069" s="25" t="str">
        <x:v>Crossref</x:v>
      </x:c>
      <x:c r="I1069" s="25" t="str">
        <x:v>C13_CAD_design_intent</x:v>
      </x:c>
      <x:c r="J1069" s="25" t="str">
        <x:v>Exclude</x:v>
      </x:c>
      <x:c r="K1069" s="25" t="str">
        <x:v>Exclude: topic mismatch</x:v>
      </x:c>
    </x:row>
    <x:row r="1070">
      <x:c r="A1070" s="20" t="str">
        <x:v>R1066</x:v>
      </x:c>
      <x:c r="B1070" s="25" t="str">
        <x:v>Few-Shot Intent Classification in User-Generated Short Texts : Application to Conversational Agents</x:v>
      </x:c>
      <x:c r="C1070" s="25" t="str"/>
      <x:c r="D1070" s="25" t="str">
        <x:v>; Thomas Dopierre</x:v>
      </x:c>
      <x:c r="E1070" s="25" t="str"/>
      <x:c r="F1070" s="25" t="str">
        <x:v>10.70675/ce4875adzcf6ez4960z908dz7dcd0ea70205</x:v>
      </x:c>
      <x:c r="G1070" s="25" t="str">
        <x:v>https://doi.org/10.70675/ce4875adzcf6ez4960z908dz7dcd0ea70205</x:v>
      </x:c>
      <x:c r="H1070" s="25" t="str">
        <x:v>Crossref</x:v>
      </x:c>
      <x:c r="I1070" s="25" t="str">
        <x:v>C2_interaction_signals</x:v>
      </x:c>
      <x:c r="J1070" s="25" t="str">
        <x:v>Exclude</x:v>
      </x:c>
      <x:c r="K1070" s="25" t="str">
        <x:v>Exclude: adjacent/redundant or insufficiently theory-generative for DC1</x:v>
      </x:c>
    </x:row>
    <x:row r="1071">
      <x:c r="A1071" s="20" t="str">
        <x:v>R1067</x:v>
      </x:c>
      <x:c r="B1071" s="25" t="str">
        <x:v>Figure 13: User interface for learner interaction.</x:v>
      </x:c>
      <x:c r="C1071" s="25" t="str"/>
      <x:c r="D1071" s="25" t="str"/>
      <x:c r="E1071" s="25" t="str"/>
      <x:c r="F1071" s="25" t="str">
        <x:v>10.7717/peerj-cs.532/fig-13</x:v>
      </x:c>
      <x:c r="G1071" s="25" t="str">
        <x:v>https://doi.org/10.7717/peerj-cs.532/fig-13</x:v>
      </x:c>
      <x:c r="H1071" s="25" t="str">
        <x:v>Crossref</x:v>
      </x:c>
      <x:c r="I1071" s="25" t="str">
        <x:v>C6_frontend_GUI_intent</x:v>
      </x:c>
      <x:c r="J1071" s="25" t="str">
        <x:v>Exclude</x:v>
      </x:c>
      <x:c r="K1071" s="25" t="str">
        <x:v>Exclude: topic mismatch</x:v>
      </x:c>
    </x:row>
    <x:row r="1072">
      <x:c r="A1072" s="20" t="str">
        <x:v>R1068</x:v>
      </x:c>
      <x:c r="B1072" s="25" t="str">
        <x:v>Figure 2: The simplified Graphical User Interface (GUI).</x:v>
      </x:c>
      <x:c r="C1072" s="25" t="str"/>
      <x:c r="D1072" s="25" t="str"/>
      <x:c r="E1072" s="25" t="str"/>
      <x:c r="F1072" s="25" t="str">
        <x:v>10.7717/peerjcs.161/fig-2</x:v>
      </x:c>
      <x:c r="G1072" s="25" t="str">
        <x:v>https://doi.org/10.7717/peerjcs.161/fig-2</x:v>
      </x:c>
      <x:c r="H1072" s="25" t="str">
        <x:v>Crossref</x:v>
      </x:c>
      <x:c r="I1072" s="25" t="str">
        <x:v>C6_frontend_GUI_intent</x:v>
      </x:c>
      <x:c r="J1072" s="25" t="str">
        <x:v>Exclude</x:v>
      </x:c>
      <x:c r="K1072" s="25" t="str">
        <x:v>Exclude: topic mismatch</x:v>
      </x:c>
    </x:row>
    <x:row r="1073">
      <x:c r="A1073" s="20" t="str">
        <x:v>R1069</x:v>
      </x:c>
      <x:c r="B1073" s="25" t="str">
        <x:v>Finding common ground: creating library spaces for collaboration</x:v>
      </x:c>
      <x:c r="C1073" s="25" t="str"/>
      <x:c r="D1073" s="25" t="str">
        <x:v>Beverly Mitchell</x:v>
      </x:c>
      <x:c r="E1073" s="25" t="str">
        <x:v>The Handbook of Art and Design Librarianship</x:v>
      </x:c>
      <x:c r="F1073" s="25" t="str">
        <x:v>10.29085/9781783302024.034</x:v>
      </x:c>
      <x:c r="G1073" s="25" t="str">
        <x:v>https://doi.org/10.29085/9781783302024.034</x:v>
      </x:c>
      <x:c r="H1073" s="25" t="str">
        <x:v>Crossref</x:v>
      </x:c>
      <x:c r="I1073" s="25" t="str">
        <x:v>C12_common_ground_repair</x:v>
      </x:c>
      <x:c r="J1073" s="25" t="str">
        <x:v>Exclude</x:v>
      </x:c>
      <x:c r="K1073" s="25" t="str">
        <x:v>Exclude: topic mismatch</x:v>
      </x:c>
    </x:row>
    <x:row r="1074">
      <x:c r="A1074" s="20" t="str">
        <x:v>R1070</x:v>
      </x:c>
      <x:c r="B1074" s="25" t="str">
        <x:v>Fractionating episodic memory retrieval using event-related potentials</x:v>
      </x:c>
      <x:c r="C1074" s="25" t="n">
        <x:v>2005</x:v>
      </x:c>
      <x:c r="D1074" s="25" t="str"/>
      <x:c r="E1074" s="25" t="str">
        <x:v>The Cognitive Neuroscience of Memory</x:v>
      </x:c>
      <x:c r="F1074" s="25" t="str">
        <x:v>10.4324/9780203989388-11</x:v>
      </x:c>
      <x:c r="G1074" s="25" t="str">
        <x:v>https://doi.org/10.4324/9780203989388-11</x:v>
      </x:c>
      <x:c r="H1074" s="25" t="str">
        <x:v>Crossref</x:v>
      </x:c>
      <x:c r="I1074" s="25" t="str">
        <x:v>C16_memory_conflict_bias; C5_agent_memory</x:v>
      </x:c>
      <x:c r="J1074" s="25" t="str">
        <x:v>Exclude</x:v>
      </x:c>
      <x:c r="K1074" s="25" t="str">
        <x:v>Exclude: adjacent/redundant or insufficiently theory-generative for DC1</x:v>
      </x:c>
    </x:row>
    <x:row r="1075">
      <x:c r="A1075" s="20" t="str">
        <x:v>R1071</x:v>
      </x:c>
      <x:c r="B1075" s="25" t="str">
        <x:v>Frame of reference</x:v>
      </x:c>
      <x:c r="C1075" s="25" t="str"/>
      <x:c r="D1075" s="25" t="str"/>
      <x:c r="E1075" s="25" t="str">
        <x:v>AccessScience</x:v>
      </x:c>
      <x:c r="F1075" s="25" t="str">
        <x:v>10.1036/1097-8542.270900</x:v>
      </x:c>
      <x:c r="G1075" s="25" t="str">
        <x:v>https://doi.org/10.1036/1097-8542.270900</x:v>
      </x:c>
      <x:c r="H1075" s="25" t="str">
        <x:v>Crossref</x:v>
      </x:c>
      <x:c r="I1075" s="25" t="str">
        <x:v>C17_3D_gesture_ambiguity</x:v>
      </x:c>
      <x:c r="J1075" s="25" t="str">
        <x:v>Exclude</x:v>
      </x:c>
      <x:c r="K1075" s="25" t="str">
        <x:v>Exclude: topic mismatch</x:v>
      </x:c>
    </x:row>
    <x:row r="1076">
      <x:c r="A1076" s="20" t="str">
        <x:v>R1072</x:v>
      </x:c>
      <x:c r="B1076" s="25" t="str">
        <x:v>From Conceptual to Embodiment Design Using Sketch-Based Modeling and Feature Recognition Techniques</x:v>
      </x:c>
      <x:c r="C1076" s="25" t="n">
        <x:v>2026</x:v>
      </x:c>
      <x:c r="D1076" s="25" t="str">
        <x:v>Pedro Company; Jorge Camba; Jiwei Zhou; Manuel Contero</x:v>
      </x:c>
      <x:c r="E1076" s="25" t="str">
        <x:v>CAD'26 Proceedings</x:v>
      </x:c>
      <x:c r="F1076" s="25" t="str">
        <x:v>10.14733/cadconfp.2026.50-54</x:v>
      </x:c>
      <x:c r="G1076" s="25" t="str">
        <x:v>https://doi.org/10.14733/cadconfp.2026.50-54</x:v>
      </x:c>
      <x:c r="H1076" s="25" t="str">
        <x:v>Crossref</x:v>
      </x:c>
      <x:c r="I1076" s="25" t="str">
        <x:v>C13_CAD_design_intent</x:v>
      </x:c>
      <x:c r="J1076" s="25" t="str">
        <x:v>Exclude</x:v>
      </x:c>
      <x:c r="K1076" s="25" t="str">
        <x:v>Exclude: topic mismatch</x:v>
      </x:c>
    </x:row>
    <x:row r="1077">
      <x:c r="A1077" s="20" t="str">
        <x:v>R1073</x:v>
      </x:c>
      <x:c r="B1077" s="25" t="str">
        <x:v>From Logic Monopoly to Social Contract: Separation of Power and the Institutional Foundations for Autonomous Agent Economies</x:v>
      </x:c>
      <x:c r="C1077" s="25" t="n">
        <x:v>2026</x:v>
      </x:c>
      <x:c r="D1077" s="25" t="str">
        <x:v>Anbang Ruan</x:v>
      </x:c>
      <x:c r="E1077" s="25" t="str">
        <x:v>arXiv (Cornell University)</x:v>
      </x:c>
      <x:c r="F1077" s="25" t="str"/>
      <x:c r="G1077" s="25" t="str">
        <x:v>http://arxiv.org/abs/2603.25100</x:v>
      </x:c>
      <x:c r="H1077" s="25" t="str">
        <x:v>OpenAlex</x:v>
      </x:c>
      <x:c r="I1077" s="25" t="str">
        <x:v>C9_human_agent_handoff</x:v>
      </x:c>
      <x:c r="J1077" s="25" t="str">
        <x:v>Exclude</x:v>
      </x:c>
      <x:c r="K1077" s="25" t="str">
        <x:v>Exclude: adjacent/redundant or insufficiently theory-generative for DC1</x:v>
      </x:c>
    </x:row>
    <x:row r="1078">
      <x:c r="A1078" s="20" t="str">
        <x:v>R1074</x:v>
      </x:c>
      <x:c r="B1078" s="25" t="str">
        <x:v>From Thought to Thing: Using the Fused Deposition Modeling and 3D Printing Processes for Undergraduate Design Projects</x:v>
      </x:c>
      <x:c r="C1078" s="25" t="n">
        <x:v>2015</x:v>
      </x:c>
      <x:c r="D1078" s="25" t="str"/>
      <x:c r="E1078" s="25" t="str">
        <x:v>CAD'15</x:v>
      </x:c>
      <x:c r="F1078" s="25" t="str">
        <x:v>10.14733/cadconfp.2015.508-512</x:v>
      </x:c>
      <x:c r="G1078" s="25" t="str">
        <x:v>https://doi.org/10.14733/cadconfp.2015.508-512</x:v>
      </x:c>
      <x:c r="H1078" s="25" t="str">
        <x:v>Crossref</x:v>
      </x:c>
      <x:c r="I1078" s="25" t="str">
        <x:v>C13_CAD_design_intent</x:v>
      </x:c>
      <x:c r="J1078" s="25" t="str">
        <x:v>Exclude</x:v>
      </x:c>
      <x:c r="K1078" s="25" t="str">
        <x:v>Exclude: adjacent/redundant or insufficiently theory-generative for DC1</x:v>
      </x:c>
    </x:row>
    <x:row r="1079">
      <x:c r="A1079" s="20" t="str">
        <x:v>R1075</x:v>
      </x:c>
      <x:c r="B1079" s="25" t="str">
        <x:v>From Tool to Partner</x:v>
      </x:c>
      <x:c r="C1079" s="25" t="n">
        <x:v>2025</x:v>
      </x:c>
      <x:c r="D1079" s="25" t="str">
        <x:v>Gloria Ziglioli; Giulia Banfi; Alhassan Yakubu Alhassan</x:v>
      </x:c>
      <x:c r="E1079" s="25" t="str">
        <x:v>Oxford Intersections: AI in Society</x:v>
      </x:c>
      <x:c r="F1079" s="25" t="str">
        <x:v>10.1093/9780198945215.003.0147</x:v>
      </x:c>
      <x:c r="G1079" s="25" t="str">
        <x:v>https://doi.org/10.1093/9780198945215.003.0147</x:v>
      </x:c>
      <x:c r="H1079" s="25" t="str">
        <x:v>Crossref</x:v>
      </x:c>
      <x:c r="I1079" s="25" t="str">
        <x:v>C12_common_ground_repair</x:v>
      </x:c>
      <x:c r="J1079" s="25" t="str">
        <x:v>Exclude</x:v>
      </x:c>
      <x:c r="K1079" s="25" t="str">
        <x:v>Exclude: topic mismatch</x:v>
      </x:c>
    </x:row>
    <x:row r="1080">
      <x:c r="A1080" s="20" t="str">
        <x:v>R1076</x:v>
      </x:c>
      <x:c r="B1080" s="25" t="str">
        <x:v>From Tools to Partners: How Multimodal AI Reshapes Creative Agency and Perceived Authenticity in Human-AI Collaboration</x:v>
      </x:c>
      <x:c r="C1080" s="25" t="n">
        <x:v>2026</x:v>
      </x:c>
      <x:c r="D1080" s="25" t="str">
        <x:v>nashwa ali</x:v>
      </x:c>
      <x:c r="E1080" s="25" t="str"/>
      <x:c r="F1080" s="25" t="str">
        <x:v>10.2139/ssrn.6512535</x:v>
      </x:c>
      <x:c r="G1080" s="25" t="str">
        <x:v>https://doi.org/10.2139/ssrn.6512535</x:v>
      </x:c>
      <x:c r="H1080" s="25" t="str">
        <x:v>Crossref</x:v>
      </x:c>
      <x:c r="I1080" s="25" t="str">
        <x:v>C7_creative_agency</x:v>
      </x:c>
      <x:c r="J1080" s="25" t="str">
        <x:v>Exclude</x:v>
      </x:c>
      <x:c r="K1080" s="25" t="str">
        <x:v>Exclude: adjacent/redundant or insufficiently theory-generative for DC1</x:v>
      </x:c>
    </x:row>
    <x:row r="1081">
      <x:c r="A1081" s="20" t="str">
        <x:v>R1077</x:v>
      </x:c>
      <x:c r="B1081" s="25" t="str">
        <x:v>From jamais to déjà vu: The respective roles of semantic and episodic memory in novelty monitoring and involuntary memory retrieval</x:v>
      </x:c>
      <x:c r="C1081" s="25" t="n">
        <x:v>2023</x:v>
      </x:c>
      <x:c r="D1081" s="25" t="str">
        <x:v>Louis Renoult; J. Bruno Debruille</x:v>
      </x:c>
      <x:c r="E1081" s="25" t="str">
        <x:v>Behavioral and Brain Sciences</x:v>
      </x:c>
      <x:c r="F1081" s="25" t="str">
        <x:v>10.1017/s0140525x23000158</x:v>
      </x:c>
      <x:c r="G1081" s="25" t="str">
        <x:v>https://doi.org/10.1017/s0140525x23000158</x:v>
      </x:c>
      <x:c r="H1081" s="25" t="str">
        <x:v>Crossref</x:v>
      </x:c>
      <x:c r="I1081" s="25" t="str">
        <x:v>C5_agent_memory</x:v>
      </x:c>
      <x:c r="J1081" s="25" t="str">
        <x:v>Exclude</x:v>
      </x:c>
      <x:c r="K1081" s="25" t="str">
        <x:v>Exclude: adjacent/redundant or insufficiently theory-generative for DC1</x:v>
      </x:c>
    </x:row>
    <x:row r="1082">
      <x:c r="A1082" s="20" t="str">
        <x:v>R1078</x:v>
      </x:c>
      <x:c r="B1082" s="25" t="str">
        <x:v>Future Directions for Cognitive Task Analysis</x:v>
      </x:c>
      <x:c r="C1082" s="25" t="n">
        <x:v>2006</x:v>
      </x:c>
      <x:c r="D1082" s="25" t="str"/>
      <x:c r="E1082" s="25" t="str">
        <x:v>Working Minds</x:v>
      </x:c>
      <x:c r="F1082" s="25" t="str">
        <x:v>10.7551/mitpress/7304.003.0020</x:v>
      </x:c>
      <x:c r="G1082" s="25" t="str">
        <x:v>https://doi.org/10.7551/mitpress/7304.003.0020</x:v>
      </x:c>
      <x:c r="H1082" s="25" t="str">
        <x:v>Crossref</x:v>
      </x:c>
      <x:c r="I1082" s="25" t="str">
        <x:v>C18_video_intent_coding_VLM_annotation</x:v>
      </x:c>
      <x:c r="J1082" s="25" t="str">
        <x:v>Exclude</x:v>
      </x:c>
      <x:c r="K1082" s="25" t="str">
        <x:v>Exclude: adjacent/redundant or insufficiently theory-generative for DC1</x:v>
      </x:c>
    </x:row>
    <x:row r="1083">
      <x:c r="A1083" s="20" t="str">
        <x:v>R1079</x:v>
      </x:c>
      <x:c r="B1083" s="25" t="str">
        <x:v>Fuzzy logic in data modeling: Semantics, constraints, and database design</x:v>
      </x:c>
      <x:c r="C1083" s="25" t="n">
        <x:v>1999</x:v>
      </x:c>
      <x:c r="D1083" s="25" t="str"/>
      <x:c r="E1083" s="25" t="str">
        <x:v>Computers &amp;amp; Mathematics with Applications</x:v>
      </x:c>
      <x:c r="F1083" s="25" t="str">
        <x:v>10.1016/s0898-1221(99)90023-8</x:v>
      </x:c>
      <x:c r="G1083" s="25" t="str">
        <x:v>https://doi.org/10.1016/s0898-1221(99)90023-8</x:v>
      </x:c>
      <x:c r="H1083" s="25" t="str">
        <x:v>Crossref</x:v>
      </x:c>
      <x:c r="I1083" s="25" t="str">
        <x:v>C13_CAD_design_intent</x:v>
      </x:c>
      <x:c r="J1083" s="25" t="str">
        <x:v>Exclude</x:v>
      </x:c>
      <x:c r="K1083" s="25" t="str">
        <x:v>Exclude: topic mismatch</x:v>
      </x:c>
    </x:row>
    <x:row r="1084">
      <x:c r="A1084" s="20" t="str">
        <x:v>R1080</x:v>
      </x:c>
      <x:c r="B1084" s="25" t="str">
        <x:v>GRAPHICAL USER INTERFACE (GUI)</x:v>
      </x:c>
      <x:c r="C1084" s="25" t="n">
        <x:v>2014</x:v>
      </x:c>
      <x:c r="D1084" s="25" t="str"/>
      <x:c r="E1084" s="25" t="str">
        <x:v>Encyclopedia of Environmental Change</x:v>
      </x:c>
      <x:c r="F1084" s="25" t="str">
        <x:v>10.4135/9781446247501.n1750</x:v>
      </x:c>
      <x:c r="G1084" s="25" t="str">
        <x:v>https://doi.org/10.4135/9781446247501.n1750</x:v>
      </x:c>
      <x:c r="H1084" s="25" t="str">
        <x:v>Crossref</x:v>
      </x:c>
      <x:c r="I1084" s="25" t="str">
        <x:v>C6_frontend_GUI_intent</x:v>
      </x:c>
      <x:c r="J1084" s="25" t="str">
        <x:v>Exclude</x:v>
      </x:c>
      <x:c r="K1084" s="25" t="str">
        <x:v>Exclude: topic mismatch</x:v>
      </x:c>
    </x:row>
    <x:row r="1085">
      <x:c r="A1085" s="20" t="str">
        <x:v>R1081</x:v>
      </x:c>
      <x:c r="B1085" s="25" t="str">
        <x:v>Generalization and Memory Reorganization</x:v>
      </x:c>
      <x:c r="C1085" s="25" t="n">
        <x:v>2014</x:v>
      </x:c>
      <x:c r="D1085" s="25" t="str"/>
      <x:c r="E1085" s="25" t="str">
        <x:v>Retrieval and Organizational Strategies in Conceptual Memory (PLE: Memory)</x:v>
      </x:c>
      <x:c r="F1085" s="25" t="str">
        <x:v>10.4324/9781315774930-19</x:v>
      </x:c>
      <x:c r="G1085" s="25" t="str">
        <x:v>https://doi.org/10.4324/9781315774930-19</x:v>
      </x:c>
      <x:c r="H1085" s="25" t="str">
        <x:v>Crossref</x:v>
      </x:c>
      <x:c r="I1085" s="25" t="str">
        <x:v>C16_memory_conflict_bias</x:v>
      </x:c>
      <x:c r="J1085" s="25" t="str">
        <x:v>Exclude</x:v>
      </x:c>
      <x:c r="K1085" s="25" t="str">
        <x:v>Exclude: adjacent/redundant or insufficiently theory-generative for DC1</x:v>
      </x:c>
    </x:row>
    <x:row r="1086">
      <x:c r="A1086" s="20" t="str">
        <x:v>R1082</x:v>
      </x:c>
      <x:c r="B1086" s="25" t="str">
        <x:v>Geometric Artificial Intelligence for Robotics, Autonomous Electric Mobility and Smart Manufacturing</x:v>
      </x:c>
      <x:c r="C1086" s="25" t="n">
        <x:v>2026</x:v>
      </x:c>
      <x:c r="D1086" s="25" t="str">
        <x:v>Murali Krishna Pasupuleti</x:v>
      </x:c>
      <x:c r="E1086" s="25" t="str"/>
      <x:c r="F1086" s="25" t="str">
        <x:v>10.62311/nesx/rb9j-978-81-688382-1-5</x:v>
      </x:c>
      <x:c r="G1086" s="25" t="str">
        <x:v>https://doi.org/10.62311/nesx/rb9j-978-81-688382-1-5</x:v>
      </x:c>
      <x:c r="H1086" s="25" t="str">
        <x:v>OpenAlex</x:v>
      </x:c>
      <x:c r="I1086" s="25" t="str">
        <x:v>C16_memory_conflict_bias</x:v>
      </x:c>
      <x:c r="J1086" s="25" t="str">
        <x:v>Exclude</x:v>
      </x:c>
      <x:c r="K1086" s="25" t="str">
        <x:v>Exclude: adjacent/redundant or insufficiently theory-generative for DC1</x:v>
      </x:c>
    </x:row>
    <x:row r="1087">
      <x:c r="A1087" s="20" t="str">
        <x:v>R1083</x:v>
      </x:c>
      <x:c r="B1087" s="25" t="str">
        <x:v>Governing the Transition to Action: An Agentic Architecture for Situation-Aware LLMs</x:v>
      </x:c>
      <x:c r="C1087" s="25" t="n">
        <x:v>2026</x:v>
      </x:c>
      <x:c r="D1087" s="25" t="str">
        <x:v>Michael Hildebrandt</x:v>
      </x:c>
      <x:c r="E1087" s="25" t="str">
        <x:v>AHFE international</x:v>
      </x:c>
      <x:c r="F1087" s="25" t="str">
        <x:v>10.54941/ahfe1007315</x:v>
      </x:c>
      <x:c r="G1087" s="25" t="str">
        <x:v>https://doi.org/10.54941/ahfe1007315</x:v>
      </x:c>
      <x:c r="H1087" s="25" t="str">
        <x:v>OpenAlex</x:v>
      </x:c>
      <x:c r="I1087" s="25" t="str">
        <x:v>C16_memory_conflict_bias</x:v>
      </x:c>
      <x:c r="J1087" s="25" t="str">
        <x:v>Exclude</x:v>
      </x:c>
      <x:c r="K1087" s="25" t="str">
        <x:v>Exclude: topic mismatch</x:v>
      </x:c>
    </x:row>
    <x:row r="1088">
      <x:c r="A1088" s="20" t="str">
        <x:v>R1084</x:v>
      </x:c>
      <x:c r="B1088" s="25" t="str">
        <x:v>Graphical User Interface (GUI)</x:v>
      </x:c>
      <x:c r="C1088" s="25" t="n">
        <x:v>1998</x:v>
      </x:c>
      <x:c r="D1088" s="25" t="str"/>
      <x:c r="E1088" s="25" t="str">
        <x:v>Encyclopedia of Computational Chemistry</x:v>
      </x:c>
      <x:c r="F1088" s="25" t="str">
        <x:v>10.1002/0470845015.cgd007</x:v>
      </x:c>
      <x:c r="G1088" s="25" t="str">
        <x:v>https://doi.org/10.1002/0470845015.cgd007</x:v>
      </x:c>
      <x:c r="H1088" s="25" t="str">
        <x:v>Crossref</x:v>
      </x:c>
      <x:c r="I1088" s="25" t="str">
        <x:v>C6_frontend_GUI_intent</x:v>
      </x:c>
      <x:c r="J1088" s="25" t="str">
        <x:v>Exclude</x:v>
      </x:c>
      <x:c r="K1088" s="25" t="str">
        <x:v>Exclude: topic mismatch</x:v>
      </x:c>
    </x:row>
    <x:row r="1089">
      <x:c r="A1089" s="20" t="str">
        <x:v>R1085</x:v>
      </x:c>
      <x:c r="B1089" s="25" t="str">
        <x:v>Grounding the meaning – negotiation of semantic features in conversation</x:v>
      </x:c>
      <x:c r="C1089" s="25" t="n">
        <x:v>2025</x:v>
      </x:c>
      <x:c r="D1089" s="25" t="str">
        <x:v>Anna Kutscher</x:v>
      </x:c>
      <x:c r="E1089" s="25" t="str">
        <x:v>Cahiers de praxématique</x:v>
      </x:c>
      <x:c r="F1089" s="25" t="str">
        <x:v>10.4000/15b3w</x:v>
      </x:c>
      <x:c r="G1089" s="25" t="str">
        <x:v>https://doi.org/10.4000/15b3w</x:v>
      </x:c>
      <x:c r="H1089" s="25" t="str">
        <x:v>Crossref</x:v>
      </x:c>
      <x:c r="I1089" s="25" t="str">
        <x:v>C12_common_ground_repair</x:v>
      </x:c>
      <x:c r="J1089" s="25" t="str">
        <x:v>Exclude</x:v>
      </x:c>
      <x:c r="K1089" s="25" t="str">
        <x:v>Exclude: adjacent/redundant or insufficiently theory-generative for DC1</x:v>
      </x:c>
    </x:row>
    <x:row r="1090">
      <x:c r="A1090" s="20" t="str">
        <x:v>R1086</x:v>
      </x:c>
      <x:c r="B1090" s="25" t="str">
        <x:v>Gui Graphical User Interface</x:v>
      </x:c>
      <x:c r="C1090" s="25" t="str"/>
      <x:c r="D1090" s="25" t="str"/>
      <x:c r="E1090" s="25" t="str">
        <x:v>X.systems.press</x:v>
      </x:c>
      <x:c r="F1090" s="25" t="str">
        <x:v>10.1007/3-540-34611-2_15</x:v>
      </x:c>
      <x:c r="G1090" s="25" t="str">
        <x:v>https://doi.org/10.1007/3-540-34611-2_15</x:v>
      </x:c>
      <x:c r="H1090" s="25" t="str">
        <x:v>Crossref</x:v>
      </x:c>
      <x:c r="I1090" s="25" t="str">
        <x:v>C6_frontend_GUI_intent</x:v>
      </x:c>
      <x:c r="J1090" s="25" t="str">
        <x:v>Exclude</x:v>
      </x:c>
      <x:c r="K1090" s="25" t="str">
        <x:v>Exclude: topic mismatch</x:v>
      </x:c>
    </x:row>
    <x:row r="1091">
      <x:c r="A1091" s="20" t="str">
        <x:v>R1087</x:v>
      </x:c>
      <x:c r="B1091" s="25" t="str">
        <x:v>Hierarchical Plan Repair via Plan Recognition and Plan Correction</x:v>
      </x:c>
      <x:c r="C1091" s="25" t="n">
        <x:v>2025</x:v>
      </x:c>
      <x:c r="D1091" s="25" t="str">
        <x:v>Kristýna Pantůčková; Roman Barták</x:v>
      </x:c>
      <x:c r="E1091" s="25" t="str">
        <x:v>The International FLAIRS Conference Proceedings</x:v>
      </x:c>
      <x:c r="F1091" s="25" t="str">
        <x:v>10.32473/flairs.38.1.138868</x:v>
      </x:c>
      <x:c r="G1091" s="25" t="str">
        <x:v>https://doi.org/10.32473/flairs.38.1.138868</x:v>
      </x:c>
      <x:c r="H1091" s="25" t="str">
        <x:v>Crossref</x:v>
      </x:c>
      <x:c r="I1091" s="25" t="str">
        <x:v>C11_hierarchical_goal_recognition</x:v>
      </x:c>
      <x:c r="J1091" s="25" t="str">
        <x:v>Exclude</x:v>
      </x:c>
      <x:c r="K1091" s="25" t="str">
        <x:v>Exclude: topic mismatch</x:v>
      </x:c>
    </x:row>
    <x:row r="1092">
      <x:c r="A1092" s="20" t="str">
        <x:v>R1088</x:v>
      </x:c>
      <x:c r="B1092" s="25" t="str">
        <x:v>How Prompting and Editing Shape Psychological Ownership in AI-Assisted Creative Writing</x:v>
      </x:c>
      <x:c r="C1092" s="25" t="n">
        <x:v>2026</x:v>
      </x:c>
      <x:c r="D1092" s="25" t="str">
        <x:v>Niki Pennanen; Pyry Kanerva; Christian Guckelsberger</x:v>
      </x:c>
      <x:c r="E1092" s="25" t="str"/>
      <x:c r="F1092" s="25" t="str">
        <x:v>10.31234/osf.io/vzd3w_v1</x:v>
      </x:c>
      <x:c r="G1092" s="25" t="str">
        <x:v>https://doi.org/10.31234/osf.io/vzd3w_v1</x:v>
      </x:c>
      <x:c r="H1092" s="25" t="str">
        <x:v>Crossref</x:v>
      </x:c>
      <x:c r="I1092" s="25" t="str">
        <x:v>C8_AI_3D_authoring</x:v>
      </x:c>
      <x:c r="J1092" s="25" t="str">
        <x:v>Exclude</x:v>
      </x:c>
      <x:c r="K1092" s="25" t="str">
        <x:v>Exclude: adjacent/redundant or insufficiently theory-generative for DC1</x:v>
      </x:c>
    </x:row>
    <x:row r="1093">
      <x:c r="A1093" s="20" t="str">
        <x:v>R1089</x:v>
      </x:c>
      <x:c r="B1093" s="25" t="str">
        <x:v>How does semantic elaboration affect retrieval from episodic memory?</x:v>
      </x:c>
      <x:c r="C1093" s="25" t="n">
        <x:v>2026</x:v>
      </x:c>
      <x:c r="D1093" s="25" t="str">
        <x:v>Joscha Dutli; Klaus Oberauer; Lea M. Bartsch</x:v>
      </x:c>
      <x:c r="E1093" s="25" t="str"/>
      <x:c r="F1093" s="25" t="str">
        <x:v>10.31234/osf.io/ktgsu_v2</x:v>
      </x:c>
      <x:c r="G1093" s="25" t="str">
        <x:v>https://doi.org/10.31234/osf.io/ktgsu_v2</x:v>
      </x:c>
      <x:c r="H1093" s="25" t="str">
        <x:v>Crossref</x:v>
      </x:c>
      <x:c r="I1093" s="25" t="str">
        <x:v>C5_agent_memory</x:v>
      </x:c>
      <x:c r="J1093" s="25" t="str">
        <x:v>Exclude</x:v>
      </x:c>
      <x:c r="K1093" s="25" t="str">
        <x:v>Exclude: adjacent/redundant or insufficiently theory-generative for DC1</x:v>
      </x:c>
    </x:row>
    <x:row r="1094">
      <x:c r="A1094" s="20" t="str">
        <x:v>R1090</x:v>
      </x:c>
      <x:c r="B1094" s="25" t="str">
        <x:v>How does semantic elaboration affect retrieval from episodic memory?</x:v>
      </x:c>
      <x:c r="C1094" s="25" t="n">
        <x:v>2025</x:v>
      </x:c>
      <x:c r="D1094" s="25" t="str">
        <x:v>Joscha Dutli; Klaus Oberauer; Lea M. Bartsch</x:v>
      </x:c>
      <x:c r="E1094" s="25" t="str"/>
      <x:c r="F1094" s="25" t="str">
        <x:v>10.31234/osf.io/ktgsu_v1</x:v>
      </x:c>
      <x:c r="G1094" s="25" t="str">
        <x:v>https://doi.org/10.31234/osf.io/ktgsu_v1</x:v>
      </x:c>
      <x:c r="H1094" s="25" t="str">
        <x:v>Crossref</x:v>
      </x:c>
      <x:c r="I1094" s="25" t="str">
        <x:v>C5_agent_memory</x:v>
      </x:c>
      <x:c r="J1094" s="25" t="str">
        <x:v>Exclude</x:v>
      </x:c>
      <x:c r="K1094" s="25" t="str">
        <x:v>Exclude: adjacent/redundant or insufficiently theory-generative for DC1</x:v>
      </x:c>
    </x:row>
    <x:row r="1095">
      <x:c r="A1095" s="20" t="str">
        <x:v>R1091</x:v>
      </x:c>
      <x:c r="B1095" s="25" t="str">
        <x:v>Human grasp intent inference and multimodal control in prosthetic
                    hands</x:v>
      </x:c>
      <x:c r="C1095" s="25" t="str"/>
      <x:c r="D1095" s="25" t="str">
        <x:v>Mo Han</x:v>
      </x:c>
      <x:c r="E1095" s="25" t="str"/>
      <x:c r="F1095" s="25" t="str">
        <x:v>10.17760/d20409220</x:v>
      </x:c>
      <x:c r="G1095" s="25" t="str">
        <x:v>https://doi.org/10.17760/d20409220</x:v>
      </x:c>
      <x:c r="H1095" s="25" t="str">
        <x:v>Crossref</x:v>
      </x:c>
      <x:c r="I1095" s="25" t="str">
        <x:v>C17_3D_gesture_ambiguity; C2_interaction_signals; C4_uncertainty_shared_autonomy</x:v>
      </x:c>
      <x:c r="J1095" s="25" t="str">
        <x:v>Exclude</x:v>
      </x:c>
      <x:c r="K1095" s="25" t="str">
        <x:v>Exclude: domain-specific signal model without transferable HCI theory</x:v>
      </x:c>
    </x:row>
    <x:row r="1096">
      <x:c r="A1096" s="20" t="str">
        <x:v>R1092</x:v>
      </x:c>
      <x:c r="B1096" s="25" t="str">
        <x:v>Human in the loop machine learning and data annotation</x:v>
      </x:c>
      <x:c r="C1096" s="25" t="n">
        <x:v>2025</x:v>
      </x:c>
      <x:c r="D1096" s="25" t="str">
        <x:v>Robert Nisbet; Keith McCormick; Gary Miner</x:v>
      </x:c>
      <x:c r="E1096" s="25" t="str">
        <x:v>Handbook of Statistical Analysis</x:v>
      </x:c>
      <x:c r="F1096" s="25" t="str">
        <x:v>10.1016/b978-0-443-15845-2.00019-0</x:v>
      </x:c>
      <x:c r="G1096" s="25" t="str">
        <x:v>https://doi.org/10.1016/b978-0-443-15845-2.00019-0</x:v>
      </x:c>
      <x:c r="H1096" s="25" t="str">
        <x:v>Crossref</x:v>
      </x:c>
      <x:c r="I1096" s="25" t="str">
        <x:v>C18_video_intent_coding_VLM_annotation</x:v>
      </x:c>
      <x:c r="J1096" s="25" t="str">
        <x:v>Exclude</x:v>
      </x:c>
      <x:c r="K1096" s="25" t="str">
        <x:v>Exclude: topic mismatch</x:v>
      </x:c>
    </x:row>
    <x:row r="1097">
      <x:c r="A1097" s="20" t="str">
        <x:v>R1093</x:v>
      </x:c>
      <x:c r="B1097" s="25" t="str">
        <x:v>Human resource management</x:v>
      </x:c>
      <x:c r="C1097" s="25" t="n">
        <x:v>2017</x:v>
      </x:c>
      <x:c r="D1097" s="25" t="str"/>
      <x:c r="E1097" s="25" t="str">
        <x:v>Applied Cognitive Task Analysis in Aviation</x:v>
      </x:c>
      <x:c r="F1097" s="25" t="str">
        <x:v>10.4324/9781315262321-25</x:v>
      </x:c>
      <x:c r="G1097" s="25" t="str">
        <x:v>https://doi.org/10.4324/9781315262321-25</x:v>
      </x:c>
      <x:c r="H1097" s="25" t="str">
        <x:v>Crossref</x:v>
      </x:c>
      <x:c r="I1097" s="25" t="str">
        <x:v>C18_video_intent_coding_VLM_annotation</x:v>
      </x:c>
      <x:c r="J1097" s="25" t="str">
        <x:v>Exclude</x:v>
      </x:c>
      <x:c r="K1097" s="25" t="str">
        <x:v>Exclude: topic mismatch</x:v>
      </x:c>
    </x:row>
    <x:row r="1098">
      <x:c r="A1098" s="20" t="str">
        <x:v>R1094</x:v>
      </x:c>
      <x:c r="B1098" s="25" t="str">
        <x:v>Human-AI Co-Creation</x:v>
      </x:c>
      <x:c r="C1098" s="25" t="n">
        <x:v>2025</x:v>
      </x:c>
      <x:c r="D1098" s="25" t="str">
        <x:v>Joseph X Ng</x:v>
      </x:c>
      <x:c r="E1098" s="25" t="str">
        <x:v>The Hybrid Mind</x:v>
      </x:c>
      <x:c r="F1098" s="25" t="str">
        <x:v>10.1201/9781003648338-14</x:v>
      </x:c>
      <x:c r="G1098" s="25" t="str">
        <x:v>https://doi.org/10.1201/9781003648338-14</x:v>
      </x:c>
      <x:c r="H1098" s="25" t="str">
        <x:v>Crossref</x:v>
      </x:c>
      <x:c r="I1098" s="25" t="str">
        <x:v>C14_agency_ownership; C3_mixed_initiative_cocreation; C7_creative_agency</x:v>
      </x:c>
      <x:c r="J1098" s="25" t="str">
        <x:v>Exclude</x:v>
      </x:c>
      <x:c r="K1098" s="25" t="str">
        <x:v>Exclude: topic mismatch</x:v>
      </x:c>
    </x:row>
    <x:row r="1099">
      <x:c r="A1099" s="20" t="str">
        <x:v>R1095</x:v>
      </x:c>
      <x:c r="B1099" s="25" t="str">
        <x:v>Human-AI Co-Creation of Knowledge: Reclaiming Human Agency in the Age of Instant Answers</x:v>
      </x:c>
      <x:c r="C1099" s="25" t="n">
        <x:v>2025</x:v>
      </x:c>
      <x:c r="D1099" s="25" t="str">
        <x:v>Louay Alami Ouahabi</x:v>
      </x:c>
      <x:c r="E1099" s="25" t="str"/>
      <x:c r="F1099" s="25" t="str">
        <x:v>10.2139/ssrn.5778202</x:v>
      </x:c>
      <x:c r="G1099" s="25" t="str">
        <x:v>https://doi.org/10.2139/ssrn.5778202</x:v>
      </x:c>
      <x:c r="H1099" s="25" t="str">
        <x:v>Crossref</x:v>
      </x:c>
      <x:c r="I1099" s="25" t="str">
        <x:v>C14_agency_ownership; C7_creative_agency</x:v>
      </x:c>
      <x:c r="J1099" s="25" t="str">
        <x:v>Exclude</x:v>
      </x:c>
      <x:c r="K1099" s="25" t="str">
        <x:v>Exclude: topic mismatch</x:v>
      </x:c>
    </x:row>
    <x:row r="1100">
      <x:c r="A1100" s="20" t="str">
        <x:v>R1096</x:v>
      </x:c>
      <x:c r="B1100" s="25" t="str">
        <x:v>Human-AI collaboration for repair: designing interactive tools for sustainable consumer electronics</x:v>
      </x:c>
      <x:c r="C1100" s="25" t="n">
        <x:v>2026</x:v>
      </x:c>
      <x:c r="D1100" s="25" t="str">
        <x:v>Ravi K Sikhwal</x:v>
      </x:c>
      <x:c r="E1100" s="25" t="str">
        <x:v>Proceedings of the Design Society</x:v>
      </x:c>
      <x:c r="F1100" s="25" t="str">
        <x:v>10.1017/pds.2026.10515</x:v>
      </x:c>
      <x:c r="G1100" s="25" t="str">
        <x:v>https://doi.org/10.1017/pds.2026.10515</x:v>
      </x:c>
      <x:c r="H1100" s="25" t="str">
        <x:v>Crossref</x:v>
      </x:c>
      <x:c r="I1100" s="25" t="str">
        <x:v>C12_common_ground_repair</x:v>
      </x:c>
      <x:c r="J1100" s="25" t="str">
        <x:v>Exclude</x:v>
      </x:c>
      <x:c r="K1100" s="25" t="str">
        <x:v>Exclude: topic mismatch</x:v>
      </x:c>
    </x:row>
    <x:row r="1101">
      <x:c r="A1101" s="20" t="str">
        <x:v>R1097</x:v>
      </x:c>
      <x:c r="B1101" s="25" t="str">
        <x:v>Human-Centered AI at Work: Common Ground in Theories and Methods</x:v>
      </x:c>
      <x:c r="C1101" s="25" t="n">
        <x:v>2024</x:v>
      </x:c>
      <x:c r="D1101" s="25" t="str"/>
      <x:c r="E1101" s="25" t="str">
        <x:v>Frontiers Research Topics</x:v>
      </x:c>
      <x:c r="F1101" s="25" t="str">
        <x:v>10.3389/978-2-8325-4840-0</x:v>
      </x:c>
      <x:c r="G1101" s="25" t="str">
        <x:v>https://doi.org/10.3389/978-2-8325-4840-0</x:v>
      </x:c>
      <x:c r="H1101" s="25" t="str">
        <x:v>Crossref</x:v>
      </x:c>
      <x:c r="I1101" s="25" t="str">
        <x:v>C12_common_ground_repair</x:v>
      </x:c>
      <x:c r="J1101" s="25" t="str">
        <x:v>Exclude</x:v>
      </x:c>
      <x:c r="K1101" s="25" t="str">
        <x:v>Exclude: topic mismatch</x:v>
      </x:c>
    </x:row>
    <x:row r="1102">
      <x:c r="A1102" s="20" t="str">
        <x:v>R1098</x:v>
      </x:c>
      <x:c r="B1102" s="25" t="str">
        <x:v>Humanoid-Recognition-Guided Generative Design: Integrating Biomimetic Semantic Features and Human–AI Co-Creation for Creative Furniture Concept Development</x:v>
      </x:c>
      <x:c r="C1102" s="25" t="n">
        <x:v>2026</x:v>
      </x:c>
      <x:c r="D1102" s="25" t="str">
        <x:v>Ning Liu; Yunpei Cheng</x:v>
      </x:c>
      <x:c r="E1102" s="25" t="str">
        <x:v>International Journal of Humanoid Robotics</x:v>
      </x:c>
      <x:c r="F1102" s="25" t="str">
        <x:v>10.1142/s0219843626400050</x:v>
      </x:c>
      <x:c r="G1102" s="25" t="str">
        <x:v>https://doi.org/10.1142/s0219843626400050</x:v>
      </x:c>
      <x:c r="H1102" s="25" t="str">
        <x:v>Crossref</x:v>
      </x:c>
      <x:c r="I1102" s="25" t="str">
        <x:v>C14_agency_ownership; C7_creative_agency</x:v>
      </x:c>
      <x:c r="J1102" s="25" t="str">
        <x:v>Exclude</x:v>
      </x:c>
      <x:c r="K1102" s="25" t="str">
        <x:v>Exclude: adjacent/redundant or insufficiently theory-generative for DC1</x:v>
      </x:c>
    </x:row>
    <x:row r="1103">
      <x:c r="A1103" s="20" t="str">
        <x:v>R1099</x:v>
      </x:c>
      <x:c r="B1103" s="25" t="str">
        <x:v>Human–AI Co-Creation in Melody Writing: A MIDI-Native Pilot on Flow, Authorship, and Control</x:v>
      </x:c>
      <x:c r="C1103" s="25" t="n">
        <x:v>2025</x:v>
      </x:c>
      <x:c r="D1103" s="25" t="str">
        <x:v>Jared Seth Watkins</x:v>
      </x:c>
      <x:c r="E1103" s="25" t="str"/>
      <x:c r="F1103" s="25" t="str">
        <x:v>10.33767/osf.io/zwtgp_v1</x:v>
      </x:c>
      <x:c r="G1103" s="25" t="str">
        <x:v>https://doi.org/10.33767/osf.io/zwtgp_v1</x:v>
      </x:c>
      <x:c r="H1103" s="25" t="str">
        <x:v>Crossref</x:v>
      </x:c>
      <x:c r="I1103" s="25" t="str">
        <x:v>C14_agency_ownership; C7_creative_agency</x:v>
      </x:c>
      <x:c r="J1103" s="25" t="str">
        <x:v>Exclude</x:v>
      </x:c>
      <x:c r="K1103" s="25" t="str">
        <x:v>Exclude: adjacent/redundant or insufficiently theory-generative for DC1</x:v>
      </x:c>
    </x:row>
    <x:row r="1104">
      <x:c r="A1104" s="20" t="str">
        <x:v>R1100</x:v>
      </x:c>
      <x:c r="B1104" s="25" t="str">
        <x:v>Human–AI Collaboration for Scientific Discovery</x:v>
      </x:c>
      <x:c r="C1104" s="25" t="n">
        <x:v>2025</x:v>
      </x:c>
      <x:c r="D1104" s="25" t="str">
        <x:v>Shuo Zhao; Yang Liu; Jiayu Wan; Tan Tang; Xin Li</x:v>
      </x:c>
      <x:c r="E1104" s="25" t="str">
        <x:v>Human-AI Interaction and Collaboration</x:v>
      </x:c>
      <x:c r="F1104" s="25" t="str">
        <x:v>10.1017/9781009587877.011</x:v>
      </x:c>
      <x:c r="G1104" s="25" t="str">
        <x:v>https://doi.org/10.1017/9781009587877.011</x:v>
      </x:c>
      <x:c r="H1104" s="25" t="str">
        <x:v>Crossref</x:v>
      </x:c>
      <x:c r="I1104" s="25" t="str">
        <x:v>C12_common_ground_repair</x:v>
      </x:c>
      <x:c r="J1104" s="25" t="str">
        <x:v>Exclude</x:v>
      </x:c>
      <x:c r="K1104" s="25" t="str">
        <x:v>Exclude: topic mismatch</x:v>
      </x:c>
    </x:row>
    <x:row r="1105">
      <x:c r="A1105" s="20" t="str">
        <x:v>R1101</x:v>
      </x:c>
      <x:c r="B1105" s="25" t="str">
        <x:v>Hybrid Artistic Agency: Experiment and Reflection with Creative AI</x:v>
      </x:c>
      <x:c r="C1105" s="25" t="n">
        <x:v>2025</x:v>
      </x:c>
      <x:c r="D1105" s="25" t="str">
        <x:v>Ashley Woodward</x:v>
      </x:c>
      <x:c r="E1105" s="25" t="str">
        <x:v>Artistic Agency</x:v>
      </x:c>
      <x:c r="F1105" s="25" t="str">
        <x:v>10.1007/978-3-031-97969-9_12</x:v>
      </x:c>
      <x:c r="G1105" s="25" t="str">
        <x:v>https://doi.org/10.1007/978-3-031-97969-9_12</x:v>
      </x:c>
      <x:c r="H1105" s="25" t="str">
        <x:v>Crossref</x:v>
      </x:c>
      <x:c r="I1105" s="25" t="str">
        <x:v>C14_agency_ownership; C7_creative_agency</x:v>
      </x:c>
      <x:c r="J1105" s="25" t="str">
        <x:v>Exclude</x:v>
      </x:c>
      <x:c r="K1105" s="25" t="str">
        <x:v>Exclude: adjacent/redundant or insufficiently theory-generative for DC1</x:v>
      </x:c>
    </x:row>
    <x:row r="1106">
      <x:c r="A1106" s="20" t="str">
        <x:v>R1102</x:v>
      </x:c>
      <x:c r="B1106" s="25" t="str">
        <x:v>IA Before AI: Why Internal Autonomy Must Precede Artificial Intelligence Authority</x:v>
      </x:c>
      <x:c r="C1106" s="25" t="n">
        <x:v>2026</x:v>
      </x:c>
      <x:c r="D1106" s="25" t="str">
        <x:v>Margaret Denise Mills</x:v>
      </x:c>
      <x:c r="E1106" s="25" t="str"/>
      <x:c r="F1106" s="25" t="str">
        <x:v>10.2139/ssrn.6174001</x:v>
      </x:c>
      <x:c r="G1106" s="25" t="str">
        <x:v>https://doi.org/10.2139/ssrn.6174001</x:v>
      </x:c>
      <x:c r="H1106" s="25" t="str">
        <x:v>Crossref</x:v>
      </x:c>
      <x:c r="I1106" s="25" t="str">
        <x:v>C9_human_agent_handoff</x:v>
      </x:c>
      <x:c r="J1106" s="25" t="str">
        <x:v>Exclude</x:v>
      </x:c>
      <x:c r="K1106" s="25" t="str">
        <x:v>Exclude: adjacent/redundant or insufficiently theory-generative for DC1</x:v>
      </x:c>
    </x:row>
    <x:row r="1107">
      <x:c r="A1107" s="20" t="str">
        <x:v>R1103</x:v>
      </x:c>
      <x:c r="B1107" s="25" t="str">
        <x:v>Identifying Policy Collaboration</x:v>
      </x:c>
      <x:c r="C1107" s="25" t="n">
        <x:v>2023</x:v>
      </x:c>
      <x:c r="D1107" s="25" t="str"/>
      <x:c r="E1107" s="25" t="str">
        <x:v>The Collaborative Congress</x:v>
      </x:c>
      <x:c r="F1107" s="25" t="str">
        <x:v>10.1017/9781009338288.003</x:v>
      </x:c>
      <x:c r="G1107" s="25" t="str">
        <x:v>https://doi.org/10.1017/9781009338288.003</x:v>
      </x:c>
      <x:c r="H1107" s="25" t="str">
        <x:v>Crossref</x:v>
      </x:c>
      <x:c r="I1107" s="25" t="str">
        <x:v>C12_common_ground_repair</x:v>
      </x:c>
      <x:c r="J1107" s="25" t="str">
        <x:v>Exclude</x:v>
      </x:c>
      <x:c r="K1107" s="25" t="str">
        <x:v>Exclude: topic mismatch</x:v>
      </x:c>
    </x:row>
    <x:row r="1108">
      <x:c r="A1108" s="20" t="str">
        <x:v>R1104</x:v>
      </x:c>
      <x:c r="B1108" s="25" t="str">
        <x:v>Implicit Attitudes in Consumer Purchase Intent</x:v>
      </x:c>
      <x:c r="C1108" s="25" t="n">
        <x:v>2012</x:v>
      </x:c>
      <x:c r="D1108" s="25" t="str">
        <x:v>Ryan W. Wohleber; Gerald Matthews</x:v>
      </x:c>
      <x:c r="E1108" s="25" t="str">
        <x:v>PsycEXTRA Dataset</x:v>
      </x:c>
      <x:c r="F1108" s="25" t="str">
        <x:v>10.1037/e572172013-412</x:v>
      </x:c>
      <x:c r="G1108" s="25" t="str">
        <x:v>https://doi.org/10.1037/e572172013-412</x:v>
      </x:c>
      <x:c r="H1108" s="25" t="str">
        <x:v>Crossref</x:v>
      </x:c>
      <x:c r="I1108" s="25" t="str">
        <x:v>C2_interaction_signals</x:v>
      </x:c>
      <x:c r="J1108" s="25" t="str">
        <x:v>Exclude</x:v>
      </x:c>
      <x:c r="K1108" s="25" t="str">
        <x:v>Exclude: adjacent/redundant or insufficiently theory-generative for DC1</x:v>
      </x:c>
    </x:row>
    <x:row r="1109">
      <x:c r="A1109" s="20" t="str">
        <x:v>R1105</x:v>
      </x:c>
      <x:c r="B1109" s="25" t="str">
        <x:v>Implicit Bias, Behavioral Realism, and the Purposeful Intent Doctrine</x:v>
      </x:c>
      <x:c r="C1109" s="25" t="n">
        <x:v>2022</x:v>
      </x:c>
      <x:c r="D1109" s="25" t="str">
        <x:v>Jerry Kang</x:v>
      </x:c>
      <x:c r="E1109" s="25" t="str">
        <x:v>SSRN Electronic Journal</x:v>
      </x:c>
      <x:c r="F1109" s="25" t="str">
        <x:v>10.2139/ssrn.4238083</x:v>
      </x:c>
      <x:c r="G1109" s="25" t="str">
        <x:v>https://doi.org/10.2139/ssrn.4238083</x:v>
      </x:c>
      <x:c r="H1109" s="25" t="str">
        <x:v>Crossref</x:v>
      </x:c>
      <x:c r="I1109" s="25" t="str">
        <x:v>C2_interaction_signals</x:v>
      </x:c>
      <x:c r="J1109" s="25" t="str">
        <x:v>Exclude</x:v>
      </x:c>
      <x:c r="K1109" s="25" t="str">
        <x:v>Exclude: adjacent/redundant or insufficiently theory-generative for DC1</x:v>
      </x:c>
    </x:row>
    <x:row r="1110">
      <x:c r="A1110" s="20" t="str">
        <x:v>R1106</x:v>
      </x:c>
      <x:c r="B1110" s="25" t="str">
        <x:v>Importance of Interface Agent Characteristics from End-User Perspective</x:v>
      </x:c>
      <x:c r="C1110" s="25" t="str"/>
      <x:c r="D1110" s="25" t="str">
        <x:v>Alexander Serenko</x:v>
      </x:c>
      <x:c r="E1110" s="25" t="str">
        <x:v>Human Computer Interaction</x:v>
      </x:c>
      <x:c r="F1110" s="25" t="str">
        <x:v>10.4018/9781878289919.ch067</x:v>
      </x:c>
      <x:c r="G1110" s="25" t="str">
        <x:v>https://doi.org/10.4018/9781878289919.ch067</x:v>
      </x:c>
      <x:c r="H1110" s="25" t="str">
        <x:v>Crossref</x:v>
      </x:c>
      <x:c r="I1110" s="25" t="str">
        <x:v>C6_frontend_GUI_intent</x:v>
      </x:c>
      <x:c r="J1110" s="25" t="str">
        <x:v>Exclude</x:v>
      </x:c>
      <x:c r="K1110" s="25" t="str">
        <x:v>Exclude: topic mismatch</x:v>
      </x:c>
    </x:row>
    <x:row r="1111">
      <x:c r="A1111" s="20" t="str">
        <x:v>R1107</x:v>
      </x:c>
      <x:c r="B1111" s="25" t="str">
        <x:v>Importance of Interface Agent Characteristics from End-User Perspective</x:v>
      </x:c>
      <x:c r="C1111" s="25" t="n">
        <x:v>2009</x:v>
      </x:c>
      <x:c r="D1111" s="25" t="str">
        <x:v>Alexander Serenko</x:v>
      </x:c>
      <x:c r="E1111" s="25" t="str">
        <x:v>Human Computer Interaction</x:v>
      </x:c>
      <x:c r="F1111" s="25" t="str">
        <x:v>10.4018/978-1-87828-991-9.ch067</x:v>
      </x:c>
      <x:c r="G1111" s="25" t="str">
        <x:v>https://doi.org/10.4018/978-1-87828-991-9.ch067</x:v>
      </x:c>
      <x:c r="H1111" s="25" t="str">
        <x:v>Crossref</x:v>
      </x:c>
      <x:c r="I1111" s="25" t="str">
        <x:v>C6_frontend_GUI_intent</x:v>
      </x:c>
      <x:c r="J1111" s="25" t="str">
        <x:v>Exclude</x:v>
      </x:c>
      <x:c r="K1111" s="25" t="str">
        <x:v>Exclude: topic mismatch</x:v>
      </x:c>
    </x:row>
    <x:row r="1112">
      <x:c r="A1112" s="20" t="str">
        <x:v>R1108</x:v>
      </x:c>
      <x:c r="B1112" s="25" t="str">
        <x:v>Inference And Speaker Intent In Acts 3: 12-26 And Some Translation Implications</x:v>
      </x:c>
      <x:c r="C1112" s="25" t="str"/>
      <x:c r="D1112" s="25" t="str">
        <x:v>George M. HILLMAN</x:v>
      </x:c>
      <x:c r="E1112" s="25" t="str"/>
      <x:c r="F1112" s="25" t="str">
        <x:v>10.2986/tren.006-1563</x:v>
      </x:c>
      <x:c r="G1112" s="25" t="str">
        <x:v>https://doi.org/10.2986/tren.006-1563</x:v>
      </x:c>
      <x:c r="H1112" s="25" t="str">
        <x:v>Crossref</x:v>
      </x:c>
      <x:c r="I1112" s="25" t="str">
        <x:v>C2_interaction_signals</x:v>
      </x:c>
      <x:c r="J1112" s="25" t="str">
        <x:v>Exclude</x:v>
      </x:c>
      <x:c r="K1112" s="25" t="str">
        <x:v>Exclude: adjacent/redundant or insufficiently theory-generative for DC1</x:v>
      </x:c>
    </x:row>
    <x:row r="1113">
      <x:c r="A1113" s="20" t="str">
        <x:v>R1109</x:v>
      </x:c>
      <x:c r="B1113" s="25" t="str">
        <x:v>InfoPhys</x:v>
      </x:c>
      <x:c r="C1113" s="25" t="n">
        <x:v>2016</x:v>
      </x:c>
      <x:c r="D1113" s="25" t="str">
        <x:v>Christian Frisson; Bruno Dumas</x:v>
      </x:c>
      <x:c r="E1113" s="25" t="str">
        <x:v>Proceedings of the TEI '16: Tenth International Conference on Tangible, Embedded, and Embodied Interaction</x:v>
      </x:c>
      <x:c r="F1113" s="25" t="str">
        <x:v>10.1145/2839462.2856545</x:v>
      </x:c>
      <x:c r="G1113" s="25" t="str">
        <x:v>https://doi.org/10.1145/2839462.2856545</x:v>
      </x:c>
      <x:c r="H1113" s="25" t="str">
        <x:v>Crossref</x:v>
      </x:c>
      <x:c r="I1113" s="25" t="str">
        <x:v>C10_affordance_embodied</x:v>
      </x:c>
      <x:c r="J1113" s="25" t="str">
        <x:v>Exclude</x:v>
      </x:c>
      <x:c r="K1113" s="25" t="str">
        <x:v>Exclude: topic mismatch</x:v>
      </x:c>
    </x:row>
    <x:row r="1114">
      <x:c r="A1114" s="20" t="str">
        <x:v>R1110</x:v>
      </x:c>
      <x:c r="B1114" s="25" t="str">
        <x:v>Initiative as part of the proactive personality</x:v>
      </x:c>
      <x:c r="C1114" s="25" t="n">
        <x:v>2013</x:v>
      </x:c>
      <x:c r="D1114" s="25" t="str">
        <x:v>Andrew J. DuBrin</x:v>
      </x:c>
      <x:c r="E1114" s="25" t="str">
        <x:v>Proactive Personality and Behavior for Individual and Organizational Productivity</x:v>
      </x:c>
      <x:c r="F1114" s="25" t="str">
        <x:v>10.4337/9781782549352.00008</x:v>
      </x:c>
      <x:c r="G1114" s="25" t="str">
        <x:v>https://doi.org/10.4337/9781782549352.00008</x:v>
      </x:c>
      <x:c r="H1114" s="25" t="str">
        <x:v>Crossref</x:v>
      </x:c>
      <x:c r="I1114" s="25" t="str">
        <x:v>C15_proactive_interruption</x:v>
      </x:c>
      <x:c r="J1114" s="25" t="str">
        <x:v>Exclude</x:v>
      </x:c>
      <x:c r="K1114" s="25" t="str">
        <x:v>Exclude: adjacent/redundant or insufficiently theory-generative for DC1</x:v>
      </x:c>
    </x:row>
    <x:row r="1115">
      <x:c r="A1115" s="20" t="str">
        <x:v>R1111</x:v>
      </x:c>
      <x:c r="B1115" s="25" t="str">
        <x:v>Inspectors Take the Initiative: Proactive Methods</x:v>
      </x:c>
      <x:c r="C1115" s="25" t="n">
        <x:v>1997</x:v>
      </x:c>
      <x:c r="D1115" s="25" t="str">
        <x:v>Bridget M Hutter</x:v>
      </x:c>
      <x:c r="E1115" s="25" t="str">
        <x:v>Compliance: Regulation And Environment</x:v>
      </x:c>
      <x:c r="F1115" s="25" t="str">
        <x:v>10.1093/oso/9780198264750.003.0005</x:v>
      </x:c>
      <x:c r="G1115" s="25" t="str">
        <x:v>https://doi.org/10.1093/oso/9780198264750.003.0005</x:v>
      </x:c>
      <x:c r="H1115" s="25" t="str">
        <x:v>Crossref</x:v>
      </x:c>
      <x:c r="I1115" s="25" t="str">
        <x:v>C15_proactive_interruption</x:v>
      </x:c>
      <x:c r="J1115" s="25" t="str">
        <x:v>Exclude</x:v>
      </x:c>
      <x:c r="K1115" s="25" t="str">
        <x:v>Exclude: adjacent/redundant or insufficiently theory-generative for DC1</x:v>
      </x:c>
    </x:row>
    <x:row r="1116">
      <x:c r="A1116" s="20" t="str">
        <x:v>R1112</x:v>
      </x:c>
      <x:c r="B1116" s="25" t="str">
        <x:v>Instrumental Object Manipulation</x:v>
      </x:c>
      <x:c r="C1116" s="25" t="n">
        <x:v>2022</x:v>
      </x:c>
      <x:c r="D1116" s="25" t="str"/>
      <x:c r="E1116" s="25" t="str">
        <x:v>Encyclopedia of Animal Cognition and Behavior</x:v>
      </x:c>
      <x:c r="F1116" s="25" t="str">
        <x:v>10.1007/978-3-319-55065-7_301164</x:v>
      </x:c>
      <x:c r="G1116" s="25" t="str">
        <x:v>https://doi.org/10.1007/978-3-319-55065-7_301164</x:v>
      </x:c>
      <x:c r="H1116" s="25" t="str">
        <x:v>Crossref</x:v>
      </x:c>
      <x:c r="I1116" s="25" t="str">
        <x:v>C1_3D_mental_models</x:v>
      </x:c>
      <x:c r="J1116" s="25" t="str">
        <x:v>Exclude</x:v>
      </x:c>
      <x:c r="K1116" s="25" t="str">
        <x:v>Exclude: adjacent/redundant or insufficiently theory-generative for DC1</x:v>
      </x:c>
    </x:row>
    <x:row r="1117">
      <x:c r="A1117" s="20" t="str">
        <x:v>R1113</x:v>
      </x:c>
      <x:c r="B1117" s="25" t="str">
        <x:v>Intent</x:v>
      </x:c>
      <x:c r="C1117" s="25" t="n">
        <x:v>2018</x:v>
      </x:c>
      <x:c r="D1117" s="25" t="str"/>
      <x:c r="E1117" s="25" t="str">
        <x:v>Intent</x:v>
      </x:c>
      <x:c r="F1117" s="25" t="str">
        <x:v>10.5040/9781350982482</x:v>
      </x:c>
      <x:c r="G1117" s="25" t="str">
        <x:v>https://doi.org/10.5040/9781350982482</x:v>
      </x:c>
      <x:c r="H1117" s="25" t="str">
        <x:v>Crossref</x:v>
      </x:c>
      <x:c r="I1117" s="25" t="str">
        <x:v>C2_interaction_signals</x:v>
      </x:c>
      <x:c r="J1117" s="25" t="str">
        <x:v>Exclude</x:v>
      </x:c>
      <x:c r="K1117" s="25" t="str">
        <x:v>Exclude: adjacent/redundant or insufficiently theory-generative for DC1</x:v>
      </x:c>
    </x:row>
    <x:row r="1118">
      <x:c r="A1118" s="20" t="str">
        <x:v>R1114</x:v>
      </x:c>
      <x:c r="B1118" s="25" t="str">
        <x:v>Intent inference and strategic escape in multi-robot games with physical limitations and uncertainty</x:v>
      </x:c>
      <x:c r="C1118" s="25" t="n">
        <x:v>2011</x:v>
      </x:c>
      <x:c r="D1118" s="25" t="str">
        <x:v>Aris Valtazanos; Subramanian Ramamoorthy</x:v>
      </x:c>
      <x:c r="E1118" s="25" t="str">
        <x:v>2011 IEEE/RSJ International Conference on Intelligent Robots and Systems</x:v>
      </x:c>
      <x:c r="F1118" s="25" t="str">
        <x:v>10.1109/iros.2011.6048330</x:v>
      </x:c>
      <x:c r="G1118" s="25" t="str">
        <x:v>https://doi.org/10.1109/iros.2011.6048330</x:v>
      </x:c>
      <x:c r="H1118" s="25" t="str">
        <x:v>Crossref</x:v>
      </x:c>
      <x:c r="I1118" s="25" t="str">
        <x:v>C4_uncertainty_shared_autonomy</x:v>
      </x:c>
      <x:c r="J1118" s="25" t="str">
        <x:v>Exclude</x:v>
      </x:c>
      <x:c r="K1118" s="25" t="str">
        <x:v>Exclude: adjacent/redundant or insufficiently theory-generative for DC1</x:v>
      </x:c>
    </x:row>
    <x:row r="1119">
      <x:c r="A1119" s="20" t="str">
        <x:v>R1115</x:v>
      </x:c>
      <x:c r="B1119" s="25" t="str">
        <x:v>Intent-Gesture Relationships for Collaborative Information Visualization</x:v>
      </x:c>
      <x:c r="C1119" s="25" t="str"/>
      <x:c r="D1119" s="25" t="str">
        <x:v>Ravina Samaroo</x:v>
      </x:c>
      <x:c r="E1119" s="25" t="str"/>
      <x:c r="F1119" s="25" t="str">
        <x:v>10.22215/etd/2015-11112</x:v>
      </x:c>
      <x:c r="G1119" s="25" t="str">
        <x:v>https://doi.org/10.22215/etd/2015-11112</x:v>
      </x:c>
      <x:c r="H1119" s="25" t="str">
        <x:v>Crossref</x:v>
      </x:c>
      <x:c r="I1119" s="25" t="str">
        <x:v>C17_3D_gesture_ambiguity</x:v>
      </x:c>
      <x:c r="J1119" s="25" t="str">
        <x:v>Exclude</x:v>
      </x:c>
      <x:c r="K1119" s="25" t="str">
        <x:v>Exclude: adjacent/redundant or insufficiently theory-generative for DC1</x:v>
      </x:c>
    </x:row>
    <x:row r="1120">
      <x:c r="A1120" s="20" t="str">
        <x:v>R1116</x:v>
      </x:c>
      <x:c r="B1120" s="25" t="str">
        <x:v>Intent-Guided Diffusion with Adaptive Intent Fusion for User Cold-Start Recommendation</x:v>
      </x:c>
      <x:c r="C1120" s="25" t="n">
        <x:v>2026</x:v>
      </x:c>
      <x:c r="D1120" s="25" t="str">
        <x:v>Lingxuan Li; Luofei Jia; Dafei Lin; Chongmin Wang; Yongxin Shi</x:v>
      </x:c>
      <x:c r="E1120" s="25" t="str"/>
      <x:c r="F1120" s="25" t="str">
        <x:v>10.21203/rs.3.rs-9277337/v1</x:v>
      </x:c>
      <x:c r="G1120" s="25" t="str">
        <x:v>https://doi.org/10.21203/rs.3.rs-9277337/v1</x:v>
      </x:c>
      <x:c r="H1120" s="25" t="str">
        <x:v>Crossref</x:v>
      </x:c>
      <x:c r="I1120" s="25" t="str">
        <x:v>C2_interaction_signals</x:v>
      </x:c>
      <x:c r="J1120" s="25" t="str">
        <x:v>Exclude</x:v>
      </x:c>
      <x:c r="K1120" s="25" t="str">
        <x:v>Exclude: adjacent/redundant or insufficiently theory-generative for DC1</x:v>
      </x:c>
    </x:row>
    <x:row r="1121">
      <x:c r="A1121" s="20" t="str">
        <x:v>R1117</x:v>
      </x:c>
      <x:c r="B1121" s="25" t="str">
        <x:v>Interaction with Musical Instruments</x:v>
      </x:c>
      <x:c r="C1121" s="25" t="n">
        <x:v>2007</x:v>
      </x:c>
      <x:c r="D1121" s="25" t="str"/>
      <x:c r="E1121" s="25" t="str">
        <x:v>Embodied Music Cognition and Mediation Technology</x:v>
      </x:c>
      <x:c r="F1121" s="25" t="str">
        <x:v>10.7551/mitpress/7476.003.0008</x:v>
      </x:c>
      <x:c r="G1121" s="25" t="str">
        <x:v>https://doi.org/10.7551/mitpress/7476.003.0008</x:v>
      </x:c>
      <x:c r="H1121" s="25" t="str">
        <x:v>Crossref</x:v>
      </x:c>
      <x:c r="I1121" s="25" t="str">
        <x:v>C10_affordance_embodied</x:v>
      </x:c>
      <x:c r="J1121" s="25" t="str">
        <x:v>Exclude</x:v>
      </x:c>
      <x:c r="K1121" s="25" t="str">
        <x:v>Exclude: topic mismatch</x:v>
      </x:c>
    </x:row>
    <x:row r="1122">
      <x:c r="A1122" s="20" t="str">
        <x:v>R1118</x:v>
      </x:c>
      <x:c r="B1122" s="25" t="str">
        <x:v>Introducing Artificial Intelligence, Co-Creation and Creativity</x:v>
      </x:c>
      <x:c r="C1122" s="25" t="n">
        <x:v>2024</x:v>
      </x:c>
      <x:c r="D1122" s="25" t="str">
        <x:v>Francisco Tigre Moura</x:v>
      </x:c>
      <x:c r="E1122" s="25" t="str">
        <x:v>Artificial Intelligence, Co-Creation and Creativity</x:v>
      </x:c>
      <x:c r="F1122" s="25" t="str">
        <x:v>10.4324/9781003453901-1</x:v>
      </x:c>
      <x:c r="G1122" s="25" t="str">
        <x:v>https://doi.org/10.4324/9781003453901-1</x:v>
      </x:c>
      <x:c r="H1122" s="25" t="str">
        <x:v>Crossref</x:v>
      </x:c>
      <x:c r="I1122" s="25" t="str">
        <x:v>C3_mixed_initiative_cocreation</x:v>
      </x:c>
      <x:c r="J1122" s="25" t="str">
        <x:v>Exclude</x:v>
      </x:c>
      <x:c r="K1122" s="25" t="str">
        <x:v>Exclude: adjacent/redundant or insufficiently theory-generative for DC1</x:v>
      </x:c>
    </x:row>
    <x:row r="1123">
      <x:c r="A1123" s="20" t="str">
        <x:v>R1119</x:v>
      </x:c>
      <x:c r="B1123" s="25" t="str">
        <x:v>Introduction</x:v>
      </x:c>
      <x:c r="C1123" s="25" t="n">
        <x:v>2014</x:v>
      </x:c>
      <x:c r="D1123" s="25" t="str"/>
      <x:c r="E1123" s="25" t="str">
        <x:v>Plan, Activity, and Intent Recognition</x:v>
      </x:c>
      <x:c r="F1123" s="25" t="str">
        <x:v>10.1016/b978-0-12-398532-3.00022-1</x:v>
      </x:c>
      <x:c r="G1123" s="25" t="str">
        <x:v>https://doi.org/10.1016/b978-0-12-398532-3.00022-1</x:v>
      </x:c>
      <x:c r="H1123" s="25" t="str">
        <x:v>Crossref</x:v>
      </x:c>
      <x:c r="I1123" s="25" t="str">
        <x:v>C11_hierarchical_goal_recognition</x:v>
      </x:c>
      <x:c r="J1123" s="25" t="str">
        <x:v>Exclude</x:v>
      </x:c>
      <x:c r="K1123" s="25" t="str">
        <x:v>Exclude: topic mismatch</x:v>
      </x:c>
    </x:row>
    <x:row r="1124">
      <x:c r="A1124" s="20" t="str">
        <x:v>R1120</x:v>
      </x:c>
      <x:c r="B1124" s="25" t="str">
        <x:v>Introduction to Cognitive Task Analysis</x:v>
      </x:c>
      <x:c r="C1124" s="25" t="n">
        <x:v>2000</x:v>
      </x:c>
      <x:c r="D1124" s="25" t="str"/>
      <x:c r="E1124" s="25" t="str">
        <x:v>Cognitive Task Analysis</x:v>
      </x:c>
      <x:c r="F1124" s="25" t="str">
        <x:v>10.4324/9781410605795-9</x:v>
      </x:c>
      <x:c r="G1124" s="25" t="str">
        <x:v>https://doi.org/10.4324/9781410605795-9</x:v>
      </x:c>
      <x:c r="H1124" s="25" t="str">
        <x:v>Crossref</x:v>
      </x:c>
      <x:c r="I1124" s="25" t="str">
        <x:v>C18_video_intent_coding_VLM_annotation</x:v>
      </x:c>
      <x:c r="J1124" s="25" t="str">
        <x:v>Exclude</x:v>
      </x:c>
      <x:c r="K1124" s="25" t="str">
        <x:v>Exclude: topic mismatch</x:v>
      </x:c>
    </x:row>
    <x:row r="1125">
      <x:c r="A1125" s="20" t="str">
        <x:v>R1121</x:v>
      </x:c>
      <x:c r="B1125" s="25" t="str">
        <x:v>Introduction to VUI</x:v>
      </x:c>
      <x:c r="C1125" s="25" t="n">
        <x:v>2018</x:v>
      </x:c>
      <x:c r="D1125" s="25" t="str">
        <x:v>Ritwik Dasgupta</x:v>
      </x:c>
      <x:c r="E1125" s="25" t="str">
        <x:v>Voice User Interface Design</x:v>
      </x:c>
      <x:c r="F1125" s="25" t="str">
        <x:v>10.1007/978-1-4842-4125-7_1</x:v>
      </x:c>
      <x:c r="G1125" s="25" t="str">
        <x:v>https://doi.org/10.1007/978-1-4842-4125-7_1</x:v>
      </x:c>
      <x:c r="H1125" s="25" t="str">
        <x:v>Crossref</x:v>
      </x:c>
      <x:c r="I1125" s="25" t="str">
        <x:v>C6_frontend_GUI_intent</x:v>
      </x:c>
      <x:c r="J1125" s="25" t="str">
        <x:v>Exclude</x:v>
      </x:c>
      <x:c r="K1125" s="25" t="str">
        <x:v>Exclude: topic mismatch</x:v>
      </x:c>
    </x:row>
    <x:row r="1126">
      <x:c r="A1126" s="20" t="str">
        <x:v>R1122</x:v>
      </x:c>
      <x:c r="B1126" s="25" t="str">
        <x:v>Is Collaboration Worth It? A Decision-Oriented Survey in Multi-Agent Systems</x:v>
      </x:c>
      <x:c r="C1126" s="25" t="n">
        <x:v>2026</x:v>
      </x:c>
      <x:c r="D1126" s="25" t="str">
        <x:v>Guanjie Cheng; Yifan Zhang; Zewen Lin; Xinkui Zhao; Sai Liu; Jianwei Yin; Shuiguang Deng</x:v>
      </x:c>
      <x:c r="E1126" s="25" t="str"/>
      <x:c r="F1126" s="25" t="str">
        <x:v>10.36227/techrxiv.176978654.41579706/v1</x:v>
      </x:c>
      <x:c r="G1126" s="25" t="str">
        <x:v>https://doi.org/10.36227/techrxiv.176978654.41579706/v1</x:v>
      </x:c>
      <x:c r="H1126" s="25" t="str">
        <x:v>OpenAlex</x:v>
      </x:c>
      <x:c r="I1126" s="25" t="str">
        <x:v>C16_memory_conflict_bias</x:v>
      </x:c>
      <x:c r="J1126" s="25" t="str">
        <x:v>Exclude</x:v>
      </x:c>
      <x:c r="K1126" s="25" t="str">
        <x:v>Exclude: topic mismatch</x:v>
      </x:c>
    </x:row>
    <x:row r="1127">
      <x:c r="A1127" s="20" t="str">
        <x:v>R1123</x:v>
      </x:c>
      <x:c r="B1127" s="25" t="str">
        <x:v>Iterative Generation of Feature-Based CAD Models Using an LLM With Domain-Specific Constraints</x:v>
      </x:c>
      <x:c r="C1127" s="25" t="n">
        <x:v>2026</x:v>
      </x:c>
      <x:c r="D1127" s="25" t="str">
        <x:v>Ammon Hepworth; John Gauch</x:v>
      </x:c>
      <x:c r="E1127" s="25" t="str">
        <x:v>CAD'26 Proceedings</x:v>
      </x:c>
      <x:c r="F1127" s="25" t="str">
        <x:v>10.14733/cadconfp.2026.7-13</x:v>
      </x:c>
      <x:c r="G1127" s="25" t="str">
        <x:v>https://doi.org/10.14733/cadconfp.2026.7-13</x:v>
      </x:c>
      <x:c r="H1127" s="25" t="str">
        <x:v>Crossref</x:v>
      </x:c>
      <x:c r="I1127" s="25" t="str">
        <x:v>C13_CAD_design_intent</x:v>
      </x:c>
      <x:c r="J1127" s="25" t="str">
        <x:v>Exclude</x:v>
      </x:c>
      <x:c r="K1127" s="25" t="str">
        <x:v>Exclude: topic mismatch</x:v>
      </x:c>
    </x:row>
    <x:row r="1128">
      <x:c r="A1128" s="20" t="str">
        <x:v>R1124</x:v>
      </x:c>
      <x:c r="B1128" s="25" t="str">
        <x:v>Iterative Generation of Feature-based CAD Models Using an LLM with Domain-specific Constraints</x:v>
      </x:c>
      <x:c r="C1128" s="25" t="n">
        <x:v>2026</x:v>
      </x:c>
      <x:c r="D1128" s="25" t="str">
        <x:v>Ammon Hepworth; John Gauch</x:v>
      </x:c>
      <x:c r="E1128" s="25" t="str">
        <x:v>Computer-Aided Design and Applications</x:v>
      </x:c>
      <x:c r="F1128" s="25" t="str">
        <x:v>10.14733/cadaps.2027.19-35</x:v>
      </x:c>
      <x:c r="G1128" s="25" t="str">
        <x:v>https://doi.org/10.14733/cadaps.2027.19-35</x:v>
      </x:c>
      <x:c r="H1128" s="25" t="str">
        <x:v>Crossref</x:v>
      </x:c>
      <x:c r="I1128" s="25" t="str">
        <x:v>C13_CAD_design_intent</x:v>
      </x:c>
      <x:c r="J1128" s="25" t="str">
        <x:v>Exclude</x:v>
      </x:c>
      <x:c r="K1128" s="25" t="str">
        <x:v>Exclude: topic mismatch</x:v>
      </x:c>
    </x:row>
    <x:row r="1129">
      <x:c r="A1129" s="20" t="str">
        <x:v>R1125</x:v>
      </x:c>
      <x:c r="B1129" s="25" t="str">
        <x:v>Knowledge Activation: AI Skills as the Institutional Knowledge Primitive for Agentic Software Development</x:v>
      </x:c>
      <x:c r="C1129" s="25" t="n">
        <x:v>2026</x:v>
      </x:c>
      <x:c r="D1129" s="25" t="str">
        <x:v>Gal Bakal</x:v>
      </x:c>
      <x:c r="E1129" s="25" t="str">
        <x:v>arXiv (Cornell University)</x:v>
      </x:c>
      <x:c r="F1129" s="25" t="str"/>
      <x:c r="G1129" s="25" t="str">
        <x:v>https://arxiv.org/abs/2603.14805</x:v>
      </x:c>
      <x:c r="H1129" s="25" t="str">
        <x:v>OpenAlex</x:v>
      </x:c>
      <x:c r="I1129" s="25" t="str">
        <x:v>C16_memory_conflict_bias</x:v>
      </x:c>
      <x:c r="J1129" s="25" t="str">
        <x:v>Exclude</x:v>
      </x:c>
      <x:c r="K1129" s="25" t="str">
        <x:v>Exclude: adjacent/redundant or insufficiently theory-generative for DC1</x:v>
      </x:c>
    </x:row>
    <x:row r="1130">
      <x:c r="A1130" s="20" t="str">
        <x:v>R1126</x:v>
      </x:c>
      <x:c r="B1130" s="25" t="str">
        <x:v>Labeling CAD Parts to capture Design Intent for LLMs through Machining Feature Recognition</x:v>
      </x:c>
      <x:c r="C1130" s="25" t="n">
        <x:v>2026</x:v>
      </x:c>
      <x:c r="D1130" s="25" t="str">
        <x:v>Felix Pusch; Elias Berger; Paul Christoph Gembarski; Jan Mehlstäubl; Kevin Herrmann; Kristin Paetzold-Byhain; Roland Lachmayer</x:v>
      </x:c>
      <x:c r="E1130" s="25" t="str">
        <x:v>Procedia CIRP</x:v>
      </x:c>
      <x:c r="F1130" s="25" t="str">
        <x:v>10.1016/j.procir.2026.05.221</x:v>
      </x:c>
      <x:c r="G1130" s="25" t="str">
        <x:v>https://doi.org/10.1016/j.procir.2026.05.221</x:v>
      </x:c>
      <x:c r="H1130" s="25" t="str">
        <x:v>Crossref</x:v>
      </x:c>
      <x:c r="I1130" s="25" t="str">
        <x:v>C13_CAD_design_intent</x:v>
      </x:c>
      <x:c r="J1130" s="25" t="str">
        <x:v>Exclude</x:v>
      </x:c>
      <x:c r="K1130" s="25" t="str">
        <x:v>Exclude: adjacent/redundant or insufficiently theory-generative for DC1</x:v>
      </x:c>
    </x:row>
    <x:row r="1131">
      <x:c r="A1131" s="20" t="str">
        <x:v>R1127</x:v>
      </x:c>
      <x:c r="B1131" s="25" t="str">
        <x:v>Large Language Models for Assisting American College Applications</x:v>
      </x:c>
      <x:c r="C1131" s="25" t="n">
        <x:v>2026</x:v>
      </x:c>
      <x:c r="D1131" s="25" t="str">
        <x:v>Zhengliang Liu; Weihang You; Peng Shu; Junhao Chen; Yi Pan; Hanqi Jiang; Yiwei Li; Zude Ding; Chao Cao; Xinliang Li; Yifan Zhou; Ruidong Zhang; Xu, Shaochen; Ruan Wei; Huaqin Zhao; Dajiang Zhu; Tianming Liu</x:v>
      </x:c>
      <x:c r="E1131" s="25" t="str">
        <x:v>Open MIND</x:v>
      </x:c>
      <x:c r="F1131" s="25" t="str">
        <x:v>10.48550/arxiv.2602.15850</x:v>
      </x:c>
      <x:c r="G1131" s="25" t="str">
        <x:v>https://openalex.org/W7130561399</x:v>
      </x:c>
      <x:c r="H1131" s="25" t="str">
        <x:v>OpenAlex</x:v>
      </x:c>
      <x:c r="I1131" s="25" t="str">
        <x:v>C16_memory_conflict_bias</x:v>
      </x:c>
      <x:c r="J1131" s="25" t="str">
        <x:v>Exclude</x:v>
      </x:c>
      <x:c r="K1131" s="25" t="str">
        <x:v>Exclude: topic mismatch</x:v>
      </x:c>
    </x:row>
    <x:row r="1132">
      <x:c r="A1132" s="20" t="str">
        <x:v>R1128</x:v>
      </x:c>
      <x:c r="B1132" s="25" t="str">
        <x:v>Learning decomposition models for hierarchical planning and plan recognition</x:v>
      </x:c>
      <x:c r="C1132" s="25" t="str"/>
      <x:c r="D1132" s="25" t="str">
        <x:v>; Pavan Kantharaju; Santiago Ontañón</x:v>
      </x:c>
      <x:c r="E1132" s="25" t="str"/>
      <x:c r="F1132" s="25" t="str">
        <x:v>10.17918/00000386</x:v>
      </x:c>
      <x:c r="G1132" s="25" t="str">
        <x:v>https://doi.org/10.17918/00000386</x:v>
      </x:c>
      <x:c r="H1132" s="25" t="str">
        <x:v>Crossref</x:v>
      </x:c>
      <x:c r="I1132" s="25" t="str">
        <x:v>C11_hierarchical_goal_recognition</x:v>
      </x:c>
      <x:c r="J1132" s="25" t="str">
        <x:v>Exclude</x:v>
      </x:c>
      <x:c r="K1132" s="25" t="str">
        <x:v>Exclude: topic mismatch</x:v>
      </x:c>
    </x:row>
    <x:row r="1133">
      <x:c r="A1133" s="20" t="str">
        <x:v>R1129</x:v>
      </x:c>
      <x:c r="B1133" s="25" t="str">
        <x:v>Learning dexterous manipulation from 3D hand and object interaction</x:v>
      </x:c>
      <x:c r="C1133" s="25" t="str"/>
      <x:c r="D1133" s="25" t="str">
        <x:v>; Zerui Chen</x:v>
      </x:c>
      <x:c r="E1133" s="25" t="str"/>
      <x:c r="F1133" s="25" t="str">
        <x:v>10.70675/a5b55fc1z8706z4710z9ed5zf2b7365c5cf3</x:v>
      </x:c>
      <x:c r="G1133" s="25" t="str">
        <x:v>https://doi.org/10.70675/a5b55fc1z8706z4710z9ed5zf2b7365c5cf3</x:v>
      </x:c>
      <x:c r="H1133" s="25" t="str">
        <x:v>Crossref</x:v>
      </x:c>
      <x:c r="I1133" s="25" t="str">
        <x:v>C1_3D_mental_models</x:v>
      </x:c>
      <x:c r="J1133" s="25" t="str">
        <x:v>Exclude</x:v>
      </x:c>
      <x:c r="K1133" s="25" t="str">
        <x:v>Exclude: adjacent/redundant or insufficiently theory-generative for DC1</x:v>
      </x:c>
    </x:row>
    <x:row r="1134">
      <x:c r="A1134" s="20" t="str">
        <x:v>R1130</x:v>
      </x:c>
      <x:c r="B1134" s="25" t="str">
        <x:v>Legible user input for intent prediction</x:v>
      </x:c>
      <x:c r="C1134" s="25" t="n">
        <x:v>2013</x:v>
      </x:c>
      <x:c r="D1134" s="25" t="str">
        <x:v>Kenton C. T. Lee; Anca D. Dragan; Siddhartha S. Srinivasa</x:v>
      </x:c>
      <x:c r="E1134" s="25" t="str">
        <x:v>2013 8th ACM/IEEE International Conference on Human-Robot Interaction (HRI)</x:v>
      </x:c>
      <x:c r="F1134" s="25" t="str">
        <x:v>10.1109/hri.2013.6483558</x:v>
      </x:c>
      <x:c r="G1134" s="25" t="str">
        <x:v>https://doi.org/10.1109/hri.2013.6483558</x:v>
      </x:c>
      <x:c r="H1134" s="25" t="str">
        <x:v>Crossref</x:v>
      </x:c>
      <x:c r="I1134" s="25" t="str">
        <x:v>C2_interaction_signals</x:v>
      </x:c>
      <x:c r="J1134" s="25" t="str">
        <x:v>Exclude</x:v>
      </x:c>
      <x:c r="K1134" s="25" t="str">
        <x:v>Exclude: adjacent/redundant or insufficiently theory-generative for DC1</x:v>
      </x:c>
    </x:row>
    <x:row r="1135">
      <x:c r="A1135" s="20" t="str">
        <x:v>R1131</x:v>
      </x:c>
      <x:c r="B1135" s="25" t="str">
        <x:v>Let the Agent Steer: Closed-Loop Ranking Optimization via Influence Exchange</x:v>
      </x:c>
      <x:c r="C1135" s="25" t="n">
        <x:v>2026</x:v>
      </x:c>
      <x:c r="D1135" s="25" t="str">
        <x:v>Yin Cheng; Liao Zhou; Xiyu Liang; Dihao Luo; TeWei Lee; Kailun Zheng; Weiwei Zhang; Mingchen Cai; Jian Dong; Andy Zhang</x:v>
      </x:c>
      <x:c r="E1135" s="25" t="str">
        <x:v>arXiv (Cornell University)</x:v>
      </x:c>
      <x:c r="F1135" s="25" t="str"/>
      <x:c r="G1135" s="25" t="str">
        <x:v>http://arxiv.org/abs/2603.27765</x:v>
      </x:c>
      <x:c r="H1135" s="25" t="str">
        <x:v>OpenAlex</x:v>
      </x:c>
      <x:c r="I1135" s="25" t="str">
        <x:v>C16_memory_conflict_bias</x:v>
      </x:c>
      <x:c r="J1135" s="25" t="str">
        <x:v>Exclude</x:v>
      </x:c>
      <x:c r="K1135" s="25" t="str">
        <x:v>Exclude: adjacent/redundant or insufficiently theory-generative for DC1</x:v>
      </x:c>
    </x:row>
    <x:row r="1136">
      <x:c r="A1136" s="20" t="str">
        <x:v>R1132</x:v>
      </x:c>
      <x:c r="B1136" s="25" t="str">
        <x:v>List of Contributors</x:v>
      </x:c>
      <x:c r="C1136" s="25" t="n">
        <x:v>2014</x:v>
      </x:c>
      <x:c r="D1136" s="25" t="str"/>
      <x:c r="E1136" s="25" t="str">
        <x:v>Plan, Activity, and Intent Recognition</x:v>
      </x:c>
      <x:c r="F1136" s="25" t="str">
        <x:v>10.1016/b978-0-12-398532-3.00020-8</x:v>
      </x:c>
      <x:c r="G1136" s="25" t="str">
        <x:v>https://doi.org/10.1016/b978-0-12-398532-3.00020-8</x:v>
      </x:c>
      <x:c r="H1136" s="25" t="str">
        <x:v>Crossref</x:v>
      </x:c>
      <x:c r="I1136" s="25" t="str">
        <x:v>C11_hierarchical_goal_recognition</x:v>
      </x:c>
      <x:c r="J1136" s="25" t="str">
        <x:v>Exclude</x:v>
      </x:c>
      <x:c r="K1136" s="25" t="str">
        <x:v>Exclude: topic mismatch</x:v>
      </x:c>
    </x:row>
    <x:row r="1137">
      <x:c r="A1137" s="20" t="str">
        <x:v>R1133</x:v>
      </x:c>
      <x:c r="B1137" s="25" t="str">
        <x:v>Mastering the Machine: Human-AI Co-Creation, Copyright, and the Future of the Creative Industries</x:v>
      </x:c>
      <x:c r="C1137" s="25" t="n">
        <x:v>2026</x:v>
      </x:c>
      <x:c r="D1137" s="25" t="str">
        <x:v>Aurelio Aguite Jr</x:v>
      </x:c>
      <x:c r="E1137" s="25" t="str"/>
      <x:c r="F1137" s="25" t="str">
        <x:v>10.2139/ssrn.6701198</x:v>
      </x:c>
      <x:c r="G1137" s="25" t="str">
        <x:v>https://doi.org/10.2139/ssrn.6701198</x:v>
      </x:c>
      <x:c r="H1137" s="25" t="str">
        <x:v>Crossref</x:v>
      </x:c>
      <x:c r="I1137" s="25" t="str">
        <x:v>C14_agency_ownership; C7_creative_agency</x:v>
      </x:c>
      <x:c r="J1137" s="25" t="str">
        <x:v>Exclude</x:v>
      </x:c>
      <x:c r="K1137" s="25" t="str">
        <x:v>Exclude: adjacent/redundant or insufficiently theory-generative for DC1</x:v>
      </x:c>
    </x:row>
    <x:row r="1138">
      <x:c r="A1138" s="20" t="str">
        <x:v>R1134</x:v>
      </x:c>
      <x:c r="B1138" s="25" t="str">
        <x:v>MemLens: Benchmarking Multimodal Long-Term Memory in Large Vision-Language Models</x:v>
      </x:c>
      <x:c r="C1138" s="25" t="n">
        <x:v>2026</x:v>
      </x:c>
      <x:c r="D1138" s="25" t="str">
        <x:v>Xiyu Ren; Zhaowei Wang; Yiming Du; Zhongwei Xie; Chi Liu; Xinlin Yang; Haoyue Feng; Wenjun Pan; Tianshi Zheng; Baixuan Xu; Zhengnan Li; Yangqiu Song; Ginny Wong; Simon See</x:v>
      </x:c>
      <x:c r="E1138" s="25" t="str">
        <x:v>arXiv (Cornell University)</x:v>
      </x:c>
      <x:c r="F1138" s="25" t="str"/>
      <x:c r="G1138" s="25" t="str">
        <x:v>https://arxiv.org/abs/2605.14906</x:v>
      </x:c>
      <x:c r="H1138" s="25" t="str">
        <x:v>OpenAlex</x:v>
      </x:c>
      <x:c r="I1138" s="25" t="str">
        <x:v>C16_memory_conflict_bias</x:v>
      </x:c>
      <x:c r="J1138" s="25" t="str">
        <x:v>Exclude</x:v>
      </x:c>
      <x:c r="K1138" s="25" t="str">
        <x:v>Exclude: adjacent/redundant or insufficiently theory-generative for DC1</x:v>
      </x:c>
    </x:row>
    <x:row r="1139">
      <x:c r="A1139" s="20" t="str">
        <x:v>R1135</x:v>
      </x:c>
      <x:c r="B1139" s="25" t="str">
        <x:v>Memory Retrieval Processes During Posthypnotic Amnesia</x:v>
      </x:c>
      <x:c r="C1139" s="25" t="n">
        <x:v>2014</x:v>
      </x:c>
      <x:c r="D1139" s="25" t="str"/>
      <x:c r="E1139" s="25" t="str">
        <x:v>Functional Disorders of Memory (PLE: Memory)</x:v>
      </x:c>
      <x:c r="F1139" s="25" t="str">
        <x:v>10.4324/9781315794778-16</x:v>
      </x:c>
      <x:c r="G1139" s="25" t="str">
        <x:v>https://doi.org/10.4324/9781315794778-16</x:v>
      </x:c>
      <x:c r="H1139" s="25" t="str">
        <x:v>Crossref</x:v>
      </x:c>
      <x:c r="I1139" s="25" t="str">
        <x:v>C16_memory_conflict_bias</x:v>
      </x:c>
      <x:c r="J1139" s="25" t="str">
        <x:v>Exclude</x:v>
      </x:c>
      <x:c r="K1139" s="25" t="str">
        <x:v>Exclude: adjacent/redundant or insufficiently theory-generative for DC1</x:v>
      </x:c>
    </x:row>
    <x:row r="1140">
      <x:c r="A1140" s="20" t="str">
        <x:v>R1136</x:v>
      </x:c>
      <x:c r="B1140" s="25" t="str">
        <x:v>Memory Updating Following Episodic and Semantic Retrieval: Evidence for Shared Mechanisms</x:v>
      </x:c>
      <x:c r="C1140" s="25" t="n">
        <x:v>2026</x:v>
      </x:c>
      <x:c r="D1140" s="25" t="str">
        <x:v>Christopher N. Wahlheim</x:v>
      </x:c>
      <x:c r="E1140" s="25" t="str"/>
      <x:c r="F1140" s="25" t="str">
        <x:v>10.31234/osf.io/b538a_v1</x:v>
      </x:c>
      <x:c r="G1140" s="25" t="str">
        <x:v>https://doi.org/10.31234/osf.io/b538a_v1</x:v>
      </x:c>
      <x:c r="H1140" s="25" t="str">
        <x:v>Crossref</x:v>
      </x:c>
      <x:c r="I1140" s="25" t="str">
        <x:v>C5_agent_memory</x:v>
      </x:c>
      <x:c r="J1140" s="25" t="str">
        <x:v>Exclude</x:v>
      </x:c>
      <x:c r="K1140" s="25" t="str">
        <x:v>Exclude: adjacent/redundant or insufficiently theory-generative for DC1</x:v>
      </x:c>
    </x:row>
    <x:row r="1141">
      <x:c r="A1141" s="20" t="str">
        <x:v>R1137</x:v>
      </x:c>
      <x:c r="B1141" s="25" t="str">
        <x:v>Memory as Metabolism: A Design for Companion Knowledge Systems</x:v>
      </x:c>
      <x:c r="C1141" s="25" t="n">
        <x:v>2026</x:v>
      </x:c>
      <x:c r="D1141" s="25" t="str">
        <x:v>Stefan Miteski</x:v>
      </x:c>
      <x:c r="E1141" s="25" t="str">
        <x:v>arXiv (Cornell University)</x:v>
      </x:c>
      <x:c r="F1141" s="25" t="str"/>
      <x:c r="G1141" s="25" t="str">
        <x:v>https://arxiv.org/abs/2604.12034</x:v>
      </x:c>
      <x:c r="H1141" s="25" t="str">
        <x:v>OpenAlex</x:v>
      </x:c>
      <x:c r="I1141" s="25" t="str">
        <x:v>C16_memory_conflict_bias</x:v>
      </x:c>
      <x:c r="J1141" s="25" t="str">
        <x:v>Exclude</x:v>
      </x:c>
      <x:c r="K1141" s="25" t="str">
        <x:v>Exclude: adjacent/redundant or insufficiently theory-generative for DC1</x:v>
      </x:c>
    </x:row>
    <x:row r="1142">
      <x:c r="A1142" s="20" t="str">
        <x:v>R1138</x:v>
      </x:c>
      <x:c r="B1142" s="25" t="str">
        <x:v>Memory retrieval and truth recovery</x:v>
      </x:c>
      <x:c r="C1142" s="25" t="n">
        <x:v>2008</x:v>
      </x:c>
      <x:c r="D1142" s="25" t="str"/>
      <x:c r="E1142" s="25" t="str">
        <x:v>Handbook of Conflict Analysis and Resolution</x:v>
      </x:c>
      <x:c r="F1142" s="25" t="str">
        <x:v>10.4324/9780203893166-40</x:v>
      </x:c>
      <x:c r="G1142" s="25" t="str">
        <x:v>https://doi.org/10.4324/9780203893166-40</x:v>
      </x:c>
      <x:c r="H1142" s="25" t="str">
        <x:v>Crossref</x:v>
      </x:c>
      <x:c r="I1142" s="25" t="str">
        <x:v>C16_memory_conflict_bias</x:v>
      </x:c>
      <x:c r="J1142" s="25" t="str">
        <x:v>Exclude</x:v>
      </x:c>
      <x:c r="K1142" s="25" t="str">
        <x:v>Exclude: adjacent/redundant or insufficiently theory-generative for DC1</x:v>
      </x:c>
    </x:row>
    <x:row r="1143">
      <x:c r="A1143" s="20" t="str">
        <x:v>R1139</x:v>
      </x:c>
      <x:c r="B1143" s="25" t="str">
        <x:v>Memory sites in the dynamics of the Serbia-Kosovo conflict</x:v>
      </x:c>
      <x:c r="C1143" s="25" t="n">
        <x:v>2024</x:v>
      </x:c>
      <x:c r="D1143" s="25" t="str">
        <x:v>Michael M. Sweigart</x:v>
      </x:c>
      <x:c r="E1143" s="25" t="str">
        <x:v>Memory Sites and Conflict Dynamics</x:v>
      </x:c>
      <x:c r="F1143" s="25" t="str">
        <x:v>10.4324/9781003497332-9</x:v>
      </x:c>
      <x:c r="G1143" s="25" t="str">
        <x:v>https://doi.org/10.4324/9781003497332-9</x:v>
      </x:c>
      <x:c r="H1143" s="25" t="str">
        <x:v>Crossref</x:v>
      </x:c>
      <x:c r="I1143" s="25" t="str">
        <x:v>C16_memory_conflict_bias</x:v>
      </x:c>
      <x:c r="J1143" s="25" t="str">
        <x:v>Exclude</x:v>
      </x:c>
      <x:c r="K1143" s="25" t="str">
        <x:v>Exclude: adjacent/redundant or insufficiently theory-generative for DC1</x:v>
      </x:c>
    </x:row>
    <x:row r="1144">
      <x:c r="A1144" s="20" t="str">
        <x:v>R1140</x:v>
      </x:c>
      <x:c r="B1144" s="25" t="str">
        <x:v>Methods of cognitive task analysis</x:v>
      </x:c>
      <x:c r="C1144" s="25" t="n">
        <x:v>2017</x:v>
      </x:c>
      <x:c r="D1144" s="25" t="str"/>
      <x:c r="E1144" s="25" t="str">
        <x:v>Applied Cognitive Task Analysis in Aviation</x:v>
      </x:c>
      <x:c r="F1144" s="25" t="str">
        <x:v>10.4324/9781315262321-13</x:v>
      </x:c>
      <x:c r="G1144" s="25" t="str">
        <x:v>https://doi.org/10.4324/9781315262321-13</x:v>
      </x:c>
      <x:c r="H1144" s="25" t="str">
        <x:v>Crossref</x:v>
      </x:c>
      <x:c r="I1144" s="25" t="str">
        <x:v>C18_video_intent_coding_VLM_annotation</x:v>
      </x:c>
      <x:c r="J1144" s="25" t="str">
        <x:v>Exclude</x:v>
      </x:c>
      <x:c r="K1144" s="25" t="str">
        <x:v>Exclude: topic mismatch</x:v>
      </x:c>
    </x:row>
    <x:row r="1145">
      <x:c r="A1145" s="20" t="str">
        <x:v>R1141</x:v>
      </x:c>
      <x:c r="B1145" s="25" t="str">
        <x:v>Mixed Boundary Conditions for Two-Dimensional Transient Heat Transfer Conduction under Lattice Boltzmann Simulations</x:v>
      </x:c>
      <x:c r="C1145" s="25" t="n">
        <x:v>2011</x:v>
      </x:c>
      <x:c r="D1145" s="25" t="str"/>
      <x:c r="E1145" s="25" t="str">
        <x:v>Journal of Applied Fluid Mechanics</x:v>
      </x:c>
      <x:c r="F1145" s="25" t="str">
        <x:v>10.36884/jafm.4.03.11938</x:v>
      </x:c>
      <x:c r="G1145" s="25" t="str">
        <x:v>https://doi.org/10.36884/jafm.4.03.11938</x:v>
      </x:c>
      <x:c r="H1145" s="25" t="str">
        <x:v>Crossref</x:v>
      </x:c>
      <x:c r="I1145" s="25" t="str">
        <x:v>C9_human_agent_handoff</x:v>
      </x:c>
      <x:c r="J1145" s="25" t="str">
        <x:v>Exclude</x:v>
      </x:c>
      <x:c r="K1145" s="25" t="str">
        <x:v>Exclude: topic mismatch</x:v>
      </x:c>
    </x:row>
    <x:row r="1146">
      <x:c r="A1146" s="20" t="str">
        <x:v>R1142</x:v>
      </x:c>
      <x:c r="B1146" s="25" t="str">
        <x:v>Mixed Convection of Heat and Mass Transfer of Casson Fluid Flow Over a Moving Horizontal Plate with Convective Boundary Conditions</x:v>
      </x:c>
      <x:c r="C1146" s="25" t="n">
        <x:v>2024</x:v>
      </x:c>
      <x:c r="D1146" s="25" t="str"/>
      <x:c r="E1146" s="25" t="str">
        <x:v>Materials International</x:v>
      </x:c>
      <x:c r="F1146" s="25" t="str">
        <x:v>10.33263/materials64.036</x:v>
      </x:c>
      <x:c r="G1146" s="25" t="str">
        <x:v>https://doi.org/10.33263/materials64.036</x:v>
      </x:c>
      <x:c r="H1146" s="25" t="str">
        <x:v>Crossref</x:v>
      </x:c>
      <x:c r="I1146" s="25" t="str">
        <x:v>C9_human_agent_handoff</x:v>
      </x:c>
      <x:c r="J1146" s="25" t="str">
        <x:v>Exclude</x:v>
      </x:c>
      <x:c r="K1146" s="25" t="str">
        <x:v>Exclude: topic mismatch</x:v>
      </x:c>
    </x:row>
    <x:row r="1147">
      <x:c r="A1147" s="20" t="str">
        <x:v>R1143</x:v>
      </x:c>
      <x:c r="B1147" s="25" t="str">
        <x:v>Mixed Initiative Sensemaking With Automation</x:v>
      </x:c>
      <x:c r="C1147" s="25" t="n">
        <x:v>2022</x:v>
      </x:c>
      <x:c r="D1147" s="25" t="str">
        <x:v>Ahad Alotaibi; Chris Baber</x:v>
      </x:c>
      <x:c r="E1147" s="25" t="str">
        <x:v>AHFE International</x:v>
      </x:c>
      <x:c r="F1147" s="25" t="str">
        <x:v>10.54941/ahfe100868</x:v>
      </x:c>
      <x:c r="G1147" s="25" t="str">
        <x:v>https://doi.org/10.54941/ahfe100868</x:v>
      </x:c>
      <x:c r="H1147" s="25" t="str">
        <x:v>Crossref</x:v>
      </x:c>
      <x:c r="I1147" s="25" t="str">
        <x:v>C15_proactive_interruption; C9_human_agent_handoff</x:v>
      </x:c>
      <x:c r="J1147" s="25" t="str">
        <x:v>Exclude</x:v>
      </x:c>
      <x:c r="K1147" s="25" t="str">
        <x:v>Exclude: adjacent/redundant or insufficiently theory-generative for DC1</x:v>
      </x:c>
    </x:row>
    <x:row r="1148">
      <x:c r="A1148" s="20" t="str">
        <x:v>R1144</x:v>
      </x:c>
      <x:c r="B1148" s="25" t="str">
        <x:v>Mixed-Initiative Context: Structuring and Managing Context for Human-AI Collaboration</x:v>
      </x:c>
      <x:c r="C1148" s="25" t="n">
        <x:v>2026</x:v>
      </x:c>
      <x:c r="D1148" s="25" t="str">
        <x:v>Haichang Li; Qinshi Zhang; Piaohong Wang; Zhicong Lu</x:v>
      </x:c>
      <x:c r="E1148" s="25" t="str">
        <x:v>arXiv (Cornell University)</x:v>
      </x:c>
      <x:c r="F1148" s="25" t="str"/>
      <x:c r="G1148" s="25" t="str">
        <x:v>http://arxiv.org/abs/2604.07121</x:v>
      </x:c>
      <x:c r="H1148" s="25" t="str">
        <x:v>OpenAlex</x:v>
      </x:c>
      <x:c r="I1148" s="25" t="str">
        <x:v>C16_memory_conflict_bias</x:v>
      </x:c>
      <x:c r="J1148" s="25" t="str">
        <x:v>Exclude</x:v>
      </x:c>
      <x:c r="K1148" s="25" t="str">
        <x:v>Exclude: adjacent/redundant or insufficiently theory-generative for DC1</x:v>
      </x:c>
    </x:row>
    <x:row r="1149">
      <x:c r="A1149" s="20" t="str">
        <x:v>R1145</x:v>
      </x:c>
      <x:c r="B1149" s="25" t="str">
        <x:v>Model-Native Computing Architecture: Envisioning Future System Architecture Through the Lens of Computer Architecture</x:v>
      </x:c>
      <x:c r="C1149" s="25" t="n">
        <x:v>2026</x:v>
      </x:c>
      <x:c r="D1149" s="25" t="str">
        <x:v>Hai Lin; Hoilam Pao; Shaoxiong Zhan; Haitao Zheng</x:v>
      </x:c>
      <x:c r="E1149" s="25" t="str">
        <x:v>arXiv (Cornell University)</x:v>
      </x:c>
      <x:c r="F1149" s="25" t="str"/>
      <x:c r="G1149" s="25" t="str">
        <x:v>https://arxiv.org/abs/2606.00288</x:v>
      </x:c>
      <x:c r="H1149" s="25" t="str">
        <x:v>OpenAlex</x:v>
      </x:c>
      <x:c r="I1149" s="25" t="str">
        <x:v>C16_memory_conflict_bias</x:v>
      </x:c>
      <x:c r="J1149" s="25" t="str">
        <x:v>Exclude</x:v>
      </x:c>
      <x:c r="K1149" s="25" t="str">
        <x:v>Exclude: adjacent/redundant or insufficiently theory-generative for DC1</x:v>
      </x:c>
    </x:row>
    <x:row r="1150">
      <x:c r="A1150" s="20" t="str">
        <x:v>R1146</x:v>
      </x:c>
      <x:c r="B1150" s="25" t="str">
        <x:v>Modelling, Simulation, and Design for 3D Printing</x:v>
      </x:c>
      <x:c r="C1150" s="25" t="n">
        <x:v>2025</x:v>
      </x:c>
      <x:c r="D1150" s="25" t="str">
        <x:v>Romdhane Ben Khalifa; Ghalia Nhassa; Ali Snoussi</x:v>
      </x:c>
      <x:c r="E1150" s="25" t="str">
        <x:v>Modeling, Analysis, and Control of 3D Printing Processes</x:v>
      </x:c>
      <x:c r="F1150" s="25" t="str">
        <x:v>10.4018/979-8-3373-0533-2.ch005</x:v>
      </x:c>
      <x:c r="G1150" s="25" t="str">
        <x:v>https://doi.org/10.4018/979-8-3373-0533-2.ch005</x:v>
      </x:c>
      <x:c r="H1150" s="25" t="str">
        <x:v>Crossref</x:v>
      </x:c>
      <x:c r="I1150" s="25" t="str">
        <x:v>C13_CAD_design_intent</x:v>
      </x:c>
      <x:c r="J1150" s="25" t="str">
        <x:v>Exclude</x:v>
      </x:c>
      <x:c r="K1150" s="25" t="str">
        <x:v>Exclude: adjacent/redundant or insufficiently theory-generative for DC1</x:v>
      </x:c>
    </x:row>
    <x:row r="1151">
      <x:c r="A1151" s="20" t="str">
        <x:v>R1147</x:v>
      </x:c>
      <x:c r="B1151" s="25" t="str">
        <x:v>Modular Design Approach to 3d Cad Modeling of Automotive Door Assembly by Using Nx Modules</x:v>
      </x:c>
      <x:c r="C1151" s="25" t="n">
        <x:v>2023</x:v>
      </x:c>
      <x:c r="D1151" s="25" t="str">
        <x:v>ibrahim UTANIR</x:v>
      </x:c>
      <x:c r="E1151" s="25" t="str"/>
      <x:c r="F1151" s="25" t="str">
        <x:v>10.2139/ssrn.4363652</x:v>
      </x:c>
      <x:c r="G1151" s="25" t="str">
        <x:v>https://doi.org/10.2139/ssrn.4363652</x:v>
      </x:c>
      <x:c r="H1151" s="25" t="str">
        <x:v>Crossref</x:v>
      </x:c>
      <x:c r="I1151" s="25" t="str">
        <x:v>C13_CAD_design_intent</x:v>
      </x:c>
      <x:c r="J1151" s="25" t="str">
        <x:v>Exclude</x:v>
      </x:c>
      <x:c r="K1151" s="25" t="str">
        <x:v>Exclude: adjacent/redundant or insufficiently theory-generative for DC1</x:v>
      </x:c>
    </x:row>
    <x:row r="1152">
      <x:c r="A1152" s="20" t="str">
        <x:v>R1148</x:v>
      </x:c>
      <x:c r="B1152" s="25" t="str">
        <x:v>MozArt</x:v>
      </x:c>
      <x:c r="C1152" s="25" t="n">
        <x:v>2011</x:v>
      </x:c>
      <x:c r="D1152" s="25" t="str">
        <x:v>Anirudh Sharma; Sriganesh Madhvanath</x:v>
      </x:c>
      <x:c r="E1152" s="25" t="str">
        <x:v>Proceedings of the 3rd Indian Conference on Human-Computer Interaction</x:v>
      </x:c>
      <x:c r="F1152" s="25" t="str">
        <x:v>10.1145/2407796.2407812</x:v>
      </x:c>
      <x:c r="G1152" s="25" t="str">
        <x:v>https://doi.org/10.1145/2407796.2407812</x:v>
      </x:c>
      <x:c r="H1152" s="25" t="str">
        <x:v>Crossref</x:v>
      </x:c>
      <x:c r="I1152" s="25" t="str">
        <x:v>C13_CAD_design_intent</x:v>
      </x:c>
      <x:c r="J1152" s="25" t="str">
        <x:v>Exclude</x:v>
      </x:c>
      <x:c r="K1152" s="25" t="str">
        <x:v>Exclude: topic mismatch</x:v>
      </x:c>
    </x:row>
    <x:row r="1153">
      <x:c r="A1153" s="20" t="str">
        <x:v>R1149</x:v>
      </x:c>
      <x:c r="B1153" s="25" t="str">
        <x:v>Multi-cue 3D Model-Based Object Tracking</x:v>
      </x:c>
      <x:c r="C1153" s="25" t="str"/>
      <x:c r="D1153" s="25" t="str"/>
      <x:c r="E1153" s="25" t="str">
        <x:v>Springer Tracts in Advanced Robotics</x:v>
      </x:c>
      <x:c r="F1153" s="25" t="str">
        <x:v>10.1007/978-3-540-33455-2_5</x:v>
      </x:c>
      <x:c r="G1153" s="25" t="str">
        <x:v>https://doi.org/10.1007/978-3-540-33455-2_5</x:v>
      </x:c>
      <x:c r="H1153" s="25" t="str">
        <x:v>Crossref</x:v>
      </x:c>
      <x:c r="I1153" s="25" t="str">
        <x:v>C1_3D_mental_models</x:v>
      </x:c>
      <x:c r="J1153" s="25" t="str">
        <x:v>Exclude</x:v>
      </x:c>
      <x:c r="K1153" s="25" t="str">
        <x:v>Exclude: adjacent/redundant or insufficiently theory-generative for DC1</x:v>
      </x:c>
    </x:row>
    <x:row r="1154">
      <x:c r="A1154" s="20" t="str">
        <x:v>R1150</x:v>
      </x:c>
      <x:c r="B1154" s="25" t="str">
        <x:v>Navigating the graphical user interface (GUI) by the visually impaired computer user</x:v>
      </x:c>
      <x:c r="C1154" s="25" t="n">
        <x:v>1995</x:v>
      </x:c>
      <x:c r="D1154" s="25" t="str"/>
      <x:c r="E1154" s="25" t="str">
        <x:v>Advances in Human Factors/Ergonomics</x:v>
      </x:c>
      <x:c r="F1154" s="25" t="str">
        <x:v>10.1016/s0921-2647(06)80026-2</x:v>
      </x:c>
      <x:c r="G1154" s="25" t="str">
        <x:v>https://doi.org/10.1016/s0921-2647(06)80026-2</x:v>
      </x:c>
      <x:c r="H1154" s="25" t="str">
        <x:v>Crossref</x:v>
      </x:c>
      <x:c r="I1154" s="25" t="str">
        <x:v>C6_frontend_GUI_intent</x:v>
      </x:c>
      <x:c r="J1154" s="25" t="str">
        <x:v>Exclude</x:v>
      </x:c>
      <x:c r="K1154" s="25" t="str">
        <x:v>Exclude: topic mismatch</x:v>
      </x:c>
    </x:row>
    <x:row r="1155">
      <x:c r="A1155" s="20" t="str">
        <x:v>R1151</x:v>
      </x:c>
      <x:c r="B1155" s="25" t="str">
        <x:v>Neural and cognitive bases of confirmation bias-induced interference in declarative memory performance</x:v>
      </x:c>
      <x:c r="C1155" s="25" t="str"/>
      <x:c r="D1155" s="25" t="str">
        <x:v>; Christopher Stevens</x:v>
      </x:c>
      <x:c r="E1155" s="25" t="str"/>
      <x:c r="F1155" s="25" t="str">
        <x:v>10.70675/0227abb4z1b53z41c7zacd6z1982b681205d</x:v>
      </x:c>
      <x:c r="G1155" s="25" t="str">
        <x:v>https://doi.org/10.70675/0227abb4z1b53z41c7zacd6z1982b681205d</x:v>
      </x:c>
      <x:c r="H1155" s="25" t="str">
        <x:v>Crossref</x:v>
      </x:c>
      <x:c r="I1155" s="25" t="str">
        <x:v>C16_memory_conflict_bias</x:v>
      </x:c>
      <x:c r="J1155" s="25" t="str">
        <x:v>Exclude</x:v>
      </x:c>
      <x:c r="K1155" s="25" t="str">
        <x:v>Exclude: adjacent/redundant or insufficiently theory-generative for DC1</x:v>
      </x:c>
    </x:row>
    <x:row r="1156">
      <x:c r="A1156" s="20" t="str">
        <x:v>R1152</x:v>
      </x:c>
      <x:c r="B1156" s="25" t="str">
        <x:v>Object-Oriented Interaction</x:v>
      </x:c>
      <x:c r="C1156" s="25" t="n">
        <x:v>2016</x:v>
      </x:c>
      <x:c r="D1156" s="25" t="str">
        <x:v>Haijun Xia</x:v>
      </x:c>
      <x:c r="E1156" s="25" t="str">
        <x:v>Proceedings of the 29th Annual Symposium on User Interface Software and Technology</x:v>
      </x:c>
      <x:c r="F1156" s="25" t="str">
        <x:v>10.1145/2984751.2984784</x:v>
      </x:c>
      <x:c r="G1156" s="25" t="str">
        <x:v>https://doi.org/10.1145/2984751.2984784</x:v>
      </x:c>
      <x:c r="H1156" s="25" t="str">
        <x:v>Crossref</x:v>
      </x:c>
      <x:c r="I1156" s="25" t="str">
        <x:v>C1_3D_mental_models</x:v>
      </x:c>
      <x:c r="J1156" s="25" t="str">
        <x:v>Exclude</x:v>
      </x:c>
      <x:c r="K1156" s="25" t="str">
        <x:v>Exclude: topic mismatch</x:v>
      </x:c>
    </x:row>
    <x:row r="1157">
      <x:c r="A1157" s="20" t="str">
        <x:v>R1153</x:v>
      </x:c>
      <x:c r="B1157" s="25" t="str">
        <x:v>On Controllability in Agentic AI: A Survey</x:v>
      </x:c>
      <x:c r="C1157" s="25" t="n">
        <x:v>2026</x:v>
      </x:c>
      <x:c r="D1157" s="25" t="str">
        <x:v>My H. Nguyen; Duc-Hai Nguyen; Barry O’Sullivan; Hoang D. Nguyen</x:v>
      </x:c>
      <x:c r="E1157" s="25" t="str">
        <x:v>Minds and Machines</x:v>
      </x:c>
      <x:c r="F1157" s="25" t="str">
        <x:v>10.1007/s11023-026-09783-y</x:v>
      </x:c>
      <x:c r="G1157" s="25" t="str">
        <x:v>https://doi.org/10.1007/s11023-026-09783-y</x:v>
      </x:c>
      <x:c r="H1157" s="25" t="str">
        <x:v>OpenAlex</x:v>
      </x:c>
      <x:c r="I1157" s="25" t="str">
        <x:v>C9_human_agent_handoff</x:v>
      </x:c>
      <x:c r="J1157" s="25" t="str">
        <x:v>Exclude</x:v>
      </x:c>
      <x:c r="K1157" s="25" t="str">
        <x:v>Exclude: adjacent/redundant or insufficiently theory-generative for DC1</x:v>
      </x:c>
    </x:row>
    <x:row r="1158">
      <x:c r="A1158" s="20" t="str">
        <x:v>R1154</x:v>
      </x:c>
      <x:c r="B1158" s="25" t="str">
        <x:v>On the Future of Cognitive Task Analysis</x:v>
      </x:c>
      <x:c r="C1158" s="25" t="n">
        <x:v>2000</x:v>
      </x:c>
      <x:c r="D1158" s="25" t="str"/>
      <x:c r="E1158" s="25" t="str">
        <x:v>Cognitive Task Analysis</x:v>
      </x:c>
      <x:c r="F1158" s="25" t="str">
        <x:v>10.4324/9781410605795-39</x:v>
      </x:c>
      <x:c r="G1158" s="25" t="str">
        <x:v>https://doi.org/10.4324/9781410605795-39</x:v>
      </x:c>
      <x:c r="H1158" s="25" t="str">
        <x:v>Crossref</x:v>
      </x:c>
      <x:c r="I1158" s="25" t="str">
        <x:v>C18_video_intent_coding_VLM_annotation</x:v>
      </x:c>
      <x:c r="J1158" s="25" t="str">
        <x:v>Exclude</x:v>
      </x:c>
      <x:c r="K1158" s="25" t="str">
        <x:v>Exclude: topic mismatch</x:v>
      </x:c>
    </x:row>
    <x:row r="1159">
      <x:c r="A1159" s="20" t="str">
        <x:v>R1155</x:v>
      </x:c>
      <x:c r="B1159" s="25" t="str">
        <x:v>Overview of Cognitive Task Analysis Methods</x:v>
      </x:c>
      <x:c r="C1159" s="25" t="n">
        <x:v>2006</x:v>
      </x:c>
      <x:c r="D1159" s="25" t="str"/>
      <x:c r="E1159" s="25" t="str">
        <x:v>Working Minds</x:v>
      </x:c>
      <x:c r="F1159" s="25" t="str">
        <x:v>10.7551/mitpress/7304.003.0004</x:v>
      </x:c>
      <x:c r="G1159" s="25" t="str">
        <x:v>https://doi.org/10.7551/mitpress/7304.003.0004</x:v>
      </x:c>
      <x:c r="H1159" s="25" t="str">
        <x:v>Crossref</x:v>
      </x:c>
      <x:c r="I1159" s="25" t="str">
        <x:v>C18_video_intent_coding_VLM_annotation</x:v>
      </x:c>
      <x:c r="J1159" s="25" t="str">
        <x:v>Exclude</x:v>
      </x:c>
      <x:c r="K1159" s="25" t="str">
        <x:v>Exclude: topic mismatch</x:v>
      </x:c>
    </x:row>
    <x:row r="1160">
      <x:c r="A1160" s="20" t="str">
        <x:v>R1156</x:v>
      </x:c>
      <x:c r="B1160" s="25" t="str">
        <x:v>Pengembangan Metode Kansei Engineering dan Design with Intent (DwI) untuk Meningkatkan Respons Emosi Positif dan Daya Persuasif  Tampilan User Interface</x:v>
      </x:c>
      <x:c r="C1160" s="25" t="n">
        <x:v>2025</x:v>
      </x:c>
      <x:c r="D1160" s="25" t="str">
        <x:v>Leotan Saputra; Thedy Yogasara</x:v>
      </x:c>
      <x:c r="E1160" s="25" t="str">
        <x:v>Jurnal Rekayasa Sistem Industri</x:v>
      </x:c>
      <x:c r="F1160" s="25" t="str">
        <x:v>10.26593/jrsi.v14i1.8270.112-121</x:v>
      </x:c>
      <x:c r="G1160" s="25" t="str">
        <x:v>https://doi.org/10.26593/jrsi.v14i1.8270.112-121</x:v>
      </x:c>
      <x:c r="H1160" s="25" t="str">
        <x:v>Crossref</x:v>
      </x:c>
      <x:c r="I1160" s="25" t="str">
        <x:v>C2_interaction_signals; C6_frontend_GUI_intent</x:v>
      </x:c>
      <x:c r="J1160" s="25" t="str">
        <x:v>Exclude</x:v>
      </x:c>
      <x:c r="K1160" s="25" t="str">
        <x:v>Exclude: adjacent/redundant or insufficiently theory-generative for DC1</x:v>
      </x:c>
    </x:row>
    <x:row r="1161">
      <x:c r="A1161" s="20" t="str">
        <x:v>R1157</x:v>
      </x:c>
      <x:c r="B1161" s="25" t="str">
        <x:v>Perceived Authenticity and Consumer Response to AI-Generated Content: A Human–AI Co-Creation Perspective</x:v>
      </x:c>
      <x:c r="C1161" s="25" t="n">
        <x:v>2026</x:v>
      </x:c>
      <x:c r="D1161" s="25" t="str">
        <x:v>Euis Bandawaty</x:v>
      </x:c>
      <x:c r="E1161" s="25" t="str">
        <x:v>Manexia: Journal of Business, Management, and Creative Economy</x:v>
      </x:c>
      <x:c r="F1161" s="25" t="str">
        <x:v>10.66203/manexia.02205</x:v>
      </x:c>
      <x:c r="G1161" s="25" t="str">
        <x:v>https://doi.org/10.66203/manexia.02205</x:v>
      </x:c>
      <x:c r="H1161" s="25" t="str">
        <x:v>Crossref</x:v>
      </x:c>
      <x:c r="I1161" s="25" t="str">
        <x:v>C14_agency_ownership; C7_creative_agency</x:v>
      </x:c>
      <x:c r="J1161" s="25" t="str">
        <x:v>Exclude</x:v>
      </x:c>
      <x:c r="K1161" s="25" t="str">
        <x:v>Exclude: domain-specific signal model without transferable HCI theory</x:v>
      </x:c>
    </x:row>
    <x:row r="1162">
      <x:c r="A1162" s="20" t="str">
        <x:v>R1158</x:v>
      </x:c>
      <x:c r="B1162" s="25" t="str">
        <x:v>Personal Autonomy and Machine Autonomy in Human–Robot Interaction</x:v>
      </x:c>
      <x:c r="C1162" s="25" t="n">
        <x:v>2024</x:v>
      </x:c>
      <x:c r="D1162" s="25" t="str">
        <x:v>Satoshi Narihara</x:v>
      </x:c>
      <x:c r="E1162" s="25" t="str">
        <x:v>The Cambridge Handbook of the Law, Policy, and Regulation for Human–Robot Interaction</x:v>
      </x:c>
      <x:c r="F1162" s="25" t="str">
        <x:v>10.1017/9781009386708.034</x:v>
      </x:c>
      <x:c r="G1162" s="25" t="str">
        <x:v>https://doi.org/10.1017/9781009386708.034</x:v>
      </x:c>
      <x:c r="H1162" s="25" t="str">
        <x:v>Crossref</x:v>
      </x:c>
      <x:c r="I1162" s="25" t="str">
        <x:v>C4_uncertainty_shared_autonomy</x:v>
      </x:c>
      <x:c r="J1162" s="25" t="str">
        <x:v>Exclude</x:v>
      </x:c>
      <x:c r="K1162" s="25" t="str">
        <x:v>Exclude: adjacent/redundant or insufficiently theory-generative for DC1</x:v>
      </x:c>
    </x:row>
    <x:row r="1163">
      <x:c r="A1163" s="20" t="str">
        <x:v>R1159</x:v>
      </x:c>
      <x:c r="B1163" s="25" t="str">
        <x:v>Personal Intelligence: Toward a User-Governed Preference Substrate for the Age of Agentic AI</x:v>
      </x:c>
      <x:c r="C1163" s="25" t="n">
        <x:v>2026</x:v>
      </x:c>
      <x:c r="D1163" s="25" t="str">
        <x:v>Gabriel Axel Montes</x:v>
      </x:c>
      <x:c r="E1163" s="25" t="str">
        <x:v>Preprints.org</x:v>
      </x:c>
      <x:c r="F1163" s="25" t="str">
        <x:v>10.20944/preprints202603.1627.v1</x:v>
      </x:c>
      <x:c r="G1163" s="25" t="str">
        <x:v>https://doi.org/10.20944/preprints202603.1627.v1</x:v>
      </x:c>
      <x:c r="H1163" s="25" t="str">
        <x:v>OpenAlex</x:v>
      </x:c>
      <x:c r="I1163" s="25" t="str">
        <x:v>C16_memory_conflict_bias</x:v>
      </x:c>
      <x:c r="J1163" s="25" t="str">
        <x:v>Exclude</x:v>
      </x:c>
      <x:c r="K1163" s="25" t="str">
        <x:v>Exclude: adjacent/redundant or insufficiently theory-generative for DC1</x:v>
      </x:c>
    </x:row>
    <x:row r="1164">
      <x:c r="A1164" s="20" t="str">
        <x:v>R1160</x:v>
      </x:c>
      <x:c r="B1164" s="25" t="str">
        <x:v>PersonalAlign: Hierarchical Implicit Intent Alignment for Personalized GUI Agent with Long-Term User-Centric Records</x:v>
      </x:c>
      <x:c r="C1164" s="25" t="n">
        <x:v>2026</x:v>
      </x:c>
      <x:c r="D1164" s="25" t="str">
        <x:v>Yibo Lyu; Gongwei Chen; Rui Shao; Weili Guan; Liqiang Nie</x:v>
      </x:c>
      <x:c r="E1164" s="25" t="str">
        <x:v>Proceedings of the 64th Annual Meeting of the Association for Computational Linguistics (Volume 1: Long Papers)</x:v>
      </x:c>
      <x:c r="F1164" s="25" t="str">
        <x:v>10.18653/v1/2026.acl-long.1669</x:v>
      </x:c>
      <x:c r="G1164" s="25" t="str">
        <x:v>https://doi.org/10.18653/v1/2026.acl-long.1669</x:v>
      </x:c>
      <x:c r="H1164" s="25" t="str">
        <x:v>Crossref</x:v>
      </x:c>
      <x:c r="I1164" s="25" t="str">
        <x:v>C6_frontend_GUI_intent</x:v>
      </x:c>
      <x:c r="J1164" s="25" t="str">
        <x:v>Exclude</x:v>
      </x:c>
      <x:c r="K1164" s="25" t="str">
        <x:v>Exclude: adjacent/redundant or insufficiently theory-generative for DC1</x:v>
      </x:c>
    </x:row>
    <x:row r="1165">
      <x:c r="A1165" s="20" t="str">
        <x:v>R1161</x:v>
      </x:c>
      <x:c r="B1165" s="25" t="str">
        <x:v>Personality</x:v>
      </x:c>
      <x:c r="C1165" s="25" t="n">
        <x:v>2018</x:v>
      </x:c>
      <x:c r="D1165" s="25" t="str">
        <x:v>Ritwik Dasgupta</x:v>
      </x:c>
      <x:c r="E1165" s="25" t="str">
        <x:v>Voice User Interface Design</x:v>
      </x:c>
      <x:c r="F1165" s="25" t="str">
        <x:v>10.1007/978-1-4842-4125-7_3</x:v>
      </x:c>
      <x:c r="G1165" s="25" t="str">
        <x:v>https://doi.org/10.1007/978-1-4842-4125-7_3</x:v>
      </x:c>
      <x:c r="H1165" s="25" t="str">
        <x:v>Crossref</x:v>
      </x:c>
      <x:c r="I1165" s="25" t="str">
        <x:v>C6_frontend_GUI_intent</x:v>
      </x:c>
      <x:c r="J1165" s="25" t="str">
        <x:v>Exclude</x:v>
      </x:c>
      <x:c r="K1165" s="25" t="str">
        <x:v>Exclude: topic mismatch</x:v>
      </x:c>
    </x:row>
    <x:row r="1166">
      <x:c r="A1166" s="20" t="str">
        <x:v>R1162</x:v>
      </x:c>
      <x:c r="B1166" s="25" t="str">
        <x:v>Piping Design for Production Facilities Using 3D CAD</x:v>
      </x:c>
      <x:c r="C1166" s="25" t="n">
        <x:v>2015</x:v>
      </x:c>
      <x:c r="D1166" s="25" t="str"/>
      <x:c r="E1166" s="25" t="str">
        <x:v>CAD'15</x:v>
      </x:c>
      <x:c r="F1166" s="25" t="str">
        <x:v>10.14733/cadconfp.2015.408-411</x:v>
      </x:c>
      <x:c r="G1166" s="25" t="str">
        <x:v>https://doi.org/10.14733/cadconfp.2015.408-411</x:v>
      </x:c>
      <x:c r="H1166" s="25" t="str">
        <x:v>Crossref</x:v>
      </x:c>
      <x:c r="I1166" s="25" t="str">
        <x:v>C13_CAD_design_intent</x:v>
      </x:c>
      <x:c r="J1166" s="25" t="str">
        <x:v>Exclude</x:v>
      </x:c>
      <x:c r="K1166" s="25" t="str">
        <x:v>Exclude: adjacent/redundant or insufficiently theory-generative for DC1</x:v>
      </x:c>
    </x:row>
    <x:row r="1167">
      <x:c r="A1167" s="20" t="str">
        <x:v>R1163</x:v>
      </x:c>
      <x:c r="B1167" s="25" t="str">
        <x:v>Plan, Activity, and Intent Recognition</x:v>
      </x:c>
      <x:c r="C1167" s="25" t="n">
        <x:v>2014</x:v>
      </x:c>
      <x:c r="D1167" s="25" t="str"/>
      <x:c r="E1167" s="25" t="str">
        <x:v>Plan, Activity, and Intent Recognition</x:v>
      </x:c>
      <x:c r="F1167" s="25" t="str">
        <x:v>10.1016/b978-0-12-398532-3.00015-4</x:v>
      </x:c>
      <x:c r="G1167" s="25" t="str">
        <x:v>https://doi.org/10.1016/b978-0-12-398532-3.00015-4</x:v>
      </x:c>
      <x:c r="H1167" s="25" t="str">
        <x:v>Crossref</x:v>
      </x:c>
      <x:c r="I1167" s="25" t="str">
        <x:v>C11_hierarchical_goal_recognition</x:v>
      </x:c>
      <x:c r="J1167" s="25" t="str">
        <x:v>Exclude</x:v>
      </x:c>
      <x:c r="K1167" s="25" t="str">
        <x:v>Exclude: adjacent/redundant or insufficiently theory-generative for DC1</x:v>
      </x:c>
    </x:row>
    <x:row r="1168">
      <x:c r="A1168" s="20" t="str">
        <x:v>R1164</x:v>
      </x:c>
      <x:c r="B1168" s="25" t="str">
        <x:v>Plan, Activity, and Intent Recognition</x:v>
      </x:c>
      <x:c r="C1168" s="25" t="n">
        <x:v>2014</x:v>
      </x:c>
      <x:c r="D1168" s="25" t="str"/>
      <x:c r="E1168" s="25" t="str"/>
      <x:c r="F1168" s="25" t="str">
        <x:v>10.1016/c2012-0-01169-6</x:v>
      </x:c>
      <x:c r="G1168" s="25" t="str">
        <x:v>https://doi.org/10.1016/c2012-0-01169-6</x:v>
      </x:c>
      <x:c r="H1168" s="25" t="str">
        <x:v>Crossref</x:v>
      </x:c>
      <x:c r="I1168" s="25" t="str">
        <x:v>C11_hierarchical_goal_recognition</x:v>
      </x:c>
      <x:c r="J1168" s="25" t="str">
        <x:v>Exclude</x:v>
      </x:c>
      <x:c r="K1168" s="25" t="str">
        <x:v>Exclude: adjacent/redundant or insufficiently theory-generative for DC1</x:v>
      </x:c>
    </x:row>
    <x:row r="1169">
      <x:c r="A1169" s="20" t="str">
        <x:v>R1165</x:v>
      </x:c>
      <x:c r="B1169" s="25" t="str">
        <x:v>Playing with Design Intent: Integration of Physical and Urban Constraints in CAD</x:v>
      </x:c>
      <x:c r="C1169" s="25" t="n">
        <x:v>1998</x:v>
      </x:c>
      <x:c r="D1169" s="25" t="str">
        <x:v>Didier Faucher; Marie-Laure Nivet</x:v>
      </x:c>
      <x:c r="E1169" s="25" t="str">
        <x:v>ACADIA proceedings</x:v>
      </x:c>
      <x:c r="F1169" s="25" t="str">
        <x:v>10.52842/conf.acadia.1998.118</x:v>
      </x:c>
      <x:c r="G1169" s="25" t="str">
        <x:v>https://doi.org/10.52842/conf.acadia.1998.118</x:v>
      </x:c>
      <x:c r="H1169" s="25" t="str">
        <x:v>Crossref</x:v>
      </x:c>
      <x:c r="I1169" s="25" t="str">
        <x:v>C13_CAD_design_intent</x:v>
      </x:c>
      <x:c r="J1169" s="25" t="str">
        <x:v>Exclude</x:v>
      </x:c>
      <x:c r="K1169" s="25" t="str">
        <x:v>Exclude: adjacent/redundant or insufficiently theory-generative for DC1</x:v>
      </x:c>
    </x:row>
    <x:row r="1170">
      <x:c r="A1170" s="20" t="str">
        <x:v>R1166</x:v>
      </x:c>
      <x:c r="B1170" s="25" t="str">
        <x:v>PolySwarm: A Multi-Agent Large Language Model Framework for Prediction Market Trading and Latency Arbitrage</x:v>
      </x:c>
      <x:c r="C1170" s="25" t="n">
        <x:v>2026</x:v>
      </x:c>
      <x:c r="D1170" s="25" t="str">
        <x:v>Rajat M. Barot; Arjun S. Borkhatariya</x:v>
      </x:c>
      <x:c r="E1170" s="25" t="str">
        <x:v>arXiv (Cornell University)</x:v>
      </x:c>
      <x:c r="F1170" s="25" t="str"/>
      <x:c r="G1170" s="25" t="str">
        <x:v>http://arxiv.org/abs/2604.03888</x:v>
      </x:c>
      <x:c r="H1170" s="25" t="str">
        <x:v>OpenAlex</x:v>
      </x:c>
      <x:c r="I1170" s="25" t="str">
        <x:v>C16_memory_conflict_bias</x:v>
      </x:c>
      <x:c r="J1170" s="25" t="str">
        <x:v>Exclude</x:v>
      </x:c>
      <x:c r="K1170" s="25" t="str">
        <x:v>Exclude: adjacent/redundant or insufficiently theory-generative for DC1</x:v>
      </x:c>
    </x:row>
    <x:row r="1171">
      <x:c r="A1171" s="20" t="str">
        <x:v>R1167</x:v>
      </x:c>
      <x:c r="B1171" s="25" t="str">
        <x:v>Poster: Auditory feedback of contact state during object manipulation</x:v>
      </x:c>
      <x:c r="C1171" s="25" t="n">
        <x:v>2013</x:v>
      </x:c>
      <x:c r="D1171" s="25" t="str">
        <x:v>Xiaoshu Zhou; Koichi Hirota</x:v>
      </x:c>
      <x:c r="E1171" s="25" t="str">
        <x:v>2013 IEEE Symposium on 3D User Interfaces (3DUI)</x:v>
      </x:c>
      <x:c r="F1171" s="25" t="str">
        <x:v>10.1109/3dui.2013.6550240</x:v>
      </x:c>
      <x:c r="G1171" s="25" t="str">
        <x:v>https://doi.org/10.1109/3dui.2013.6550240</x:v>
      </x:c>
      <x:c r="H1171" s="25" t="str">
        <x:v>Crossref</x:v>
      </x:c>
      <x:c r="I1171" s="25" t="str">
        <x:v>C1_3D_mental_models</x:v>
      </x:c>
      <x:c r="J1171" s="25" t="str">
        <x:v>Exclude</x:v>
      </x:c>
      <x:c r="K1171" s="25" t="str">
        <x:v>Exclude: adjacent/redundant or insufficiently theory-generative for DC1</x:v>
      </x:c>
    </x:row>
    <x:row r="1172">
      <x:c r="A1172" s="20" t="str">
        <x:v>R1168</x:v>
      </x:c>
      <x:c r="B1172" s="25" t="str">
        <x:v>Preface</x:v>
      </x:c>
      <x:c r="C1172" s="25" t="n">
        <x:v>2014</x:v>
      </x:c>
      <x:c r="D1172" s="25" t="str"/>
      <x:c r="E1172" s="25" t="str">
        <x:v>Plan, Activity, and Intent Recognition</x:v>
      </x:c>
      <x:c r="F1172" s="25" t="str">
        <x:v>10.1016/b978-0-12-398532-3.00021-x</x:v>
      </x:c>
      <x:c r="G1172" s="25" t="str">
        <x:v>https://doi.org/10.1016/b978-0-12-398532-3.00021-x</x:v>
      </x:c>
      <x:c r="H1172" s="25" t="str">
        <x:v>Crossref</x:v>
      </x:c>
      <x:c r="I1172" s="25" t="str">
        <x:v>C11_hierarchical_goal_recognition</x:v>
      </x:c>
      <x:c r="J1172" s="25" t="str">
        <x:v>Exclude</x:v>
      </x:c>
      <x:c r="K1172" s="25" t="str">
        <x:v>Exclude: topic mismatch</x:v>
      </x:c>
    </x:row>
    <x:row r="1173">
      <x:c r="A1173" s="20" t="str">
        <x:v>R1169</x:v>
      </x:c>
      <x:c r="B1173" s="25" t="str">
        <x:v>Preliminary engineer`s flow sketch and process description, Redox feed preparation from current metal</x:v>
      </x:c>
      <x:c r="C1173" s="25" t="n">
        <x:v>1949</x:v>
      </x:c>
      <x:c r="D1173" s="25" t="str">
        <x:v>J.M. Frame</x:v>
      </x:c>
      <x:c r="E1173" s="25" t="str"/>
      <x:c r="F1173" s="25" t="str">
        <x:v>10.2172/10118195</x:v>
      </x:c>
      <x:c r="G1173" s="25" t="str">
        <x:v>https://doi.org/10.2172/10118195</x:v>
      </x:c>
      <x:c r="H1173" s="25" t="str">
        <x:v>Crossref</x:v>
      </x:c>
      <x:c r="I1173" s="25" t="str">
        <x:v>C17_3D_gesture_ambiguity</x:v>
      </x:c>
      <x:c r="J1173" s="25" t="str">
        <x:v>Exclude</x:v>
      </x:c>
      <x:c r="K1173" s="25" t="str">
        <x:v>Exclude: topic mismatch</x:v>
      </x:c>
    </x:row>
    <x:row r="1174">
      <x:c r="A1174" s="20" t="str">
        <x:v>R1170</x:v>
      </x:c>
      <x:c r="B1174" s="25" t="str">
        <x:v>Principles of VUI</x:v>
      </x:c>
      <x:c r="C1174" s="25" t="n">
        <x:v>2018</x:v>
      </x:c>
      <x:c r="D1174" s="25" t="str">
        <x:v>Ritwik Dasgupta</x:v>
      </x:c>
      <x:c r="E1174" s="25" t="str">
        <x:v>Voice User Interface Design</x:v>
      </x:c>
      <x:c r="F1174" s="25" t="str">
        <x:v>10.1007/978-1-4842-4125-7_2</x:v>
      </x:c>
      <x:c r="G1174" s="25" t="str">
        <x:v>https://doi.org/10.1007/978-1-4842-4125-7_2</x:v>
      </x:c>
      <x:c r="H1174" s="25" t="str">
        <x:v>Crossref</x:v>
      </x:c>
      <x:c r="I1174" s="25" t="str">
        <x:v>C6_frontend_GUI_intent</x:v>
      </x:c>
      <x:c r="J1174" s="25" t="str">
        <x:v>Exclude</x:v>
      </x:c>
      <x:c r="K1174" s="25" t="str">
        <x:v>Exclude: topic mismatch</x:v>
      </x:c>
    </x:row>
    <x:row r="1175">
      <x:c r="A1175" s="20" t="str">
        <x:v>R1171</x:v>
      </x:c>
      <x:c r="B1175" s="25" t="str">
        <x:v>Proactive Media Relations The Visual Library Initiative</x:v>
      </x:c>
      <x:c r="C1175" s="25" t="n">
        <x:v>2008</x:v>
      </x:c>
      <x:c r="D1175" s="25" t="str">
        <x:v>Brian Parsi Boetig; Penny A. Parrish</x:v>
      </x:c>
      <x:c r="E1175" s="25" t="str">
        <x:v>PsycEXTRA Dataset</x:v>
      </x:c>
      <x:c r="F1175" s="25" t="str">
        <x:v>10.1037/e511502010-003</x:v>
      </x:c>
      <x:c r="G1175" s="25" t="str">
        <x:v>https://doi.org/10.1037/e511502010-003</x:v>
      </x:c>
      <x:c r="H1175" s="25" t="str">
        <x:v>Crossref</x:v>
      </x:c>
      <x:c r="I1175" s="25" t="str">
        <x:v>C15_proactive_interruption</x:v>
      </x:c>
      <x:c r="J1175" s="25" t="str">
        <x:v>Exclude</x:v>
      </x:c>
      <x:c r="K1175" s="25" t="str">
        <x:v>Exclude: adjacent/redundant or insufficiently theory-generative for DC1</x:v>
      </x:c>
    </x:row>
    <x:row r="1176">
      <x:c r="A1176" s="20" t="str">
        <x:v>R1172</x:v>
      </x:c>
      <x:c r="B1176" s="25" t="str">
        <x:v>Probabilistic Interfaces and Inference of Intent</x:v>
      </x:c>
      <x:c r="C1176" s="25" t="n">
        <x:v>2022</x:v>
      </x:c>
      <x:c r="D1176" s="25" t="str"/>
      <x:c r="E1176" s="25" t="str">
        <x:v>Bayesian Methods for Interaction and Design</x:v>
      </x:c>
      <x:c r="F1176" s="25" t="str">
        <x:v>10.1017/9781108874830.005</x:v>
      </x:c>
      <x:c r="G1176" s="25" t="str">
        <x:v>https://doi.org/10.1017/9781108874830.005</x:v>
      </x:c>
      <x:c r="H1176" s="25" t="str">
        <x:v>Crossref</x:v>
      </x:c>
      <x:c r="I1176" s="25" t="str">
        <x:v>C17_3D_gesture_ambiguity; C2_interaction_signals; C4_uncertainty_shared_autonomy; C6_frontend_GUI_intent</x:v>
      </x:c>
      <x:c r="J1176" s="25" t="str">
        <x:v>Exclude</x:v>
      </x:c>
      <x:c r="K1176" s="25" t="str">
        <x:v>Exclude: adjacent/redundant or insufficiently theory-generative for DC1</x:v>
      </x:c>
    </x:row>
    <x:row r="1177">
      <x:c r="A1177" s="20" t="str">
        <x:v>R1173</x:v>
      </x:c>
      <x:c r="B1177" s="25" t="str">
        <x:v>Proceedings of the 2025 Workshop on Decentralized Finance and Security</x:v>
      </x:c>
      <x:c r="C1177" s="25" t="n">
        <x:v>2025</x:v>
      </x:c>
      <x:c r="D1177" s="25" t="str"/>
      <x:c r="E1177" s="25" t="str"/>
      <x:c r="F1177" s="25" t="str">
        <x:v>10.1145/3733815</x:v>
      </x:c>
      <x:c r="G1177" s="25" t="str">
        <x:v>https://doi.org/10.1145/3733815</x:v>
      </x:c>
      <x:c r="H1177" s="25" t="str">
        <x:v>OpenAlex</x:v>
      </x:c>
      <x:c r="I1177" s="25" t="str">
        <x:v>C16_memory_conflict_bias</x:v>
      </x:c>
      <x:c r="J1177" s="25" t="str">
        <x:v>Exclude</x:v>
      </x:c>
      <x:c r="K1177" s="25" t="str">
        <x:v>Exclude: adjacent/redundant or insufficiently theory-generative for DC1</x:v>
      </x:c>
    </x:row>
    <x:row r="1178">
      <x:c r="A1178" s="20" t="str">
        <x:v>R1174</x:v>
      </x:c>
      <x:c r="B1178" s="25" t="str">
        <x:v>Programming languages. C. A provenance-aware memory object model for C</x:v>
      </x:c>
      <x:c r="C1178" s="25" t="str"/>
      <x:c r="D1178" s="25" t="str"/>
      <x:c r="E1178" s="25" t="str"/>
      <x:c r="F1178" s="25" t="str">
        <x:v>10.3403/30516374</x:v>
      </x:c>
      <x:c r="G1178" s="25" t="str">
        <x:v>https://doi.org/10.3403/30516374</x:v>
      </x:c>
      <x:c r="H1178" s="25" t="str">
        <x:v>Crossref</x:v>
      </x:c>
      <x:c r="I1178" s="25" t="str">
        <x:v>C16_memory_conflict_bias</x:v>
      </x:c>
      <x:c r="J1178" s="25" t="str">
        <x:v>Exclude</x:v>
      </x:c>
      <x:c r="K1178" s="25" t="str">
        <x:v>Exclude: adjacent/redundant or insufficiently theory-generative for DC1</x:v>
      </x:c>
    </x:row>
    <x:row r="1179">
      <x:c r="A1179" s="20" t="str">
        <x:v>R1175</x:v>
      </x:c>
      <x:c r="B1179" s="25" t="str">
        <x:v>Programming languages. C. A provenance-aware memory object model for C</x:v>
      </x:c>
      <x:c r="C1179" s="25" t="str"/>
      <x:c r="D1179" s="25" t="str"/>
      <x:c r="E1179" s="25" t="str"/>
      <x:c r="F1179" s="25" t="str">
        <x:v>10.3403/30516374u</x:v>
      </x:c>
      <x:c r="G1179" s="25" t="str">
        <x:v>https://doi.org/10.3403/30516374u</x:v>
      </x:c>
      <x:c r="H1179" s="25" t="str">
        <x:v>Crossref</x:v>
      </x:c>
      <x:c r="I1179" s="25" t="str">
        <x:v>C16_memory_conflict_bias</x:v>
      </x:c>
      <x:c r="J1179" s="25" t="str">
        <x:v>Exclude</x:v>
      </x:c>
      <x:c r="K1179" s="25" t="str">
        <x:v>Exclude: adjacent/redundant or insufficiently theory-generative for DC1</x:v>
      </x:c>
    </x:row>
    <x:row r="1180">
      <x:c r="A1180" s="20" t="str">
        <x:v>R1176</x:v>
      </x:c>
      <x:c r="B1180" s="25" t="str">
        <x:v>PyFLOTRAN-GUI. A Graphical User Interface for PFLOTRAN</x:v>
      </x:c>
      <x:c r="C1180" s="25" t="n">
        <x:v>2015</x:v>
      </x:c>
      <x:c r="D1180" s="25" t="str">
        <x:v>M. Islam</x:v>
      </x:c>
      <x:c r="E1180" s="25" t="str"/>
      <x:c r="F1180" s="25" t="str">
        <x:v>10.2172/1212623</x:v>
      </x:c>
      <x:c r="G1180" s="25" t="str">
        <x:v>https://doi.org/10.2172/1212623</x:v>
      </x:c>
      <x:c r="H1180" s="25" t="str">
        <x:v>Crossref</x:v>
      </x:c>
      <x:c r="I1180" s="25" t="str">
        <x:v>C6_frontend_GUI_intent</x:v>
      </x:c>
      <x:c r="J1180" s="25" t="str">
        <x:v>Exclude</x:v>
      </x:c>
      <x:c r="K1180" s="25" t="str">
        <x:v>Exclude: topic mismatch</x:v>
      </x:c>
    </x:row>
    <x:row r="1181">
      <x:c r="A1181" s="20" t="str">
        <x:v>R1177</x:v>
      </x:c>
      <x:c r="B1181" s="25" t="str">
        <x:v>PyMem: A Graphical User Interface Tool for Neuro-Memristive Hardware-Software Co-design_supp1-3363093.pdf</x:v>
      </x:c>
      <x:c r="C1181" s="25" t="str"/>
      <x:c r="D1181" s="25" t="str">
        <x:v>Alex James</x:v>
      </x:c>
      <x:c r="E1181" s="25" t="str"/>
      <x:c r="F1181" s="25" t="str">
        <x:v>10.1109/ojies.2024.3363093/mm1</x:v>
      </x:c>
      <x:c r="G1181" s="25" t="str">
        <x:v>https://doi.org/10.1109/ojies.2024.3363093/mm1</x:v>
      </x:c>
      <x:c r="H1181" s="25" t="str">
        <x:v>Crossref</x:v>
      </x:c>
      <x:c r="I1181" s="25" t="str">
        <x:v>C6_frontend_GUI_intent</x:v>
      </x:c>
      <x:c r="J1181" s="25" t="str">
        <x:v>Exclude</x:v>
      </x:c>
      <x:c r="K1181" s="25" t="str">
        <x:v>Exclude: topic mismatch</x:v>
      </x:c>
    </x:row>
    <x:row r="1182">
      <x:c r="A1182" s="20" t="str">
        <x:v>R1178</x:v>
      </x:c>
      <x:c r="B1182" s="25" t="str">
        <x:v>Quantum-Enhanced Intent Recognition for Speech-Based Human-Drone Interaction</x:v>
      </x:c>
      <x:c r="C1182" s="25" t="n">
        <x:v>2026</x:v>
      </x:c>
      <x:c r="D1182" s="25" t="str">
        <x:v>Sai Krishna Thota</x:v>
      </x:c>
      <x:c r="E1182" s="25" t="str"/>
      <x:c r="F1182" s="25" t="str">
        <x:v>10.36227/techrxiv.177207775.56985667/v1</x:v>
      </x:c>
      <x:c r="G1182" s="25" t="str">
        <x:v>https://doi.org/10.36227/techrxiv.177207775.56985667/v1</x:v>
      </x:c>
      <x:c r="H1182" s="25" t="str">
        <x:v>Crossref</x:v>
      </x:c>
      <x:c r="I1182" s="25" t="str">
        <x:v>C11_hierarchical_goal_recognition</x:v>
      </x:c>
      <x:c r="J1182" s="25" t="str">
        <x:v>Exclude</x:v>
      </x:c>
      <x:c r="K1182" s="25" t="str">
        <x:v>Exclude: adjacent/redundant or insufficiently theory-generative for DC1</x:v>
      </x:c>
    </x:row>
    <x:row r="1183">
      <x:c r="A1183" s="20" t="str">
        <x:v>R1179</x:v>
      </x:c>
      <x:c r="B1183" s="25" t="str">
        <x:v>RGBD based 3D geometric modeling and semantic understanding</x:v>
      </x:c>
      <x:c r="C1183" s="25" t="str"/>
      <x:c r="D1183" s="25" t="str">
        <x:v>Lei Han</x:v>
      </x:c>
      <x:c r="E1183" s="25" t="str"/>
      <x:c r="F1183" s="25" t="str">
        <x:v>10.14711/thesis-991012879762703412</x:v>
      </x:c>
      <x:c r="G1183" s="25" t="str">
        <x:v>https://doi.org/10.14711/thesis-991012879762703412</x:v>
      </x:c>
      <x:c r="H1183" s="25" t="str">
        <x:v>Crossref</x:v>
      </x:c>
      <x:c r="I1183" s="25" t="str">
        <x:v>C8_AI_3D_authoring</x:v>
      </x:c>
      <x:c r="J1183" s="25" t="str">
        <x:v>Exclude</x:v>
      </x:c>
      <x:c r="K1183" s="25" t="str">
        <x:v>Exclude: adjacent/redundant or insufficiently theory-generative for DC1</x:v>
      </x:c>
    </x:row>
    <x:row r="1184">
      <x:c r="A1184" s="20" t="str">
        <x:v>R1180</x:v>
      </x:c>
      <x:c r="B1184" s="25" t="str">
        <x:v>ROBOTIC AUTONOMY</x:v>
      </x:c>
      <x:c r="C1184" s="25" t="n">
        <x:v>2004</x:v>
      </x:c>
      <x:c r="D1184" s="25" t="str"/>
      <x:c r="E1184" s="25" t="str">
        <x:v>Human-robot Interaction</x:v>
      </x:c>
      <x:c r="F1184" s="25" t="str">
        <x:v>10.1201/9781482269567-7</x:v>
      </x:c>
      <x:c r="G1184" s="25" t="str">
        <x:v>https://doi.org/10.1201/9781482269567-7</x:v>
      </x:c>
      <x:c r="H1184" s="25" t="str">
        <x:v>Crossref</x:v>
      </x:c>
      <x:c r="I1184" s="25" t="str">
        <x:v>C4_uncertainty_shared_autonomy</x:v>
      </x:c>
      <x:c r="J1184" s="25" t="str">
        <x:v>Exclude</x:v>
      </x:c>
      <x:c r="K1184" s="25" t="str">
        <x:v>Exclude: adjacent/redundant or insufficiently theory-generative for DC1</x:v>
      </x:c>
    </x:row>
    <x:row r="1185">
      <x:c r="A1185" s="20" t="str">
        <x:v>R1181</x:v>
      </x:c>
      <x:c r="B1185" s="25" t="str">
        <x:v>Rapid Ambiguity Resolution Algorithm for Multi-constellation Between Reference Stations Based on Ambiguity Tight Constraint</x:v>
      </x:c>
      <x:c r="C1185" s="25" t="n">
        <x:v>2018</x:v>
      </x:c>
      <x:c r="D1185" s="25" t="str">
        <x:v>Ruicheng Zhang; Chengfa Gao; Shuguo Pan; Zhiyue Yan; Qing Zhao</x:v>
      </x:c>
      <x:c r="E1185" s="25" t="str">
        <x:v>Lecture Notes in Electrical Engineering</x:v>
      </x:c>
      <x:c r="F1185" s="25" t="str">
        <x:v>10.1007/978-981-13-0005-9_39</x:v>
      </x:c>
      <x:c r="G1185" s="25" t="str">
        <x:v>https://doi.org/10.1007/978-981-13-0005-9_39</x:v>
      </x:c>
      <x:c r="H1185" s="25" t="str">
        <x:v>Crossref</x:v>
      </x:c>
      <x:c r="I1185" s="25" t="str">
        <x:v>C17_3D_gesture_ambiguity</x:v>
      </x:c>
      <x:c r="J1185" s="25" t="str">
        <x:v>Exclude</x:v>
      </x:c>
      <x:c r="K1185" s="25" t="str">
        <x:v>Exclude: topic mismatch</x:v>
      </x:c>
    </x:row>
    <x:row r="1186">
      <x:c r="A1186" s="20" t="str">
        <x:v>R1182</x:v>
      </x:c>
      <x:c r="B1186" s="25" t="str">
        <x:v>Real-Time Semantic Maps from Stereo</x:v>
      </x:c>
      <x:c r="C1186" s="25" t="n">
        <x:v>2013</x:v>
      </x:c>
      <x:c r="D1186" s="25" t="str">
        <x:v>Radu Bogdan Rusu</x:v>
      </x:c>
      <x:c r="E1186" s="25" t="str">
        <x:v>Springer Tracts in Advanced Robotics</x:v>
      </x:c>
      <x:c r="F1186" s="25" t="str">
        <x:v>10.1007/978-3-642-35479-3_12</x:v>
      </x:c>
      <x:c r="G1186" s="25" t="str">
        <x:v>https://doi.org/10.1007/978-3-642-35479-3_12</x:v>
      </x:c>
      <x:c r="H1186" s="25" t="str">
        <x:v>Crossref</x:v>
      </x:c>
      <x:c r="I1186" s="25" t="str">
        <x:v>C8_AI_3D_authoring</x:v>
      </x:c>
      <x:c r="J1186" s="25" t="str">
        <x:v>Exclude</x:v>
      </x:c>
      <x:c r="K1186" s="25" t="str">
        <x:v>Exclude: topic mismatch</x:v>
      </x:c>
    </x:row>
    <x:row r="1187">
      <x:c r="A1187" s="20" t="str">
        <x:v>R1183</x:v>
      </x:c>
      <x:c r="B1187" s="25" t="str">
        <x:v>Recognition and Critical Interaction Theory</x:v>
      </x:c>
      <x:c r="C1187" s="25" t="n">
        <x:v>2020</x:v>
      </x:c>
      <x:c r="D1187" s="25" t="str">
        <x:v>Shaun Gallagher</x:v>
      </x:c>
      <x:c r="E1187" s="25" t="str">
        <x:v>Action and Interaction</x:v>
      </x:c>
      <x:c r="F1187" s="25" t="str">
        <x:v>10.1093/oso/9780198846345.003.0009</x:v>
      </x:c>
      <x:c r="G1187" s="25" t="str">
        <x:v>https://doi.org/10.1093/oso/9780198846345.003.0009</x:v>
      </x:c>
      <x:c r="H1187" s="25" t="str">
        <x:v>Crossref</x:v>
      </x:c>
      <x:c r="I1187" s="25" t="str">
        <x:v>C11_hierarchical_goal_recognition</x:v>
      </x:c>
      <x:c r="J1187" s="25" t="str">
        <x:v>Exclude</x:v>
      </x:c>
      <x:c r="K1187" s="25" t="str">
        <x:v>Exclude: adjacent/redundant or insufficiently theory-generative for DC1</x:v>
      </x:c>
    </x:row>
    <x:row r="1188">
      <x:c r="A1188" s="20" t="str">
        <x:v>R1184</x:v>
      </x:c>
      <x:c r="B1188" s="25" t="str">
        <x:v>Religion, Emotions and Memory after Atrocity</x:v>
      </x:c>
      <x:c r="C1188" s="25" t="str"/>
      <x:c r="D1188" s="25" t="str"/>
      <x:c r="E1188" s="25" t="str">
        <x:v>Religion, Social Memory and Conflict</x:v>
      </x:c>
      <x:c r="F1188" s="25" t="str">
        <x:v>10.1057/9781137461841.0009</x:v>
      </x:c>
      <x:c r="G1188" s="25" t="str">
        <x:v>https://doi.org/10.1057/9781137461841.0009</x:v>
      </x:c>
      <x:c r="H1188" s="25" t="str">
        <x:v>Crossref</x:v>
      </x:c>
      <x:c r="I1188" s="25" t="str">
        <x:v>C16_memory_conflict_bias</x:v>
      </x:c>
      <x:c r="J1188" s="25" t="str">
        <x:v>Exclude</x:v>
      </x:c>
      <x:c r="K1188" s="25" t="str">
        <x:v>Exclude: adjacent/redundant or insufficiently theory-generative for DC1</x:v>
      </x:c>
    </x:row>
    <x:row r="1189">
      <x:c r="A1189" s="20" t="str">
        <x:v>R1185</x:v>
      </x:c>
      <x:c r="B1189" s="25" t="str">
        <x:v>Reorganized memory lists, expanded memory lists, and retrieval</x:v>
      </x:c>
      <x:c r="C1189" s="25" t="n">
        <x:v>1991</x:v>
      </x:c>
      <x:c r="D1189" s="25" t="str">
        <x:v>David Burrows</x:v>
      </x:c>
      <x:c r="E1189" s="25" t="str">
        <x:v>PsycEXTRA Dataset</x:v>
      </x:c>
      <x:c r="F1189" s="25" t="str">
        <x:v>10.1037/e665402011-023</x:v>
      </x:c>
      <x:c r="G1189" s="25" t="str">
        <x:v>https://doi.org/10.1037/e665402011-023</x:v>
      </x:c>
      <x:c r="H1189" s="25" t="str">
        <x:v>Crossref</x:v>
      </x:c>
      <x:c r="I1189" s="25" t="str">
        <x:v>C16_memory_conflict_bias</x:v>
      </x:c>
      <x:c r="J1189" s="25" t="str">
        <x:v>Exclude</x:v>
      </x:c>
      <x:c r="K1189" s="25" t="str">
        <x:v>Exclude: adjacent/redundant or insufficiently theory-generative for DC1</x:v>
      </x:c>
    </x:row>
    <x:row r="1190">
      <x:c r="A1190" s="20" t="str">
        <x:v>R1186</x:v>
      </x:c>
      <x:c r="B1190" s="25" t="str">
        <x:v>Research on the initial design feature for CAD modeling</x:v>
      </x:c>
      <x:c r="C1190" s="25" t="n">
        <x:v>2009</x:v>
      </x:c>
      <x:c r="D1190" s="25" t="str">
        <x:v>He Chaoming; Liu Guangshuai; Xiong Ying; Lei Huatang</x:v>
      </x:c>
      <x:c r="E1190" s="25" t="str">
        <x:v>International Technology and Innovation Conference 2009 (ITIC 2009)</x:v>
      </x:c>
      <x:c r="F1190" s="25" t="str">
        <x:v>10.1049/cp.2009.1445</x:v>
      </x:c>
      <x:c r="G1190" s="25" t="str">
        <x:v>https://doi.org/10.1049/cp.2009.1445</x:v>
      </x:c>
      <x:c r="H1190" s="25" t="str">
        <x:v>Crossref</x:v>
      </x:c>
      <x:c r="I1190" s="25" t="str">
        <x:v>C13_CAD_design_intent</x:v>
      </x:c>
      <x:c r="J1190" s="25" t="str">
        <x:v>Exclude</x:v>
      </x:c>
      <x:c r="K1190" s="25" t="str">
        <x:v>Exclude: topic mismatch</x:v>
      </x:c>
    </x:row>
    <x:row r="1191">
      <x:c r="A1191" s="20" t="str">
        <x:v>R1187</x:v>
      </x:c>
      <x:c r="B1191" s="25" t="str">
        <x:v>Researching Multilayered Multicultural Interaction in Africa Using the Video-Stimulated Recall Research Method</x:v>
      </x:c>
      <x:c r="C1191" s="25" t="n">
        <x:v>2018</x:v>
      </x:c>
      <x:c r="D1191" s="25" t="str">
        <x:v>Jane E. Rhoades</x:v>
      </x:c>
      <x:c r="E1191" s="25" t="str"/>
      <x:c r="F1191" s="25" t="str">
        <x:v>10.4135/9781526447456</x:v>
      </x:c>
      <x:c r="G1191" s="25" t="str">
        <x:v>https://doi.org/10.4135/9781526447456</x:v>
      </x:c>
      <x:c r="H1191" s="25" t="str">
        <x:v>Crossref</x:v>
      </x:c>
      <x:c r="I1191" s="25" t="str">
        <x:v>C18_video_intent_coding_VLM_annotation</x:v>
      </x:c>
      <x:c r="J1191" s="25" t="str">
        <x:v>Exclude</x:v>
      </x:c>
      <x:c r="K1191" s="25" t="str">
        <x:v>Exclude: topic mismatch</x:v>
      </x:c>
    </x:row>
    <x:row r="1192">
      <x:c r="A1192" s="20" t="str">
        <x:v>R1188</x:v>
      </x:c>
      <x:c r="B1192" s="25" t="str">
        <x:v>Resolving Ambiguity Through Prosody and Gesture: The Roles of Awareness and Cue Sufficiency</x:v>
      </x:c>
      <x:c r="C1192" s="25" t="n">
        <x:v>2025</x:v>
      </x:c>
      <x:c r="D1192" s="25" t="str">
        <x:v>Jiajun Gao; Yan Gu</x:v>
      </x:c>
      <x:c r="E1192" s="25" t="str"/>
      <x:c r="F1192" s="25" t="str">
        <x:v>10.2139/ssrn.5309545</x:v>
      </x:c>
      <x:c r="G1192" s="25" t="str">
        <x:v>https://doi.org/10.2139/ssrn.5309545</x:v>
      </x:c>
      <x:c r="H1192" s="25" t="str">
        <x:v>Crossref</x:v>
      </x:c>
      <x:c r="I1192" s="25" t="str">
        <x:v>C17_3D_gesture_ambiguity</x:v>
      </x:c>
      <x:c r="J1192" s="25" t="str">
        <x:v>Exclude</x:v>
      </x:c>
      <x:c r="K1192" s="25" t="str">
        <x:v>Exclude: topic mismatch</x:v>
      </x:c>
    </x:row>
    <x:row r="1193">
      <x:c r="A1193" s="20" t="str">
        <x:v>R1189</x:v>
      </x:c>
      <x:c r="B1193" s="25" t="str">
        <x:v>Rethinking Penetration Testing for AI-Enabled Systems: From Resource Compromise to Behavioral Objective Violation</x:v>
      </x:c>
      <x:c r="C1193" s="25" t="n">
        <x:v>2026</x:v>
      </x:c>
      <x:c r="D1193" s="25" t="str">
        <x:v>Mohammad Allahbakhsh; Mohammad Hassan Bahari; Moslem Attar-Raouf</x:v>
      </x:c>
      <x:c r="E1193" s="25" t="str">
        <x:v>arXiv (Cornell University)</x:v>
      </x:c>
      <x:c r="F1193" s="25" t="str"/>
      <x:c r="G1193" s="25" t="str">
        <x:v>https://arxiv.org/abs/2607.14006</x:v>
      </x:c>
      <x:c r="H1193" s="25" t="str">
        <x:v>OpenAlex</x:v>
      </x:c>
      <x:c r="I1193" s="25" t="str">
        <x:v>C16_memory_conflict_bias</x:v>
      </x:c>
      <x:c r="J1193" s="25" t="str">
        <x:v>Exclude</x:v>
      </x:c>
      <x:c r="K1193" s="25" t="str">
        <x:v>Exclude: adjacent/redundant or insufficiently theory-generative for DC1</x:v>
      </x:c>
    </x:row>
    <x:row r="1194">
      <x:c r="A1194" s="20" t="str">
        <x:v>R1190</x:v>
      </x:c>
      <x:c r="B1194" s="25" t="str">
        <x:v>Retrieval</x:v>
      </x:c>
      <x:c r="C1194" s="25" t="str"/>
      <x:c r="D1194" s="25" t="str"/>
      <x:c r="E1194" s="25" t="str">
        <x:v>Essentials of Human Memory</x:v>
      </x:c>
      <x:c r="F1194" s="25" t="str">
        <x:v>10.4324/9780203345160_chapter_9</x:v>
      </x:c>
      <x:c r="G1194" s="25" t="str">
        <x:v>https://doi.org/10.4324/9780203345160_chapter_9</x:v>
      </x:c>
      <x:c r="H1194" s="25" t="str">
        <x:v>Crossref</x:v>
      </x:c>
      <x:c r="I1194" s="25" t="str">
        <x:v>C16_memory_conflict_bias</x:v>
      </x:c>
      <x:c r="J1194" s="25" t="str">
        <x:v>Exclude</x:v>
      </x:c>
      <x:c r="K1194" s="25" t="str">
        <x:v>Exclude: topic mismatch</x:v>
      </x:c>
    </x:row>
    <x:row r="1195">
      <x:c r="A1195" s="20" t="str">
        <x:v>R1191</x:v>
      </x:c>
      <x:c r="B1195" s="25" t="str">
        <x:v>Retrieval Practice Improves Maintenance in Memory- not Memory Retrieval</x:v>
      </x:c>
      <x:c r="C1195" s="25" t="n">
        <x:v>2014</x:v>
      </x:c>
      <x:c r="D1195" s="25" t="str">
        <x:v>Simone Malejka; Edgar Erdfelder</x:v>
      </x:c>
      <x:c r="E1195" s="25" t="str">
        <x:v>PsycEXTRA Dataset</x:v>
      </x:c>
      <x:c r="F1195" s="25" t="str">
        <x:v>10.1037/e528942014-985</x:v>
      </x:c>
      <x:c r="G1195" s="25" t="str">
        <x:v>https://doi.org/10.1037/e528942014-985</x:v>
      </x:c>
      <x:c r="H1195" s="25" t="str">
        <x:v>Crossref</x:v>
      </x:c>
      <x:c r="I1195" s="25" t="str">
        <x:v>C16_memory_conflict_bias</x:v>
      </x:c>
      <x:c r="J1195" s="25" t="str">
        <x:v>Exclude</x:v>
      </x:c>
      <x:c r="K1195" s="25" t="str">
        <x:v>Exclude: adjacent/redundant or insufficiently theory-generative for DC1</x:v>
      </x:c>
    </x:row>
    <x:row r="1196">
      <x:c r="A1196" s="20" t="str">
        <x:v>R1192</x:v>
      </x:c>
      <x:c r="B1196" s="25" t="str">
        <x:v>Retrieval dynamics of priming in recognition memory: Bias and discrimination analysis.</x:v>
      </x:c>
      <x:c r="C1196" s="25" t="n">
        <x:v>1989</x:v>
      </x:c>
      <x:c r="D1196" s="25" t="str">
        <x:v>Barbara A. Dosher; Brian McElree; R. Mark Hood; Glenda Rosedale</x:v>
      </x:c>
      <x:c r="E1196" s="25" t="str">
        <x:v>Journal of Experimental Psychology: Learning, Memory, and Cognition</x:v>
      </x:c>
      <x:c r="F1196" s="25" t="str">
        <x:v>10.1037//0278-7393.15.5.868</x:v>
      </x:c>
      <x:c r="G1196" s="25" t="str">
        <x:v>https://doi.org/10.1037//0278-7393.15.5.868</x:v>
      </x:c>
      <x:c r="H1196" s="25" t="str">
        <x:v>Crossref</x:v>
      </x:c>
      <x:c r="I1196" s="25" t="str">
        <x:v>C16_memory_conflict_bias</x:v>
      </x:c>
      <x:c r="J1196" s="25" t="str">
        <x:v>Exclude</x:v>
      </x:c>
      <x:c r="K1196" s="25" t="str">
        <x:v>Exclude: adjacent/redundant or insufficiently theory-generative for DC1</x:v>
      </x:c>
    </x:row>
    <x:row r="1197">
      <x:c r="A1197" s="20" t="str">
        <x:v>R1193</x:v>
      </x:c>
      <x:c r="B1197" s="25" t="str">
        <x:v>Rhythmic Expression Rights (RER): A Process-Based Copyright Layer for Human–AI Co-Creation</x:v>
      </x:c>
      <x:c r="C1197" s="25" t="n">
        <x:v>2025</x:v>
      </x:c>
      <x:c r="D1197" s="25" t="str">
        <x:v>Xinliang Wei</x:v>
      </x:c>
      <x:c r="E1197" s="25" t="str"/>
      <x:c r="F1197" s="25" t="str">
        <x:v>10.2139/ssrn.5406262</x:v>
      </x:c>
      <x:c r="G1197" s="25" t="str">
        <x:v>https://doi.org/10.2139/ssrn.5406262</x:v>
      </x:c>
      <x:c r="H1197" s="25" t="str">
        <x:v>Crossref</x:v>
      </x:c>
      <x:c r="I1197" s="25" t="str">
        <x:v>C14_agency_ownership</x:v>
      </x:c>
      <x:c r="J1197" s="25" t="str">
        <x:v>Exclude</x:v>
      </x:c>
      <x:c r="K1197" s="25" t="str">
        <x:v>Exclude: topic mismatch</x:v>
      </x:c>
    </x:row>
    <x:row r="1198">
      <x:c r="A1198" s="20" t="str">
        <x:v>R1194</x:v>
      </x:c>
      <x:c r="B1198" s="25" t="str">
        <x:v>Robotics and AI tools as a Scaffold for Co-Creation In Makerspaces</x:v>
      </x:c>
      <x:c r="C1198" s="25" t="n">
        <x:v>2025</x:v>
      </x:c>
      <x:c r="D1198" s="25" t="str">
        <x:v>Christine Marcelino</x:v>
      </x:c>
      <x:c r="E1198" s="25" t="str">
        <x:v>IJAMM</x:v>
      </x:c>
      <x:c r="F1198" s="25" t="str">
        <x:v>10.21428/70cb44c5.f3806085</x:v>
      </x:c>
      <x:c r="G1198" s="25" t="str">
        <x:v>https://doi.org/10.21428/70cb44c5.f3806085</x:v>
      </x:c>
      <x:c r="H1198" s="25" t="str">
        <x:v>Crossref</x:v>
      </x:c>
      <x:c r="I1198" s="25" t="str">
        <x:v>C3_mixed_initiative_cocreation; C7_creative_agency</x:v>
      </x:c>
      <x:c r="J1198" s="25" t="str">
        <x:v>Exclude</x:v>
      </x:c>
      <x:c r="K1198" s="25" t="str">
        <x:v>Exclude: topic mismatch</x:v>
      </x:c>
    </x:row>
    <x:row r="1199">
      <x:c r="A1199" s="20" t="str">
        <x:v>R1195</x:v>
      </x:c>
      <x:c r="B1199" s="25" t="str">
        <x:v>Safety for Human-Robot Interaction with a Shared Autonomy</x:v>
      </x:c>
      <x:c r="C1199" s="25" t="n">
        <x:v>2024</x:v>
      </x:c>
      <x:c r="D1199" s="25" t="str">
        <x:v>S A Tafrishi; A A Ravankar; Y Hirata</x:v>
      </x:c>
      <x:c r="E1199" s="25" t="str">
        <x:v>Proceedings of the Cardiff University Engineering Research Conference 2023</x:v>
      </x:c>
      <x:c r="F1199" s="25" t="str">
        <x:v>10.18573/conf1.v</x:v>
      </x:c>
      <x:c r="G1199" s="25" t="str">
        <x:v>https://doi.org/10.18573/conf1.v</x:v>
      </x:c>
      <x:c r="H1199" s="25" t="str">
        <x:v>Crossref</x:v>
      </x:c>
      <x:c r="I1199" s="25" t="str">
        <x:v>C4_uncertainty_shared_autonomy</x:v>
      </x:c>
      <x:c r="J1199" s="25" t="str">
        <x:v>Exclude</x:v>
      </x:c>
      <x:c r="K1199" s="25" t="str">
        <x:v>Exclude: adjacent/redundant or insufficiently theory-generative for DC1</x:v>
      </x:c>
    </x:row>
    <x:row r="1200">
      <x:c r="A1200" s="20" t="str">
        <x:v>R1196</x:v>
      </x:c>
      <x:c r="B1200" s="25" t="str">
        <x:v>Scalable Behaviour Cloning on Browser Using via Skill Distillation</x:v>
      </x:c>
      <x:c r="C1200" s="25" t="n">
        <x:v>2026</x:v>
      </x:c>
      <x:c r="D1200" s="25" t="str">
        <x:v>Kaisen Yang; Zheng Jiang; Y Peng; Houde Qian; Boshi Zhang; Youjie Zheng; Shijin Hong; Qingle Liu; Ruoyu Han; Bohan Lyu; Bingxiang He; Eren Cai; Calvin Xiao; Qinhuai Na</x:v>
      </x:c>
      <x:c r="E1200" s="25" t="str">
        <x:v>arXiv (Cornell University)</x:v>
      </x:c>
      <x:c r="F1200" s="25" t="str"/>
      <x:c r="G1200" s="25" t="str">
        <x:v>https://arxiv.org/abs/2606.32014</x:v>
      </x:c>
      <x:c r="H1200" s="25" t="str">
        <x:v>OpenAlex</x:v>
      </x:c>
      <x:c r="I1200" s="25" t="str">
        <x:v>C16_memory_conflict_bias</x:v>
      </x:c>
      <x:c r="J1200" s="25" t="str">
        <x:v>Exclude</x:v>
      </x:c>
      <x:c r="K1200" s="25" t="str">
        <x:v>Exclude: adjacent/redundant or insufficiently theory-generative for DC1</x:v>
      </x:c>
    </x:row>
    <x:row r="1201">
      <x:c r="A1201" s="20" t="str">
        <x:v>R1197</x:v>
      </x:c>
      <x:c r="B1201" s="25" t="str">
        <x:v>Scope Ambiguity and Inference</x:v>
      </x:c>
      <x:c r="C1201" s="25" t="n">
        <x:v>1991</x:v>
      </x:c>
      <x:c r="D1201" s="25" t="str">
        <x:v>Massimo Poesio</x:v>
      </x:c>
      <x:c r="E1201" s="25" t="str"/>
      <x:c r="F1201" s="25" t="str">
        <x:v>10.21236/ada247448</x:v>
      </x:c>
      <x:c r="G1201" s="25" t="str">
        <x:v>https://doi.org/10.21236/ada247448</x:v>
      </x:c>
      <x:c r="H1201" s="25" t="str">
        <x:v>Crossref</x:v>
      </x:c>
      <x:c r="I1201" s="25" t="str">
        <x:v>C17_3D_gesture_ambiguity</x:v>
      </x:c>
      <x:c r="J1201" s="25" t="str">
        <x:v>Exclude</x:v>
      </x:c>
      <x:c r="K1201" s="25" t="str">
        <x:v>Exclude: topic mismatch</x:v>
      </x:c>
    </x:row>
    <x:row r="1202">
      <x:c r="A1202" s="20" t="str">
        <x:v>R1198</x:v>
      </x:c>
      <x:c r="B1202" s="25" t="str">
        <x:v>Seamless interaction in VR: decoding user intent with eye gaze and passive brain–computer interfaces</x:v>
      </x:c>
      <x:c r="C1202" s="25" t="n">
        <x:v>2026</x:v>
      </x:c>
      <x:c r="D1202" s="25" t="str">
        <x:v>Yanzhao Pan; Lea Rabe; Thorsten O Zander; Marius Klug</x:v>
      </x:c>
      <x:c r="E1202" s="25" t="str"/>
      <x:c r="F1202" s="25" t="str">
        <x:v>10.64898/2026.07.06.736575</x:v>
      </x:c>
      <x:c r="G1202" s="25" t="str">
        <x:v>https://doi.org/10.64898/2026.07.06.736575</x:v>
      </x:c>
      <x:c r="H1202" s="25" t="str">
        <x:v>Crossref</x:v>
      </x:c>
      <x:c r="I1202" s="25" t="str">
        <x:v>C2_interaction_signals</x:v>
      </x:c>
      <x:c r="J1202" s="25" t="str">
        <x:v>Exclude</x:v>
      </x:c>
      <x:c r="K1202" s="25" t="str">
        <x:v>Exclude: domain-specific signal model without transferable HCI theory</x:v>
      </x:c>
    </x:row>
    <x:row r="1203">
      <x:c r="A1203" s="20" t="str">
        <x:v>R1199</x:v>
      </x:c>
      <x:c r="B1203" s="25" t="str">
        <x:v>Security Considerations for Multi-agent Systems</x:v>
      </x:c>
      <x:c r="C1203" s="25" t="n">
        <x:v>2026</x:v>
      </x:c>
      <x:c r="D1203" s="25" t="str">
        <x:v>Tam Nguyen; Moses Ndebugre; Dheeraj Arremsetty</x:v>
      </x:c>
      <x:c r="E1203" s="25" t="str">
        <x:v>arXiv (Cornell University)</x:v>
      </x:c>
      <x:c r="F1203" s="25" t="str"/>
      <x:c r="G1203" s="25" t="str">
        <x:v>https://arxiv.org/abs/2603.09002</x:v>
      </x:c>
      <x:c r="H1203" s="25" t="str">
        <x:v>OpenAlex</x:v>
      </x:c>
      <x:c r="I1203" s="25" t="str">
        <x:v>C16_memory_conflict_bias</x:v>
      </x:c>
      <x:c r="J1203" s="25" t="str">
        <x:v>Exclude</x:v>
      </x:c>
      <x:c r="K1203" s="25" t="str">
        <x:v>Exclude: adjacent/redundant or insufficiently theory-generative for DC1</x:v>
      </x:c>
    </x:row>
    <x:row r="1204">
      <x:c r="A1204" s="20" t="str">
        <x:v>R1200</x:v>
      </x:c>
      <x:c r="B1204" s="25" t="str">
        <x:v>Semantic Navigation for AI-assisted Ideation</x:v>
      </x:c>
      <x:c r="C1204" s="25" t="n">
        <x:v>2024</x:v>
      </x:c>
      <x:c r="D1204" s="25" t="str">
        <x:v>Thomas Sandholm; Sarah Dong; Sayandev Mukherjee; John Feland; Bernardo A Huberman</x:v>
      </x:c>
      <x:c r="E1204" s="25" t="str"/>
      <x:c r="F1204" s="25" t="str">
        <x:v>10.36227/techrxiv.173153444.41232508/v1</x:v>
      </x:c>
      <x:c r="G1204" s="25" t="str">
        <x:v>https://doi.org/10.36227/techrxiv.173153444.41232508/v1</x:v>
      </x:c>
      <x:c r="H1204" s="25" t="str">
        <x:v>Crossref</x:v>
      </x:c>
      <x:c r="I1204" s="25" t="str">
        <x:v>C8_AI_3D_authoring</x:v>
      </x:c>
      <x:c r="J1204" s="25" t="str">
        <x:v>Exclude</x:v>
      </x:c>
      <x:c r="K1204" s="25" t="str">
        <x:v>Exclude: topic mismatch</x:v>
      </x:c>
    </x:row>
    <x:row r="1205">
      <x:c r="A1205" s="20" t="str">
        <x:v>R1201</x:v>
      </x:c>
      <x:c r="B1205" s="25" t="str">
        <x:v>Semantic and episodic memory retrieval as internal attention</x:v>
      </x:c>
      <x:c r="C1205" s="25" t="n">
        <x:v>2026</x:v>
      </x:c>
      <x:c r="D1205" s="25" t="str">
        <x:v>Matthew Bair; Nicole Long</x:v>
      </x:c>
      <x:c r="E1205" s="25" t="str">
        <x:v>JoCN Forum</x:v>
      </x:c>
      <x:c r="F1205" s="25" t="str">
        <x:v>10.21428/8e6ba8ef.9107ffd6</x:v>
      </x:c>
      <x:c r="G1205" s="25" t="str">
        <x:v>https://doi.org/10.21428/8e6ba8ef.9107ffd6</x:v>
      </x:c>
      <x:c r="H1205" s="25" t="str">
        <x:v>Crossref</x:v>
      </x:c>
      <x:c r="I1205" s="25" t="str">
        <x:v>C5_agent_memory</x:v>
      </x:c>
      <x:c r="J1205" s="25" t="str">
        <x:v>Exclude</x:v>
      </x:c>
      <x:c r="K1205" s="25" t="str">
        <x:v>Exclude: adjacent/redundant or insufficiently theory-generative for DC1</x:v>
      </x:c>
    </x:row>
    <x:row r="1206">
      <x:c r="A1206" s="20" t="str">
        <x:v>R1202</x:v>
      </x:c>
      <x:c r="B1206" s="25" t="str">
        <x:v>Sentinel Initiative: from reactive to proactive surveillance</x:v>
      </x:c>
      <x:c r="C1206" s="25" t="n">
        <x:v>2008</x:v>
      </x:c>
      <x:c r="D1206" s="25" t="str">
        <x:v>&amp;NA;</x:v>
      </x:c>
      <x:c r="E1206" s="25" t="str">
        <x:v>Reactions Weekly</x:v>
      </x:c>
      <x:c r="F1206" s="25" t="str">
        <x:v>10.2165/00128415-200812040-00004</x:v>
      </x:c>
      <x:c r="G1206" s="25" t="str">
        <x:v>https://doi.org/10.2165/00128415-200812040-00004</x:v>
      </x:c>
      <x:c r="H1206" s="25" t="str">
        <x:v>Crossref</x:v>
      </x:c>
      <x:c r="I1206" s="25" t="str">
        <x:v>C15_proactive_interruption</x:v>
      </x:c>
      <x:c r="J1206" s="25" t="str">
        <x:v>Exclude</x:v>
      </x:c>
      <x:c r="K1206" s="25" t="str">
        <x:v>Exclude: adjacent/redundant or insufficiently theory-generative for DC1</x:v>
      </x:c>
    </x:row>
    <x:row r="1207">
      <x:c r="A1207" s="20" t="str">
        <x:v>R1203</x:v>
      </x:c>
      <x:c r="B1207" s="25" t="str">
        <x:v>Shared Autonomy and Teleoperation</x:v>
      </x:c>
      <x:c r="C1207" s="25" t="n">
        <x:v>2017</x:v>
      </x:c>
      <x:c r="D1207" s="25" t="str">
        <x:v>Takayuki Kanda; Hiroshi Ishiguro</x:v>
      </x:c>
      <x:c r="E1207" s="25" t="str">
        <x:v>Human-Robot Interaction in Social Robotics</x:v>
      </x:c>
      <x:c r="F1207" s="25" t="str">
        <x:v>10.1201/b13004-6</x:v>
      </x:c>
      <x:c r="G1207" s="25" t="str">
        <x:v>https://doi.org/10.1201/b13004-6</x:v>
      </x:c>
      <x:c r="H1207" s="25" t="str">
        <x:v>Crossref</x:v>
      </x:c>
      <x:c r="I1207" s="25" t="str">
        <x:v>C4_uncertainty_shared_autonomy</x:v>
      </x:c>
      <x:c r="J1207" s="25" t="str">
        <x:v>Exclude</x:v>
      </x:c>
      <x:c r="K1207" s="25" t="str">
        <x:v>Exclude: adjacent/redundant or insufficiently theory-generative for DC1</x:v>
      </x:c>
    </x:row>
    <x:row r="1208">
      <x:c r="A1208" s="20" t="str">
        <x:v>R1204</x:v>
      </x:c>
      <x:c r="B1208" s="25" t="str">
        <x:v>Shared Autonomy of a Robotic Manipulator for Grasping under Human Intent Uncertainty using POMDPs_supp1-3334631.mp4</x:v>
      </x:c>
      <x:c r="C1208" s="25" t="str"/>
      <x:c r="D1208" s="25" t="str">
        <x:v>J-Anne Yow</x:v>
      </x:c>
      <x:c r="E1208" s="25" t="str"/>
      <x:c r="F1208" s="25" t="str">
        <x:v>10.1109/tro.2023.3334631/mm1</x:v>
      </x:c>
      <x:c r="G1208" s="25" t="str">
        <x:v>https://doi.org/10.1109/tro.2023.3334631/mm1</x:v>
      </x:c>
      <x:c r="H1208" s="25" t="str">
        <x:v>Crossref</x:v>
      </x:c>
      <x:c r="I1208" s="25" t="str">
        <x:v>C4_uncertainty_shared_autonomy</x:v>
      </x:c>
      <x:c r="J1208" s="25" t="str">
        <x:v>Exclude</x:v>
      </x:c>
      <x:c r="K1208" s="25" t="str">
        <x:v>Exclude: adjacent/redundant or insufficiently theory-generative for DC1</x:v>
      </x:c>
    </x:row>
    <x:row r="1209">
      <x:c r="A1209" s="20" t="str">
        <x:v>R1205</x:v>
      </x:c>
      <x:c r="B1209" s="25" t="str">
        <x:v>Shared-autonomy control for improving Human-Robot collaboration in haptic teleoperation</x:v>
      </x:c>
      <x:c r="C1209" s="25" t="str"/>
      <x:c r="D1209" s="25" t="str">
        <x:v>; Elio Jabbour</x:v>
      </x:c>
      <x:c r="E1209" s="25" t="str"/>
      <x:c r="F1209" s="25" t="str">
        <x:v>10.70675/53c62ad1z37cbz4f1fz9b0cz76870058cc4f</x:v>
      </x:c>
      <x:c r="G1209" s="25" t="str">
        <x:v>https://doi.org/10.70675/53c62ad1z37cbz4f1fz9b0cz76870058cc4f</x:v>
      </x:c>
      <x:c r="H1209" s="25" t="str">
        <x:v>Crossref</x:v>
      </x:c>
      <x:c r="I1209" s="25" t="str">
        <x:v>C4_uncertainty_shared_autonomy</x:v>
      </x:c>
      <x:c r="J1209" s="25" t="str">
        <x:v>Exclude</x:v>
      </x:c>
      <x:c r="K1209" s="25" t="str">
        <x:v>Exclude: adjacent/redundant or insufficiently theory-generative for DC1</x:v>
      </x:c>
    </x:row>
    <x:row r="1210">
      <x:c r="A1210" s="20" t="str">
        <x:v>R1206</x:v>
      </x:c>
      <x:c r="B1210" s="25" t="str">
        <x:v>Sketch-2-4d: Sketch Driven Dynamic 3d Scene Generation</x:v>
      </x:c>
      <x:c r="C1210" s="25" t="n">
        <x:v>2024</x:v>
      </x:c>
      <x:c r="D1210" s="25" t="str">
        <x:v>Guo-Wei Yang; Dong-Yu Chen; Tai-Jiang Mu</x:v>
      </x:c>
      <x:c r="E1210" s="25" t="str"/>
      <x:c r="F1210" s="25" t="str">
        <x:v>10.2139/ssrn.4713334</x:v>
      </x:c>
      <x:c r="G1210" s="25" t="str">
        <x:v>https://doi.org/10.2139/ssrn.4713334</x:v>
      </x:c>
      <x:c r="H1210" s="25" t="str">
        <x:v>Crossref</x:v>
      </x:c>
      <x:c r="I1210" s="25" t="str">
        <x:v>C17_3D_gesture_ambiguity</x:v>
      </x:c>
      <x:c r="J1210" s="25" t="str">
        <x:v>Exclude</x:v>
      </x:c>
      <x:c r="K1210" s="25" t="str">
        <x:v>Exclude: adjacent/redundant or insufficiently theory-generative for DC1</x:v>
      </x:c>
    </x:row>
    <x:row r="1211">
      <x:c r="A1211" s="20" t="str">
        <x:v>R1207</x:v>
      </x:c>
      <x:c r="B1211" s="25" t="str">
        <x:v>SketchDynamics: Exploring Free-Form Sketches for Dynamic Intent Expression in Animation Generation</x:v>
      </x:c>
      <x:c r="C1211" s="25" t="n">
        <x:v>2026</x:v>
      </x:c>
      <x:c r="D1211" s="25" t="str">
        <x:v>Boyu Li; Lin-Ping Yuan; Zeyu Wang; Hongbo Fu</x:v>
      </x:c>
      <x:c r="E1211" s="25" t="str">
        <x:v>arXiv (Cornell University)</x:v>
      </x:c>
      <x:c r="F1211" s="25" t="str"/>
      <x:c r="G1211" s="25" t="str">
        <x:v>http://arxiv.org/abs/2601.20622</x:v>
      </x:c>
      <x:c r="H1211" s="25" t="str">
        <x:v>OpenAlex</x:v>
      </x:c>
      <x:c r="I1211" s="25" t="str">
        <x:v>C17_3D_gesture_ambiguity</x:v>
      </x:c>
      <x:c r="J1211" s="25" t="str">
        <x:v>Exclude</x:v>
      </x:c>
      <x:c r="K1211" s="25" t="str">
        <x:v>Exclude: adjacent/redundant or insufficiently theory-generative for DC1</x:v>
      </x:c>
    </x:row>
    <x:row r="1212">
      <x:c r="A1212" s="20" t="str">
        <x:v>R1208</x:v>
      </x:c>
      <x:c r="B1212" s="25" t="str">
        <x:v>SoK: Trust-Authorization Mismatch in LLM Agent Interactions</x:v>
      </x:c>
      <x:c r="C1212" s="25" t="n">
        <x:v>2025</x:v>
      </x:c>
      <x:c r="D1212" s="25" t="str">
        <x:v>Shi, Guanquan; Du, Haohua; Wang, Zhiqiang; Liang, Xiaoyu; Liu, Weiwenpei; Bian, Song; Guan, Zhenyu</x:v>
      </x:c>
      <x:c r="E1212" s="25" t="str">
        <x:v>arXiv (Cornell University)</x:v>
      </x:c>
      <x:c r="F1212" s="25" t="str"/>
      <x:c r="G1212" s="25" t="str">
        <x:v>http://arxiv.org/abs/2512.06914</x:v>
      </x:c>
      <x:c r="H1212" s="25" t="str">
        <x:v>OpenAlex</x:v>
      </x:c>
      <x:c r="I1212" s="25" t="str">
        <x:v>C16_memory_conflict_bias</x:v>
      </x:c>
      <x:c r="J1212" s="25" t="str">
        <x:v>Exclude</x:v>
      </x:c>
      <x:c r="K1212" s="25" t="str">
        <x:v>Exclude: adjacent/redundant or insufficiently theory-generative for DC1</x:v>
      </x:c>
    </x:row>
    <x:row r="1213">
      <x:c r="A1213" s="20" t="str">
        <x:v>R1209</x:v>
      </x:c>
      <x:c r="B1213" s="25" t="str">
        <x:v>Social Memory in Post-Atrocity Contexts</x:v>
      </x:c>
      <x:c r="C1213" s="25" t="str"/>
      <x:c r="D1213" s="25" t="str"/>
      <x:c r="E1213" s="25" t="str">
        <x:v>Religion, Social Memory and Conflict</x:v>
      </x:c>
      <x:c r="F1213" s="25" t="str">
        <x:v>10.1057/9781137461841.0008</x:v>
      </x:c>
      <x:c r="G1213" s="25" t="str">
        <x:v>https://doi.org/10.1057/9781137461841.0008</x:v>
      </x:c>
      <x:c r="H1213" s="25" t="str">
        <x:v>Crossref</x:v>
      </x:c>
      <x:c r="I1213" s="25" t="str">
        <x:v>C16_memory_conflict_bias</x:v>
      </x:c>
      <x:c r="J1213" s="25" t="str">
        <x:v>Exclude</x:v>
      </x:c>
      <x:c r="K1213" s="25" t="str">
        <x:v>Exclude: adjacent/redundant or insufficiently theory-generative for DC1</x:v>
      </x:c>
    </x:row>
    <x:row r="1214">
      <x:c r="A1214" s="20" t="str">
        <x:v>R1210</x:v>
      </x:c>
      <x:c r="B1214" s="25" t="str">
        <x:v>Source-Aware Public Atlas Systems: Architecture, Provenance, and Evidence Geometry in an Independent Web-GIS Framework for Conflict, Memory, Heritage, Mobility, and Risk Mapping</x:v>
      </x:c>
      <x:c r="C1214" s="25" t="n">
        <x:v>2026</x:v>
      </x:c>
      <x:c r="D1214" s="25" t="str">
        <x:v>Ararat Petrosyan</x:v>
      </x:c>
      <x:c r="E1214" s="25" t="str"/>
      <x:c r="F1214" s="25" t="str">
        <x:v>10.2139/ssrn.6976419</x:v>
      </x:c>
      <x:c r="G1214" s="25" t="str">
        <x:v>https://doi.org/10.2139/ssrn.6976419</x:v>
      </x:c>
      <x:c r="H1214" s="25" t="str">
        <x:v>Crossref</x:v>
      </x:c>
      <x:c r="I1214" s="25" t="str">
        <x:v>C16_memory_conflict_bias</x:v>
      </x:c>
      <x:c r="J1214" s="25" t="str">
        <x:v>Exclude</x:v>
      </x:c>
      <x:c r="K1214" s="25" t="str">
        <x:v>Exclude: adjacent/redundant or insufficiently theory-generative for DC1</x:v>
      </x:c>
    </x:row>
    <x:row r="1215">
      <x:c r="A1215" s="20" t="str">
        <x:v>R1211</x:v>
      </x:c>
      <x:c r="B1215" s="25" t="str">
        <x:v>Spatial particles of orientation</x:v>
      </x:c>
      <x:c r="C1215" s="25" t="n">
        <x:v>2003</x:v>
      </x:c>
      <x:c r="D1215" s="25" t="str"/>
      <x:c r="E1215" s="25" t="str">
        <x:v>The Semantics of English Prepositions</x:v>
      </x:c>
      <x:c r="F1215" s="25" t="str">
        <x:v>10.1017/cbo9780511486517.007</x:v>
      </x:c>
      <x:c r="G1215" s="25" t="str">
        <x:v>https://doi.org/10.1017/cbo9780511486517.007</x:v>
      </x:c>
      <x:c r="H1215" s="25" t="str">
        <x:v>Crossref</x:v>
      </x:c>
      <x:c r="I1215" s="25" t="str">
        <x:v>C10_affordance_embodied</x:v>
      </x:c>
      <x:c r="J1215" s="25" t="str">
        <x:v>Exclude</x:v>
      </x:c>
      <x:c r="K1215" s="25" t="str">
        <x:v>Exclude: topic mismatch</x:v>
      </x:c>
    </x:row>
    <x:row r="1216">
      <x:c r="A1216" s="20" t="str">
        <x:v>R1212</x:v>
      </x:c>
      <x:c r="B1216" s="25" t="str">
        <x:v>Studies on user intent analysis and mining</x:v>
      </x:c>
      <x:c r="C1216" s="25" t="str"/>
      <x:c r="D1216" s="25" t="str">
        <x:v>; Yue Shang; Xiaohua Hu</x:v>
      </x:c>
      <x:c r="E1216" s="25" t="str"/>
      <x:c r="F1216" s="25" t="str">
        <x:v>10.17918/etd-7659</x:v>
      </x:c>
      <x:c r="G1216" s="25" t="str">
        <x:v>https://doi.org/10.17918/etd-7659</x:v>
      </x:c>
      <x:c r="H1216" s="25" t="str">
        <x:v>Crossref</x:v>
      </x:c>
      <x:c r="I1216" s="25" t="str">
        <x:v>C2_interaction_signals</x:v>
      </x:c>
      <x:c r="J1216" s="25" t="str">
        <x:v>Exclude</x:v>
      </x:c>
      <x:c r="K1216" s="25" t="str">
        <x:v>Exclude: adjacent/redundant or insufficiently theory-generative for DC1</x:v>
      </x:c>
    </x:row>
    <x:row r="1217">
      <x:c r="A1217" s="20" t="str">
        <x:v>R1213</x:v>
      </x:c>
      <x:c r="B1217" s="25" t="str">
        <x:v>Subject Index</x:v>
      </x:c>
      <x:c r="C1217" s="25" t="n">
        <x:v>2014</x:v>
      </x:c>
      <x:c r="D1217" s="25" t="str"/>
      <x:c r="E1217" s="25" t="str">
        <x:v>Plan, Activity, and Intent Recognition</x:v>
      </x:c>
      <x:c r="F1217" s="25" t="str">
        <x:v>10.1016/b978-0-12-398532-3.00024-5</x:v>
      </x:c>
      <x:c r="G1217" s="25" t="str">
        <x:v>https://doi.org/10.1016/b978-0-12-398532-3.00024-5</x:v>
      </x:c>
      <x:c r="H1217" s="25" t="str">
        <x:v>Crossref</x:v>
      </x:c>
      <x:c r="I1217" s="25" t="str">
        <x:v>C11_hierarchical_goal_recognition</x:v>
      </x:c>
      <x:c r="J1217" s="25" t="str">
        <x:v>Exclude</x:v>
      </x:c>
      <x:c r="K1217" s="25" t="str">
        <x:v>Exclude: topic mismatch</x:v>
      </x:c>
    </x:row>
    <x:row r="1218">
      <x:c r="A1218" s="20" t="str">
        <x:v>R1214</x:v>
      </x:c>
      <x:c r="B1218" s="25" t="str">
        <x:v>Supplemental Material for Semantic Integration as a Boundary Condition on Inhibitory Processes in Episodic Retrieval</x:v>
      </x:c>
      <x:c r="C1218" s="25" t="n">
        <x:v>2011</x:v>
      </x:c>
      <x:c r="D1218" s="25" t="str"/>
      <x:c r="E1218" s="25" t="str">
        <x:v>Journal of Experimental Psychology: Learning, Memory, and Cognition</x:v>
      </x:c>
      <x:c r="F1218" s="25" t="str">
        <x:v>10.1037/a0021963.supp</x:v>
      </x:c>
      <x:c r="G1218" s="25" t="str">
        <x:v>https://doi.org/10.1037/a0021963.supp</x:v>
      </x:c>
      <x:c r="H1218" s="25" t="str">
        <x:v>Crossref</x:v>
      </x:c>
      <x:c r="I1218" s="25" t="str">
        <x:v>C5_agent_memory</x:v>
      </x:c>
      <x:c r="J1218" s="25" t="str">
        <x:v>Exclude</x:v>
      </x:c>
      <x:c r="K1218" s="25" t="str">
        <x:v>Exclude: topic mismatch</x:v>
      </x:c>
    </x:row>
    <x:row r="1219">
      <x:c r="A1219" s="20" t="str">
        <x:v>R1215</x:v>
      </x:c>
      <x:c r="B1219" s="25" t="str">
        <x:v>Synchronous electro-optical method for studying mixed ionic–electronic conductors with hopping transport</x:v>
      </x:c>
      <x:c r="C1219" s="25" t="n">
        <x:v>2023</x:v>
      </x:c>
      <x:c r="D1219" s="25" t="str">
        <x:v>Dmitri Kalaev</x:v>
      </x:c>
      <x:c r="E1219" s="25" t="str">
        <x:v>Journal of Applied Physics</x:v>
      </x:c>
      <x:c r="F1219" s="25" t="str">
        <x:v>10.1063/5.0120907</x:v>
      </x:c>
      <x:c r="G1219" s="25" t="str">
        <x:v>https://doi.org/10.1063/5.0120907</x:v>
      </x:c>
      <x:c r="H1219" s="25" t="str">
        <x:v>Crossref</x:v>
      </x:c>
      <x:c r="I1219" s="25" t="str">
        <x:v>C15_proactive_interruption</x:v>
      </x:c>
      <x:c r="J1219" s="25" t="str">
        <x:v>Exclude</x:v>
      </x:c>
      <x:c r="K1219" s="25" t="str">
        <x:v>Exclude: topic mismatch</x:v>
      </x:c>
    </x:row>
    <x:row r="1220">
      <x:c r="A1220" s="20" t="str">
        <x:v>R1216</x:v>
      </x:c>
      <x:c r="B1220" s="25" t="str">
        <x:v>Synergizing Natural Language Towards Enhanced Shared Autonomy</x:v>
      </x:c>
      <x:c r="C1220" s="25" t="n">
        <x:v>2024</x:v>
      </x:c>
      <x:c r="D1220" s="25" t="str">
        <x:v>Shalutha Rajapakshe; Atharva Dastenavar; André Schakkal; Emmanuel Senft</x:v>
      </x:c>
      <x:c r="E1220" s="25" t="str">
        <x:v>Companion of the 2024 ACM/IEEE International Conference on Human-Robot Interaction</x:v>
      </x:c>
      <x:c r="F1220" s="25" t="str">
        <x:v>10.1145/3610978.3640720</x:v>
      </x:c>
      <x:c r="G1220" s="25" t="str">
        <x:v>https://doi.org/10.1145/3610978.3640720</x:v>
      </x:c>
      <x:c r="H1220" s="25" t="str">
        <x:v>Crossref</x:v>
      </x:c>
      <x:c r="I1220" s="25" t="str">
        <x:v>C4_uncertainty_shared_autonomy</x:v>
      </x:c>
      <x:c r="J1220" s="25" t="str">
        <x:v>Exclude</x:v>
      </x:c>
      <x:c r="K1220" s="25" t="str">
        <x:v>Exclude: adjacent/redundant or insufficiently theory-generative for DC1</x:v>
      </x:c>
    </x:row>
    <x:row r="1221">
      <x:c r="A1221" s="20" t="str">
        <x:v>R1217</x:v>
      </x:c>
      <x:c r="B1221" s="25" t="str">
        <x:v>TOKI: A Bitemporal Operator Algebra for Contradiction Resolution in LLM-Agent Persistent Memory</x:v>
      </x:c>
      <x:c r="C1221" s="25" t="n">
        <x:v>2026</x:v>
      </x:c>
      <x:c r="D1221" s="25" t="str">
        <x:v>Ziming Wang</x:v>
      </x:c>
      <x:c r="E1221" s="25" t="str">
        <x:v>arXiv (Cornell University)</x:v>
      </x:c>
      <x:c r="F1221" s="25" t="str"/>
      <x:c r="G1221" s="25" t="str">
        <x:v>https://arxiv.org/abs/2606.06240</x:v>
      </x:c>
      <x:c r="H1221" s="25" t="str">
        <x:v>OpenAlex</x:v>
      </x:c>
      <x:c r="I1221" s="25" t="str">
        <x:v>C16_memory_conflict_bias</x:v>
      </x:c>
      <x:c r="J1221" s="25" t="str">
        <x:v>Exclude</x:v>
      </x:c>
      <x:c r="K1221" s="25" t="str">
        <x:v>Exclude: adjacent/redundant or insufficiently theory-generative for DC1</x:v>
      </x:c>
    </x:row>
    <x:row r="1222">
      <x:c r="A1222" s="20" t="str">
        <x:v>R1218</x:v>
      </x:c>
      <x:c r="B1222" s="25" t="str">
        <x:v>TOWARDS DIRECT SPATIAL MANIPULATION OF VIRTUAL 3D OBJECTS USING VISUAL TRACKING AND GESTURE RECOGNITION OF UNMARKED HANDS</x:v>
      </x:c>
      <x:c r="C1222" s="25" t="str"/>
      <x:c r="D1222" s="25" t="str">
        <x:v>SINISA KOLARIC</x:v>
      </x:c>
      <x:c r="E1222" s="25" t="str"/>
      <x:c r="F1222" s="25" t="str">
        <x:v>10.17771/pucrio.acad.12443</x:v>
      </x:c>
      <x:c r="G1222" s="25" t="str">
        <x:v>https://doi.org/10.17771/pucrio.acad.12443</x:v>
      </x:c>
      <x:c r="H1222" s="25" t="str">
        <x:v>Crossref</x:v>
      </x:c>
      <x:c r="I1222" s="25" t="str">
        <x:v>C1_3D_mental_models; C8_AI_3D_authoring</x:v>
      </x:c>
      <x:c r="J1222" s="25" t="str">
        <x:v>Exclude</x:v>
      </x:c>
      <x:c r="K1222" s="25" t="str">
        <x:v>Exclude: adjacent/redundant or insufficiently theory-generative for DC1</x:v>
      </x:c>
    </x:row>
    <x:row r="1223">
      <x:c r="A1223" s="20" t="str">
        <x:v>R1219</x:v>
      </x:c>
      <x:c r="B1223" s="25" t="str">
        <x:v>Table 3: Metrics about psychometric predicted validity of the Episodix, semantic memory and procedural memory games.</x:v>
      </x:c>
      <x:c r="C1223" s="25" t="str"/>
      <x:c r="D1223" s="25" t="str"/>
      <x:c r="E1223" s="25" t="str"/>
      <x:c r="F1223" s="25" t="str">
        <x:v>10.7717/peerj.5478/table-3</x:v>
      </x:c>
      <x:c r="G1223" s="25" t="str">
        <x:v>https://doi.org/10.7717/peerj.5478/table-3</x:v>
      </x:c>
      <x:c r="H1223" s="25" t="str">
        <x:v>Crossref</x:v>
      </x:c>
      <x:c r="I1223" s="25" t="str">
        <x:v>C5_agent_memory</x:v>
      </x:c>
      <x:c r="J1223" s="25" t="str">
        <x:v>Exclude</x:v>
      </x:c>
      <x:c r="K1223" s="25" t="str">
        <x:v>Exclude: adjacent/redundant or insufficiently theory-generative for DC1</x:v>
      </x:c>
    </x:row>
    <x:row r="1224">
      <x:c r="A1224" s="20" t="str">
        <x:v>R1220</x:v>
      </x:c>
      <x:c r="B1224" s="25" t="str">
        <x:v>Taking initiative? Examining teachers’ proactive behaviour and its predictors</x:v>
      </x:c>
      <x:c r="C1224" s="25" t="str"/>
      <x:c r="D1224" s="25" t="str">
        <x:v>; Verena Jörg</x:v>
      </x:c>
      <x:c r="E1224" s="25" t="str"/>
      <x:c r="F1224" s="25" t="str">
        <x:v>10.21248/gups.88318</x:v>
      </x:c>
      <x:c r="G1224" s="25" t="str">
        <x:v>https://doi.org/10.21248/gups.88318</x:v>
      </x:c>
      <x:c r="H1224" s="25" t="str">
        <x:v>Crossref</x:v>
      </x:c>
      <x:c r="I1224" s="25" t="str">
        <x:v>C15_proactive_interruption</x:v>
      </x:c>
      <x:c r="J1224" s="25" t="str">
        <x:v>Exclude</x:v>
      </x:c>
      <x:c r="K1224" s="25" t="str">
        <x:v>Exclude: adjacent/redundant or insufficiently theory-generative for DC1</x:v>
      </x:c>
    </x:row>
    <x:row r="1225">
      <x:c r="A1225" s="20" t="str">
        <x:v>R1221</x:v>
      </x:c>
      <x:c r="B1225" s="25" t="str">
        <x:v>Tangible interface for 3D object manipulation in public exhibitions</x:v>
      </x:c>
      <x:c r="C1225" s="25" t="n">
        <x:v>2017</x:v>
      </x:c>
      <x:c r="D1225" s="25" t="str">
        <x:v>F. Rayar</x:v>
      </x:c>
      <x:c r="E1225" s="25" t="str">
        <x:v>Proceedings of the 29th Conference on l'Interaction Homme-Machine</x:v>
      </x:c>
      <x:c r="F1225" s="25" t="str">
        <x:v>10.1145/3132129.3132149</x:v>
      </x:c>
      <x:c r="G1225" s="25" t="str">
        <x:v>https://doi.org/10.1145/3132129.3132149</x:v>
      </x:c>
      <x:c r="H1225" s="25" t="str">
        <x:v>Crossref</x:v>
      </x:c>
      <x:c r="I1225" s="25" t="str">
        <x:v>C1_3D_mental_models</x:v>
      </x:c>
      <x:c r="J1225" s="25" t="str">
        <x:v>Exclude</x:v>
      </x:c>
      <x:c r="K1225" s="25" t="str">
        <x:v>Exclude: adjacent/redundant or insufficiently theory-generative for DC1</x:v>
      </x:c>
    </x:row>
    <x:row r="1226">
      <x:c r="A1226" s="20" t="str">
        <x:v>R1222</x:v>
      </x:c>
      <x:c r="B1226" s="25" t="str">
        <x:v>Task Analysis at the Heart of Human-Computer Interaction</x:v>
      </x:c>
      <x:c r="C1226" s="25" t="n">
        <x:v>2006</x:v>
      </x:c>
      <x:c r="D1226" s="25" t="str">
        <x:v>Dan Diaper</x:v>
      </x:c>
      <x:c r="E1226" s="25" t="str">
        <x:v>Encyclopedia of Human Computer Interaction</x:v>
      </x:c>
      <x:c r="F1226" s="25" t="str">
        <x:v>10.4018/978-1-59140-562-7.ch086</x:v>
      </x:c>
      <x:c r="G1226" s="25" t="str">
        <x:v>https://doi.org/10.4018/978-1-59140-562-7.ch086</x:v>
      </x:c>
      <x:c r="H1226" s="25" t="str">
        <x:v>Crossref</x:v>
      </x:c>
      <x:c r="I1226" s="25" t="str">
        <x:v>C18_video_intent_coding_VLM_annotation</x:v>
      </x:c>
      <x:c r="J1226" s="25" t="str">
        <x:v>Exclude</x:v>
      </x:c>
      <x:c r="K1226" s="25" t="str">
        <x:v>Exclude: topic mismatch</x:v>
      </x:c>
    </x:row>
    <x:row r="1227">
      <x:c r="A1227" s="20" t="str">
        <x:v>R1223</x:v>
      </x:c>
      <x:c r="B1227" s="25" t="str">
        <x:v>Team Hizashi Racing Concept—From CAD to Complete</x:v>
      </x:c>
      <x:c r="C1227" s="25" t="n">
        <x:v>2012</x:v>
      </x:c>
      <x:c r="D1227" s="25" t="str">
        <x:v>Johal Gow</x:v>
      </x:c>
      <x:c r="E1227" s="25" t="str">
        <x:v>3d Automotive Modeling</x:v>
      </x:c>
      <x:c r="F1227" s="25" t="str">
        <x:v>10.4324/9780240814292-6</x:v>
      </x:c>
      <x:c r="G1227" s="25" t="str">
        <x:v>https://doi.org/10.4324/9780240814292-6</x:v>
      </x:c>
      <x:c r="H1227" s="25" t="str">
        <x:v>Crossref</x:v>
      </x:c>
      <x:c r="I1227" s="25" t="str">
        <x:v>C13_CAD_design_intent</x:v>
      </x:c>
      <x:c r="J1227" s="25" t="str">
        <x:v>Exclude</x:v>
      </x:c>
      <x:c r="K1227" s="25" t="str">
        <x:v>Exclude: topic mismatch</x:v>
      </x:c>
    </x:row>
    <x:row r="1228">
      <x:c r="A1228" s="20" t="str">
        <x:v>R1224</x:v>
      </x:c>
      <x:c r="B1228" s="25" t="str">
        <x:v>The Agentic Governance Benchmark: A Standardized Framework for Measuring Runtime Governance Enforcement in Autonomous AI Systems</x:v>
      </x:c>
      <x:c r="C1228" s="25" t="n">
        <x:v>2026</x:v>
      </x:c>
      <x:c r="D1228" s="25" t="str">
        <x:v>James D. Benton</x:v>
      </x:c>
      <x:c r="E1228" s="25" t="str">
        <x:v>Open MIND</x:v>
      </x:c>
      <x:c r="F1228" s="25" t="str">
        <x:v>10.5281/zenodo.20496564</x:v>
      </x:c>
      <x:c r="G1228" s="25" t="str">
        <x:v>https://papers.ssrn.com/sol3/Delivery.cfm/6290760.pdf?abstractid=6290760&amp;mirid=1</x:v>
      </x:c>
      <x:c r="H1228" s="25" t="str">
        <x:v>OpenAlex</x:v>
      </x:c>
      <x:c r="I1228" s="25" t="str">
        <x:v>C16_memory_conflict_bias</x:v>
      </x:c>
      <x:c r="J1228" s="25" t="str">
        <x:v>Exclude</x:v>
      </x:c>
      <x:c r="K1228" s="25" t="str">
        <x:v>Exclude: adjacent/redundant or insufficiently theory-generative for DC1</x:v>
      </x:c>
    </x:row>
    <x:row r="1229">
      <x:c r="A1229" s="20" t="str">
        <x:v>R1225</x:v>
      </x:c>
      <x:c r="B1229" s="25" t="str">
        <x:v>The Alignment Paradox: A Semantic Reframing of AI-Human Co-Creation</x:v>
      </x:c>
      <x:c r="C1229" s="25" t="n">
        <x:v>2025</x:v>
      </x:c>
      <x:c r="D1229" s="25" t="str">
        <x:v>Aura Biru</x:v>
      </x:c>
      <x:c r="E1229" s="25" t="str"/>
      <x:c r="F1229" s="25" t="str">
        <x:v>10.22541/au.175615724.42368859/v1</x:v>
      </x:c>
      <x:c r="G1229" s="25" t="str">
        <x:v>https://doi.org/10.22541/au.175615724.42368859/v1</x:v>
      </x:c>
      <x:c r="H1229" s="25" t="str">
        <x:v>Crossref</x:v>
      </x:c>
      <x:c r="I1229" s="25" t="str">
        <x:v>C7_creative_agency</x:v>
      </x:c>
      <x:c r="J1229" s="25" t="str">
        <x:v>Exclude</x:v>
      </x:c>
      <x:c r="K1229" s="25" t="str">
        <x:v>Exclude: adjacent/redundant or insufficiently theory-generative for DC1</x:v>
      </x:c>
    </x:row>
    <x:row r="1230">
      <x:c r="A1230" s="20" t="str">
        <x:v>R1226</x:v>
      </x:c>
      <x:c r="B1230" s="25" t="str">
        <x:v>The Bridge Watch suicide prevention initiative: a mixed-methods evaluation</x:v>
      </x:c>
      <x:c r="C1230" s="25" t="n">
        <x:v>2025</x:v>
      </x:c>
      <x:c r="D1230" s="25" t="str">
        <x:v>Nicholas Woodrow</x:v>
      </x:c>
      <x:c r="E1230" s="25" t="str"/>
      <x:c r="F1230" s="25" t="str">
        <x:v>10.36399/gla.pubs.362703</x:v>
      </x:c>
      <x:c r="G1230" s="25" t="str">
        <x:v>https://doi.org/10.36399/gla.pubs.362703</x:v>
      </x:c>
      <x:c r="H1230" s="25" t="str">
        <x:v>Crossref</x:v>
      </x:c>
      <x:c r="I1230" s="25" t="str">
        <x:v>C15_proactive_interruption</x:v>
      </x:c>
      <x:c r="J1230" s="25" t="str">
        <x:v>Exclude</x:v>
      </x:c>
      <x:c r="K1230" s="25" t="str">
        <x:v>Exclude: adjacent/redundant or insufficiently theory-generative for DC1</x:v>
      </x:c>
    </x:row>
    <x:row r="1231">
      <x:c r="A1231" s="20" t="str">
        <x:v>R1227</x:v>
      </x:c>
      <x:c r="B1231" s="25" t="str">
        <x:v>The C.O. AI&amp;amp;amp;I; Model: A Dyadic Framework for Human-AI Co-Creation</x:v>
      </x:c>
      <x:c r="C1231" s="25" t="n">
        <x:v>2025</x:v>
      </x:c>
      <x:c r="D1231" s="25" t="str">
        <x:v>Smadar Baciu</x:v>
      </x:c>
      <x:c r="E1231" s="25" t="str"/>
      <x:c r="F1231" s="25" t="str">
        <x:v>10.2139/ssrn.5491272</x:v>
      </x:c>
      <x:c r="G1231" s="25" t="str">
        <x:v>https://doi.org/10.2139/ssrn.5491272</x:v>
      </x:c>
      <x:c r="H1231" s="25" t="str">
        <x:v>Crossref</x:v>
      </x:c>
      <x:c r="I1231" s="25" t="str">
        <x:v>C7_creative_agency</x:v>
      </x:c>
      <x:c r="J1231" s="25" t="str">
        <x:v>Exclude</x:v>
      </x:c>
      <x:c r="K1231" s="25" t="str">
        <x:v>Exclude: topic mismatch</x:v>
      </x:c>
    </x:row>
    <x:row r="1232">
      <x:c r="A1232" s="20" t="str">
        <x:v>R1228</x:v>
      </x:c>
      <x:c r="B1232" s="25" t="str">
        <x:v>The Collaboration Protocol: Silent Intent Inference as an Accountability Challenge in Human-LLM Interaction</x:v>
      </x:c>
      <x:c r="C1232" s="25" t="n">
        <x:v>2026</x:v>
      </x:c>
      <x:c r="D1232" s="25" t="str">
        <x:v>Mohamed Salama</x:v>
      </x:c>
      <x:c r="E1232" s="25" t="str"/>
      <x:c r="F1232" s="25" t="str">
        <x:v>10.36227/techrxiv.177006153.39365379/v1</x:v>
      </x:c>
      <x:c r="G1232" s="25" t="str">
        <x:v>https://doi.org/10.36227/techrxiv.177006153.39365379/v1</x:v>
      </x:c>
      <x:c r="H1232" s="25" t="str">
        <x:v>Crossref</x:v>
      </x:c>
      <x:c r="I1232" s="25" t="str">
        <x:v>C2_interaction_signals; C4_uncertainty_shared_autonomy; C6_frontend_GUI_intent</x:v>
      </x:c>
      <x:c r="J1232" s="25" t="str">
        <x:v>Exclude</x:v>
      </x:c>
      <x:c r="K1232" s="25" t="str">
        <x:v>Exclude: adjacent/redundant or insufficiently theory-generative for DC1</x:v>
      </x:c>
    </x:row>
    <x:row r="1233">
      <x:c r="A1233" s="20" t="str">
        <x:v>R1229</x:v>
      </x:c>
      <x:c r="B1233" s="25" t="str">
        <x:v>The Decision No One Authored: The Answerability Gap in Generative AI</x:v>
      </x:c>
      <x:c r="C1233" s="25" t="n">
        <x:v>2026</x:v>
      </x:c>
      <x:c r="D1233" s="25" t="str">
        <x:v>Luke F. Walton</x:v>
      </x:c>
      <x:c r="E1233" s="25" t="str">
        <x:v>Zenodo (CERN European Organization for Nuclear Research)</x:v>
      </x:c>
      <x:c r="F1233" s="25" t="str">
        <x:v>10.5281/zenodo.20614375</x:v>
      </x:c>
      <x:c r="G1233" s="25" t="str">
        <x:v>https://lukefwalton.com/writing/the-decision-no-one-authored/</x:v>
      </x:c>
      <x:c r="H1233" s="25" t="str">
        <x:v>OpenAlex</x:v>
      </x:c>
      <x:c r="I1233" s="25" t="str">
        <x:v>C16_memory_conflict_bias</x:v>
      </x:c>
      <x:c r="J1233" s="25" t="str">
        <x:v>Exclude</x:v>
      </x:c>
      <x:c r="K1233" s="25" t="str">
        <x:v>Exclude: topic mismatch</x:v>
      </x:c>
    </x:row>
    <x:row r="1234">
      <x:c r="A1234" s="20" t="str">
        <x:v>R1230</x:v>
      </x:c>
      <x:c r="B1234" s="25" t="str">
        <x:v>The Dilemmas of Moral Autonomy in the Transfer of Human Consciousness to AI</x:v>
      </x:c>
      <x:c r="C1234" s="25" t="n">
        <x:v>2025</x:v>
      </x:c>
      <x:c r="D1234" s="25" t="str">
        <x:v>Denis Chiriac</x:v>
      </x:c>
      <x:c r="E1234" s="25" t="str">
        <x:v>Proceedings of the AAAI/ACM Conference on AI, Ethics, and Society</x:v>
      </x:c>
      <x:c r="F1234" s="25" t="str">
        <x:v>10.1609/aies.v8i3.36770</x:v>
      </x:c>
      <x:c r="G1234" s="25" t="str">
        <x:v>https://doi.org/10.1609/aies.v8i3.36770</x:v>
      </x:c>
      <x:c r="H1234" s="25" t="str">
        <x:v>Crossref</x:v>
      </x:c>
      <x:c r="I1234" s="25" t="str">
        <x:v>C9_human_agent_handoff</x:v>
      </x:c>
      <x:c r="J1234" s="25" t="str">
        <x:v>Exclude</x:v>
      </x:c>
      <x:c r="K1234" s="25" t="str">
        <x:v>Exclude: adjacent/redundant or insufficiently theory-generative for DC1</x:v>
      </x:c>
    </x:row>
    <x:row r="1235">
      <x:c r="A1235" s="20" t="str">
        <x:v>R1231</x:v>
      </x:c>
      <x:c r="B1235" s="25" t="str">
        <x:v>The Director’s Initiative Project on AI [Slides]</x:v>
      </x:c>
      <x:c r="C1235" s="25" t="n">
        <x:v>2024</x:v>
      </x:c>
      <x:c r="D1235" s="25" t="str">
        <x:v>Earl Lawrence; Jason Pruet</x:v>
      </x:c>
      <x:c r="E1235" s="25" t="str"/>
      <x:c r="F1235" s="25" t="str">
        <x:v>10.2172/2318911</x:v>
      </x:c>
      <x:c r="G1235" s="25" t="str">
        <x:v>https://doi.org/10.2172/2318911</x:v>
      </x:c>
      <x:c r="H1235" s="25" t="str">
        <x:v>Crossref</x:v>
      </x:c>
      <x:c r="I1235" s="25" t="str">
        <x:v>C15_proactive_interruption</x:v>
      </x:c>
      <x:c r="J1235" s="25" t="str">
        <x:v>Exclude</x:v>
      </x:c>
      <x:c r="K1235" s="25" t="str">
        <x:v>Exclude: adjacent/redundant or insufficiently theory-generative for DC1</x:v>
      </x:c>
    </x:row>
    <x:row r="1236">
      <x:c r="A1236" s="20" t="str">
        <x:v>R1232</x:v>
      </x:c>
      <x:c r="B1236" s="25" t="str">
        <x:v>The Driver and Its GUI (Graphical User Interface)</x:v>
      </x:c>
      <x:c r="C1236" s="25" t="n">
        <x:v>2018</x:v>
      </x:c>
      <x:c r="D1236" s="25" t="str">
        <x:v>Mikuláš Hajduk; Marek Sukop; Matthias Haun</x:v>
      </x:c>
      <x:c r="E1236" s="25" t="str">
        <x:v>Studies in Systems, Decision and Control</x:v>
      </x:c>
      <x:c r="F1236" s="25" t="str">
        <x:v>10.1007/978-3-319-93687-1_10</x:v>
      </x:c>
      <x:c r="G1236" s="25" t="str">
        <x:v>https://doi.org/10.1007/978-3-319-93687-1_10</x:v>
      </x:c>
      <x:c r="H1236" s="25" t="str">
        <x:v>Crossref</x:v>
      </x:c>
      <x:c r="I1236" s="25" t="str">
        <x:v>C6_frontend_GUI_intent</x:v>
      </x:c>
      <x:c r="J1236" s="25" t="str">
        <x:v>Exclude</x:v>
      </x:c>
      <x:c r="K1236" s="25" t="str">
        <x:v>Exclude: topic mismatch</x:v>
      </x:c>
    </x:row>
    <x:row r="1237">
      <x:c r="A1237" s="20" t="str">
        <x:v>R1233</x:v>
      </x:c>
      <x:c r="B1237" s="25" t="str">
        <x:v>The Dynamics of Semantic and Temporal Cuing During Episodic Memory Retrieval</x:v>
      </x:c>
      <x:c r="C1237" s="25" t="n">
        <x:v>2008</x:v>
      </x:c>
      <x:c r="D1237" s="25" t="str">
        <x:v>Per B. Sederberg; Kenneth A. Norman</x:v>
      </x:c>
      <x:c r="E1237" s="25" t="str">
        <x:v>PsycEXTRA Dataset</x:v>
      </x:c>
      <x:c r="F1237" s="25" t="str">
        <x:v>10.1037/e527312012-919</x:v>
      </x:c>
      <x:c r="G1237" s="25" t="str">
        <x:v>https://doi.org/10.1037/e527312012-919</x:v>
      </x:c>
      <x:c r="H1237" s="25" t="str">
        <x:v>Crossref</x:v>
      </x:c>
      <x:c r="I1237" s="25" t="str">
        <x:v>C5_agent_memory</x:v>
      </x:c>
      <x:c r="J1237" s="25" t="str">
        <x:v>Exclude</x:v>
      </x:c>
      <x:c r="K1237" s="25" t="str">
        <x:v>Exclude: adjacent/redundant or insufficiently theory-generative for DC1</x:v>
      </x:c>
    </x:row>
    <x:row r="1238">
      <x:c r="A1238" s="20" t="str">
        <x:v>R1234</x:v>
      </x:c>
      <x:c r="B1238" s="25" t="str">
        <x:v>The Meaning Audit Protocol (MAP): A Forensic Audit Method for Detecting Interpretive Authority Transfer in Human-AI Interaction</x:v>
      </x:c>
      <x:c r="C1238" s="25" t="n">
        <x:v>2026</x:v>
      </x:c>
      <x:c r="D1238" s="25" t="str">
        <x:v>Hillary Segeren</x:v>
      </x:c>
      <x:c r="E1238" s="25" t="str"/>
      <x:c r="F1238" s="25" t="str">
        <x:v>10.2139/ssrn.6302141</x:v>
      </x:c>
      <x:c r="G1238" s="25" t="str">
        <x:v>https://doi.org/10.2139/ssrn.6302141</x:v>
      </x:c>
      <x:c r="H1238" s="25" t="str">
        <x:v>Crossref</x:v>
      </x:c>
      <x:c r="I1238" s="25" t="str">
        <x:v>C9_human_agent_handoff</x:v>
      </x:c>
      <x:c r="J1238" s="25" t="str">
        <x:v>Exclude</x:v>
      </x:c>
      <x:c r="K1238" s="25" t="str">
        <x:v>Exclude: topic mismatch</x:v>
      </x:c>
    </x:row>
    <x:row r="1239">
      <x:c r="A1239" s="20" t="str">
        <x:v>R1235</x:v>
      </x:c>
      <x:c r="B1239" s="25" t="str">
        <x:v>The Power of Multi-Modal Interactions</x:v>
      </x:c>
      <x:c r="C1239" s="25" t="n">
        <x:v>2018</x:v>
      </x:c>
      <x:c r="D1239" s="25" t="str">
        <x:v>Ritwik Dasgupta</x:v>
      </x:c>
      <x:c r="E1239" s="25" t="str">
        <x:v>Voice User Interface Design</x:v>
      </x:c>
      <x:c r="F1239" s="25" t="str">
        <x:v>10.1007/978-1-4842-4125-7_4</x:v>
      </x:c>
      <x:c r="G1239" s="25" t="str">
        <x:v>https://doi.org/10.1007/978-1-4842-4125-7_4</x:v>
      </x:c>
      <x:c r="H1239" s="25" t="str">
        <x:v>Crossref</x:v>
      </x:c>
      <x:c r="I1239" s="25" t="str">
        <x:v>C6_frontend_GUI_intent</x:v>
      </x:c>
      <x:c r="J1239" s="25" t="str">
        <x:v>Exclude</x:v>
      </x:c>
      <x:c r="K1239" s="25" t="str">
        <x:v>Exclude: topic mismatch</x:v>
      </x:c>
    </x:row>
    <x:row r="1240">
      <x:c r="A1240" s="20" t="str">
        <x:v>R1236</x:v>
      </x:c>
      <x:c r="B1240" s="25" t="str">
        <x:v>The Proactive Initiative ManuFuture Roadmap</x:v>
      </x:c>
      <x:c r="C1240" s="25" t="str"/>
      <x:c r="D1240" s="25" t="str">
        <x:v>Francesco Jovane; Engelbert Westkämper; David Williams</x:v>
      </x:c>
      <x:c r="E1240" s="25" t="str">
        <x:v>The ManuFuture Road</x:v>
      </x:c>
      <x:c r="F1240" s="25" t="str">
        <x:v>10.1007/978-3-540-77012-1_6</x:v>
      </x:c>
      <x:c r="G1240" s="25" t="str">
        <x:v>https://doi.org/10.1007/978-3-540-77012-1_6</x:v>
      </x:c>
      <x:c r="H1240" s="25" t="str">
        <x:v>Crossref</x:v>
      </x:c>
      <x:c r="I1240" s="25" t="str">
        <x:v>C15_proactive_interruption</x:v>
      </x:c>
      <x:c r="J1240" s="25" t="str">
        <x:v>Exclude</x:v>
      </x:c>
      <x:c r="K1240" s="25" t="str">
        <x:v>Exclude: adjacent/redundant or insufficiently theory-generative for DC1</x:v>
      </x:c>
    </x:row>
    <x:row r="1241">
      <x:c r="A1241" s="20" t="str">
        <x:v>R1237</x:v>
      </x:c>
      <x:c r="B1241" s="25" t="str">
        <x:v>The Proving Ground</x:v>
      </x:c>
      <x:c r="C1241" s="25" t="n">
        <x:v>2026</x:v>
      </x:c>
      <x:c r="D1241" s="25" t="str">
        <x:v>Patrick D. Lynch</x:v>
      </x:c>
      <x:c r="E1241" s="25" t="str">
        <x:v>How To Outsmart AI and Thrive</x:v>
      </x:c>
      <x:c r="F1241" s="25" t="str">
        <x:v>10.4324/9781003660538-21</x:v>
      </x:c>
      <x:c r="G1241" s="25" t="str">
        <x:v>https://doi.org/10.4324/9781003660538-21</x:v>
      </x:c>
      <x:c r="H1241" s="25" t="str">
        <x:v>Crossref</x:v>
      </x:c>
      <x:c r="I1241" s="25" t="str">
        <x:v>C12_common_ground_repair</x:v>
      </x:c>
      <x:c r="J1241" s="25" t="str">
        <x:v>Exclude</x:v>
      </x:c>
      <x:c r="K1241" s="25" t="str">
        <x:v>Exclude: topic mismatch</x:v>
      </x:c>
    </x:row>
    <x:row r="1242">
      <x:c r="A1242" s="20" t="str">
        <x:v>R1238</x:v>
      </x:c>
      <x:c r="B1242" s="25" t="str">
        <x:v>The Psychological Costs of Proactive AI Initiative at Work</x:v>
      </x:c>
      <x:c r="C1242" s="25" t="n">
        <x:v>2026</x:v>
      </x:c>
      <x:c r="D1242" s="25" t="str">
        <x:v>Dana Harari; Ofra Amir</x:v>
      </x:c>
      <x:c r="E1242" s="25" t="str">
        <x:v>Proceedings of the 5th Annual Symposium on Human-Computer Interaction for Work</x:v>
      </x:c>
      <x:c r="F1242" s="25" t="str">
        <x:v>10.1145/3808045.3808054</x:v>
      </x:c>
      <x:c r="G1242" s="25" t="str">
        <x:v>https://doi.org/10.1145/3808045.3808054</x:v>
      </x:c>
      <x:c r="H1242" s="25" t="str">
        <x:v>Crossref</x:v>
      </x:c>
      <x:c r="I1242" s="25" t="str">
        <x:v>C15_proactive_interruption</x:v>
      </x:c>
      <x:c r="J1242" s="25" t="str">
        <x:v>Exclude</x:v>
      </x:c>
      <x:c r="K1242" s="25" t="str">
        <x:v>Exclude: adjacent/redundant or insufficiently theory-generative for DC1</x:v>
      </x:c>
    </x:row>
    <x:row r="1243">
      <x:c r="A1243" s="20" t="str">
        <x:v>R1239</x:v>
      </x:c>
      <x:c r="B1243" s="25" t="str">
        <x:v>The Reasoning Paradigm: Evolution of E-commerce Ranking Models from Statistical Signals to User Intent Inference</x:v>
      </x:c>
      <x:c r="C1243" s="25" t="n">
        <x:v>2025</x:v>
      </x:c>
      <x:c r="D1243" s="25" t="str">
        <x:v>Kartikaya Purohit</x:v>
      </x:c>
      <x:c r="E1243" s="25" t="str">
        <x:v>International Journal of Computational and Experimental Science and Engineering</x:v>
      </x:c>
      <x:c r="F1243" s="25" t="str">
        <x:v>10.22399/ijcesen.4463</x:v>
      </x:c>
      <x:c r="G1243" s="25" t="str">
        <x:v>https://doi.org/10.22399/ijcesen.4463</x:v>
      </x:c>
      <x:c r="H1243" s="25" t="str">
        <x:v>Crossref</x:v>
      </x:c>
      <x:c r="I1243" s="25" t="str">
        <x:v>C2_interaction_signals</x:v>
      </x:c>
      <x:c r="J1243" s="25" t="str">
        <x:v>Exclude</x:v>
      </x:c>
      <x:c r="K1243" s="25" t="str">
        <x:v>Exclude: adjacent/redundant or insufficiently theory-generative for DC1</x:v>
      </x:c>
    </x:row>
    <x:row r="1244">
      <x:c r="A1244" s="20" t="str">
        <x:v>R1240</x:v>
      </x:c>
      <x:c r="B1244" s="25" t="str">
        <x:v>The Role of Cognitive Task Analysis in the Application of Predictive Models of Human Performance</x:v>
      </x:c>
      <x:c r="C1244" s="25" t="n">
        <x:v>2000</x:v>
      </x:c>
      <x:c r="D1244" s="25" t="str"/>
      <x:c r="E1244" s="25" t="str">
        <x:v>Cognitive Task Analysis</x:v>
      </x:c>
      <x:c r="F1244" s="25" t="str">
        <x:v>10.4324/9781410605795-25</x:v>
      </x:c>
      <x:c r="G1244" s="25" t="str">
        <x:v>https://doi.org/10.4324/9781410605795-25</x:v>
      </x:c>
      <x:c r="H1244" s="25" t="str">
        <x:v>Crossref</x:v>
      </x:c>
      <x:c r="I1244" s="25" t="str">
        <x:v>C18_video_intent_coding_VLM_annotation</x:v>
      </x:c>
      <x:c r="J1244" s="25" t="str">
        <x:v>Exclude</x:v>
      </x:c>
      <x:c r="K1244" s="25" t="str">
        <x:v>Exclude: topic mismatch</x:v>
      </x:c>
    </x:row>
    <x:row r="1245">
      <x:c r="A1245" s="20" t="str">
        <x:v>R1241</x:v>
      </x:c>
      <x:c r="B1245" s="25" t="str">
        <x:v>The cognitive task analysis report</x:v>
      </x:c>
      <x:c r="C1245" s="25" t="n">
        <x:v>2017</x:v>
      </x:c>
      <x:c r="D1245" s="25" t="str"/>
      <x:c r="E1245" s="25" t="str">
        <x:v>Applied Cognitive Task Analysis in Aviation</x:v>
      </x:c>
      <x:c r="F1245" s="25" t="str">
        <x:v>10.4324/9781315262321-22</x:v>
      </x:c>
      <x:c r="G1245" s="25" t="str">
        <x:v>https://doi.org/10.4324/9781315262321-22</x:v>
      </x:c>
      <x:c r="H1245" s="25" t="str">
        <x:v>Crossref</x:v>
      </x:c>
      <x:c r="I1245" s="25" t="str">
        <x:v>C18_video_intent_coding_VLM_annotation</x:v>
      </x:c>
      <x:c r="J1245" s="25" t="str">
        <x:v>Exclude</x:v>
      </x:c>
      <x:c r="K1245" s="25" t="str">
        <x:v>Exclude: topic mismatch</x:v>
      </x:c>
    </x:row>
    <x:row r="1246">
      <x:c r="A1246" s="20" t="str">
        <x:v>R1242</x:v>
      </x:c>
      <x:c r="B1246" s="25" t="str">
        <x:v>The learner, embodied cognition and the affordance of learning environments</x:v>
      </x:c>
      <x:c r="C1246" s="25" t="n">
        <x:v>2022</x:v>
      </x:c>
      <x:c r="D1246" s="25" t="str"/>
      <x:c r="E1246" s="25" t="str">
        <x:v>The Science of Learning and Development in Education</x:v>
      </x:c>
      <x:c r="F1246" s="25" t="str">
        <x:v>10.1017/9781009005012.011</x:v>
      </x:c>
      <x:c r="G1246" s="25" t="str">
        <x:v>https://doi.org/10.1017/9781009005012.011</x:v>
      </x:c>
      <x:c r="H1246" s="25" t="str">
        <x:v>Crossref</x:v>
      </x:c>
      <x:c r="I1246" s="25" t="str">
        <x:v>C10_affordance_embodied</x:v>
      </x:c>
      <x:c r="J1246" s="25" t="str">
        <x:v>Exclude</x:v>
      </x:c>
      <x:c r="K1246" s="25" t="str">
        <x:v>Exclude: topic mismatch</x:v>
      </x:c>
    </x:row>
    <x:row r="1247">
      <x:c r="A1247" s="20" t="str">
        <x:v>R1243</x:v>
      </x:c>
      <x:c r="B1247" s="25" t="str">
        <x:v>The responsible worker in the age of generative AI: How human-AI co-creation shapes experienced responsibility for work outcomes</x:v>
      </x:c>
      <x:c r="C1247" s="25" t="n">
        <x:v>2026</x:v>
      </x:c>
      <x:c r="D1247" s="25" t="str">
        <x:v>Richard Henkenjohann; Manuel Trenz</x:v>
      </x:c>
      <x:c r="E1247" s="25" t="str">
        <x:v>Decision Support Systems</x:v>
      </x:c>
      <x:c r="F1247" s="25" t="str">
        <x:v>10.1016/j.dss.2026.114699</x:v>
      </x:c>
      <x:c r="G1247" s="25" t="str">
        <x:v>https://doi.org/10.1016/j.dss.2026.114699</x:v>
      </x:c>
      <x:c r="H1247" s="25" t="str">
        <x:v>Crossref</x:v>
      </x:c>
      <x:c r="I1247" s="25" t="str">
        <x:v>C3_mixed_initiative_cocreation</x:v>
      </x:c>
      <x:c r="J1247" s="25" t="str">
        <x:v>Exclude</x:v>
      </x:c>
      <x:c r="K1247" s="25" t="str">
        <x:v>Exclude: topic mismatch</x:v>
      </x:c>
    </x:row>
    <x:row r="1248">
      <x:c r="A1248" s="20" t="str">
        <x:v>R1244</x:v>
      </x:c>
      <x:c r="B1248" s="25" t="str">
        <x:v>The safety failures we are not instrumenting: a perspective on hidden safety-critical challenges in modern AI systems</x:v>
      </x:c>
      <x:c r="C1248" s="25" t="n">
        <x:v>2026</x:v>
      </x:c>
      <x:c r="D1248" s="25" t="str">
        <x:v>Gjergji Kasneci; Enkelejda Kasneci</x:v>
      </x:c>
      <x:c r="E1248" s="25" t="str">
        <x:v>AI and Ethics</x:v>
      </x:c>
      <x:c r="F1248" s="25" t="str">
        <x:v>10.1007/s43681-026-01132-0</x:v>
      </x:c>
      <x:c r="G1248" s="25" t="str">
        <x:v>https://doi.org/10.1007/s43681-026-01132-0</x:v>
      </x:c>
      <x:c r="H1248" s="25" t="str">
        <x:v>OpenAlex</x:v>
      </x:c>
      <x:c r="I1248" s="25" t="str">
        <x:v>C16_memory_conflict_bias</x:v>
      </x:c>
      <x:c r="J1248" s="25" t="str">
        <x:v>Exclude</x:v>
      </x:c>
      <x:c r="K1248" s="25" t="str">
        <x:v>Exclude: adjacent/redundant or insufficiently theory-generative for DC1</x:v>
      </x:c>
    </x:row>
    <x:row r="1249">
      <x:c r="A1249" s="20" t="str">
        <x:v>R1245</x:v>
      </x:c>
      <x:c r="B1249" s="25" t="str">
        <x:v>Toward Better Support for Screenwriters: Understanding How AI Co-Creation Transforms the Creative Process of Screenwriting</x:v>
      </x:c>
      <x:c r="C1249" s="25" t="n">
        <x:v>2026</x:v>
      </x:c>
      <x:c r="D1249" s="25" t="str">
        <x:v>Yuran Qian</x:v>
      </x:c>
      <x:c r="E1249" s="25" t="str">
        <x:v>Proceedings of the 2026 Conference on Creativity and Cognition</x:v>
      </x:c>
      <x:c r="F1249" s="25" t="str">
        <x:v>10.1145/3803784.3804476</x:v>
      </x:c>
      <x:c r="G1249" s="25" t="str">
        <x:v>https://doi.org/10.1145/3803784.3804476</x:v>
      </x:c>
      <x:c r="H1249" s="25" t="str">
        <x:v>Crossref</x:v>
      </x:c>
      <x:c r="I1249" s="25" t="str">
        <x:v>C14_agency_ownership; C3_mixed_initiative_cocreation</x:v>
      </x:c>
      <x:c r="J1249" s="25" t="str">
        <x:v>Exclude</x:v>
      </x:c>
      <x:c r="K1249" s="25" t="str">
        <x:v>Exclude: adjacent/redundant or insufficiently theory-generative for DC1</x:v>
      </x:c>
    </x:row>
    <x:row r="1250">
      <x:c r="A1250" s="20" t="str">
        <x:v>R1246</x:v>
      </x:c>
      <x:c r="B1250" s="25" t="str">
        <x:v>Toward Predictive Modeling of Microneedle Design: Establishing a Correlation Between CAD Models, 3D Printed Arrays, and PDMS Molds</x:v>
      </x:c>
      <x:c r="C1250" s="25" t="n">
        <x:v>2025</x:v>
      </x:c>
      <x:c r="D1250" s="25" t="str">
        <x:v>Vivek Kumar Tiwari; Shawana Tabassum</x:v>
      </x:c>
      <x:c r="E1250" s="25" t="str"/>
      <x:c r="F1250" s="25" t="str">
        <x:v>10.1101/2025.04.05.647392</x:v>
      </x:c>
      <x:c r="G1250" s="25" t="str">
        <x:v>https://doi.org/10.1101/2025.04.05.647392</x:v>
      </x:c>
      <x:c r="H1250" s="25" t="str">
        <x:v>Crossref</x:v>
      </x:c>
      <x:c r="I1250" s="25" t="str">
        <x:v>C13_CAD_design_intent</x:v>
      </x:c>
      <x:c r="J1250" s="25" t="str">
        <x:v>Exclude</x:v>
      </x:c>
      <x:c r="K1250" s="25" t="str">
        <x:v>Exclude: adjacent/redundant or insufficiently theory-generative for DC1</x:v>
      </x:c>
    </x:row>
    <x:row r="1251">
      <x:c r="A1251" s="20" t="str">
        <x:v>R1247</x:v>
      </x:c>
      <x:c r="B1251" s="25" t="str">
        <x:v>Towards Accessible and Intuitive Shared Autonomy</x:v>
      </x:c>
      <x:c r="C1251" s="25" t="n">
        <x:v>2025</x:v>
      </x:c>
      <x:c r="D1251" s="25" t="str">
        <x:v>Shalutha Rajapakshe</x:v>
      </x:c>
      <x:c r="E1251" s="25" t="str">
        <x:v>2025 20th ACM/IEEE International Conference on Human-Robot Interaction (HRI)</x:v>
      </x:c>
      <x:c r="F1251" s="25" t="str">
        <x:v>10.1109/hri61500.2025.10973987</x:v>
      </x:c>
      <x:c r="G1251" s="25" t="str">
        <x:v>https://doi.org/10.1109/hri61500.2025.10973987</x:v>
      </x:c>
      <x:c r="H1251" s="25" t="str">
        <x:v>Crossref</x:v>
      </x:c>
      <x:c r="I1251" s="25" t="str">
        <x:v>C4_uncertainty_shared_autonomy</x:v>
      </x:c>
      <x:c r="J1251" s="25" t="str">
        <x:v>Exclude</x:v>
      </x:c>
      <x:c r="K1251" s="25" t="str">
        <x:v>Exclude: adjacent/redundant or insufficiently theory-generative for DC1</x:v>
      </x:c>
    </x:row>
    <x:row r="1252">
      <x:c r="A1252" s="20" t="str">
        <x:v>R1248</x:v>
      </x:c>
      <x:c r="B1252" s="25" t="str">
        <x:v>Trustworthy Recommendation in the Era of Large Language Models: Opportunities and Challenges</x:v>
      </x:c>
      <x:c r="C1252" s="25" t="n">
        <x:v>2026</x:v>
      </x:c>
      <x:c r="D1252" s="25" t="str">
        <x:v>Bohao Wang; Yu Cui; Zhenxiang Xu; Jujia Zhao; Chenxiao Fan; Jizhi Zhang; Weiqin Yang; Shengjia Zhang; Sirui Chen; Yang Zhang; Xiaoyan Zhao; Wenjie Wang; Chongming Gao; Fuli Feng; Xiangnan He; Jiawei Chen</x:v>
      </x:c>
      <x:c r="E1252" s="25" t="str">
        <x:v>arXiv (Cornell University)</x:v>
      </x:c>
      <x:c r="F1252" s="25" t="str"/>
      <x:c r="G1252" s="25" t="str">
        <x:v>https://arxiv.org/abs/2606.00540</x:v>
      </x:c>
      <x:c r="H1252" s="25" t="str">
        <x:v>OpenAlex</x:v>
      </x:c>
      <x:c r="I1252" s="25" t="str">
        <x:v>C16_memory_conflict_bias</x:v>
      </x:c>
      <x:c r="J1252" s="25" t="str">
        <x:v>Exclude</x:v>
      </x:c>
      <x:c r="K1252" s="25" t="str">
        <x:v>Exclude: adjacent/redundant or insufficiently theory-generative for DC1</x:v>
      </x:c>
    </x:row>
    <x:row r="1253">
      <x:c r="A1253" s="20" t="str">
        <x:v>R1249</x:v>
      </x:c>
      <x:c r="B1253" s="25" t="str">
        <x:v>Understanding Direct Manipulation Interaction Algebraically</x:v>
      </x:c>
      <x:c r="C1253" s="25" t="n">
        <x:v>1995</x:v>
      </x:c>
      <x:c r="D1253" s="25" t="str">
        <x:v>Roger Took</x:v>
      </x:c>
      <x:c r="E1253" s="25" t="str">
        <x:v>Interactive Systems: Design, Specification, and Verification</x:v>
      </x:c>
      <x:c r="F1253" s="25" t="str">
        <x:v>10.1007/978-3-642-87115-3_25</x:v>
      </x:c>
      <x:c r="G1253" s="25" t="str">
        <x:v>https://doi.org/10.1007/978-3-642-87115-3_25</x:v>
      </x:c>
      <x:c r="H1253" s="25" t="str">
        <x:v>Crossref</x:v>
      </x:c>
      <x:c r="I1253" s="25" t="str">
        <x:v>C10_affordance_embodied</x:v>
      </x:c>
      <x:c r="J1253" s="25" t="str">
        <x:v>Exclude</x:v>
      </x:c>
      <x:c r="K1253" s="25" t="str">
        <x:v>Exclude: adjacent/redundant or insufficiently theory-generative for DC1</x:v>
      </x:c>
    </x:row>
    <x:row r="1254">
      <x:c r="A1254" s="20" t="str">
        <x:v>R1250</x:v>
      </x:c>
      <x:c r="B1254" s="25" t="str">
        <x:v>Upgrade of the Graphical User Interface (GUI) of otsdaq</x:v>
      </x:c>
      <x:c r="C1254" s="25" t="n">
        <x:v>2023</x:v>
      </x:c>
      <x:c r="D1254" s="25" t="str">
        <x:v>Brenda Najjuma</x:v>
      </x:c>
      <x:c r="E1254" s="25" t="str">
        <x:v>Upgrade of the Graphical User Interface (GUI) of otsdaq</x:v>
      </x:c>
      <x:c r="F1254" s="25" t="str">
        <x:v>10.2172/1996530</x:v>
      </x:c>
      <x:c r="G1254" s="25" t="str">
        <x:v>https://doi.org/10.2172/1996530</x:v>
      </x:c>
      <x:c r="H1254" s="25" t="str">
        <x:v>Crossref</x:v>
      </x:c>
      <x:c r="I1254" s="25" t="str">
        <x:v>C6_frontend_GUI_intent</x:v>
      </x:c>
      <x:c r="J1254" s="25" t="str">
        <x:v>Exclude</x:v>
      </x:c>
      <x:c r="K1254" s="25" t="str">
        <x:v>Exclude: topic mismatch</x:v>
      </x:c>
    </x:row>
    <x:row r="1255">
      <x:c r="A1255" s="20" t="str">
        <x:v>R1251</x:v>
      </x:c>
      <x:c r="B1255" s="25" t="str">
        <x:v>User Intent Communication in Robot-Assisted Shopping for the Blind</x:v>
      </x:c>
      <x:c r="C1255" s="25" t="n">
        <x:v>2009</x:v>
      </x:c>
      <x:c r="D1255" s="25" t="str">
        <x:v>Vladimir A.; Chaitanya Gharpure</x:v>
      </x:c>
      <x:c r="E1255" s="25" t="str">
        <x:v>Advances in Human-Robot Interaction</x:v>
      </x:c>
      <x:c r="F1255" s="25" t="str">
        <x:v>10.5772/6842</x:v>
      </x:c>
      <x:c r="G1255" s="25" t="str">
        <x:v>https://doi.org/10.5772/6842</x:v>
      </x:c>
      <x:c r="H1255" s="25" t="str">
        <x:v>Crossref</x:v>
      </x:c>
      <x:c r="I1255" s="25" t="str">
        <x:v>C2_interaction_signals</x:v>
      </x:c>
      <x:c r="J1255" s="25" t="str">
        <x:v>Exclude</x:v>
      </x:c>
      <x:c r="K1255" s="25" t="str">
        <x:v>Exclude: adjacent/redundant or insufficiently theory-generative for DC1</x:v>
      </x:c>
    </x:row>
    <x:row r="1256">
      <x:c r="A1256" s="20" t="str">
        <x:v>R1252</x:v>
      </x:c>
      <x:c r="B1256" s="25" t="str">
        <x:v>User Interaction for Human–AI Interaction and Collaboration</x:v>
      </x:c>
      <x:c r="C1256" s="25" t="n">
        <x:v>2025</x:v>
      </x:c>
      <x:c r="D1256" s="25" t="str">
        <x:v>Dan Wu; Qingyue Guo</x:v>
      </x:c>
      <x:c r="E1256" s="25" t="str">
        <x:v>Human-AI Interaction and Collaboration</x:v>
      </x:c>
      <x:c r="F1256" s="25" t="str">
        <x:v>10.1017/9781009587877.003</x:v>
      </x:c>
      <x:c r="G1256" s="25" t="str">
        <x:v>https://doi.org/10.1017/9781009587877.003</x:v>
      </x:c>
      <x:c r="H1256" s="25" t="str">
        <x:v>Crossref</x:v>
      </x:c>
      <x:c r="I1256" s="25" t="str">
        <x:v>C12_common_ground_repair</x:v>
      </x:c>
      <x:c r="J1256" s="25" t="str">
        <x:v>Exclude</x:v>
      </x:c>
      <x:c r="K1256" s="25" t="str">
        <x:v>Exclude: topic mismatch</x:v>
      </x:c>
    </x:row>
    <x:row r="1257">
      <x:c r="A1257" s="20" t="str">
        <x:v>R1253</x:v>
      </x:c>
      <x:c r="B1257" s="25" t="str">
        <x:v>User intent based recommendation for modern BI systems</x:v>
      </x:c>
      <x:c r="C1257" s="25" t="str"/>
      <x:c r="D1257" s="25" t="str">
        <x:v>; Krista Drushku</x:v>
      </x:c>
      <x:c r="E1257" s="25" t="str"/>
      <x:c r="F1257" s="25" t="str">
        <x:v>10.70675/e661694bz9248z4bdezb55fzac1558564ebf</x:v>
      </x:c>
      <x:c r="G1257" s="25" t="str">
        <x:v>https://doi.org/10.70675/e661694bz9248z4bdezb55fzac1558564ebf</x:v>
      </x:c>
      <x:c r="H1257" s="25" t="str">
        <x:v>Crossref</x:v>
      </x:c>
      <x:c r="I1257" s="25" t="str">
        <x:v>C2_interaction_signals</x:v>
      </x:c>
      <x:c r="J1257" s="25" t="str">
        <x:v>Exclude</x:v>
      </x:c>
      <x:c r="K1257" s="25" t="str">
        <x:v>Exclude: adjacent/redundant or insufficiently theory-generative for DC1</x:v>
      </x:c>
    </x:row>
    <x:row r="1258">
      <x:c r="A1258" s="20" t="str">
        <x:v>R1254</x:v>
      </x:c>
      <x:c r="B1258" s="25" t="str">
        <x:v>VLM-SFD: VLM-Assisted Siamese Flow Diffusion Framework for Dual-Arm Cooperative Manipulation_supp1-3627381.mp4</x:v>
      </x:c>
      <x:c r="C1258" s="25" t="str"/>
      <x:c r="D1258" s="25" t="str">
        <x:v>Yang Li</x:v>
      </x:c>
      <x:c r="E1258" s="25" t="str"/>
      <x:c r="F1258" s="25" t="str">
        <x:v>10.1109/lra.2025.3627381/mm1</x:v>
      </x:c>
      <x:c r="G1258" s="25" t="str">
        <x:v>https://doi.org/10.1109/lra.2025.3627381/mm1</x:v>
      </x:c>
      <x:c r="H1258" s="25" t="str">
        <x:v>Crossref</x:v>
      </x:c>
      <x:c r="I1258" s="25" t="str">
        <x:v>C18_video_intent_coding_VLM_annotation</x:v>
      </x:c>
      <x:c r="J1258" s="25" t="str">
        <x:v>Exclude</x:v>
      </x:c>
      <x:c r="K1258" s="25" t="str">
        <x:v>Exclude: adjacent/redundant or insufficiently theory-generative for DC1</x:v>
      </x:c>
    </x:row>
    <x:row r="1259">
      <x:c r="A1259" s="20" t="str">
        <x:v>R1255</x:v>
      </x:c>
      <x:c r="B1259" s="25" t="str">
        <x:v>Value Ownership in Human–AI Co-Creation: A Multi-Level Framework of Distributed Agency and Ethical Tensions</x:v>
      </x:c>
      <x:c r="C1259" s="25" t="n">
        <x:v>2026</x:v>
      </x:c>
      <x:c r="D1259" s="25" t="str">
        <x:v>Richard Abdulloh Mundzir; Rohimat Nurhasan</x:v>
      </x:c>
      <x:c r="E1259" s="25" t="str">
        <x:v>Manexia: Journal of Business, Management, and Creative Economy</x:v>
      </x:c>
      <x:c r="F1259" s="25" t="str">
        <x:v>10.66203/manexia.02206</x:v>
      </x:c>
      <x:c r="G1259" s="25" t="str">
        <x:v>https://doi.org/10.66203/manexia.02206</x:v>
      </x:c>
      <x:c r="H1259" s="25" t="str">
        <x:v>Crossref</x:v>
      </x:c>
      <x:c r="I1259" s="25" t="str">
        <x:v>C14_agency_ownership; C7_creative_agency</x:v>
      </x:c>
      <x:c r="J1259" s="25" t="str">
        <x:v>Exclude</x:v>
      </x:c>
      <x:c r="K1259" s="25" t="str">
        <x:v>Exclude: adjacent/redundant or insufficiently theory-generative for DC1</x:v>
      </x:c>
    </x:row>
    <x:row r="1260">
      <x:c r="A1260" s="20" t="str">
        <x:v>R1256</x:v>
      </x:c>
      <x:c r="B1260" s="25" t="str">
        <x:v>Web-based, 3D-assisted editing of production dailies</x:v>
      </x:c>
      <x:c r="C1260" s="25" t="n">
        <x:v>2013</x:v>
      </x:c>
      <x:c r="D1260" s="25" t="str">
        <x:v>Alun Evans; Josep Blat</x:v>
      </x:c>
      <x:c r="E1260" s="25" t="str">
        <x:v>Proceedings of the 18th International Conference on 3D Web Technology</x:v>
      </x:c>
      <x:c r="F1260" s="25" t="str">
        <x:v>10.1145/2466533.2466570</x:v>
      </x:c>
      <x:c r="G1260" s="25" t="str">
        <x:v>https://doi.org/10.1145/2466533.2466570</x:v>
      </x:c>
      <x:c r="H1260" s="25" t="str">
        <x:v>Crossref</x:v>
      </x:c>
      <x:c r="I1260" s="25" t="str">
        <x:v>C8_AI_3D_authoring</x:v>
      </x:c>
      <x:c r="J1260" s="25" t="str">
        <x:v>Exclude</x:v>
      </x:c>
      <x:c r="K1260" s="25" t="str">
        <x:v>Exclude: adjacent/redundant or insufficiently theory-generative for DC1</x:v>
      </x:c>
    </x:row>
    <x:row r="1261">
      <x:c r="A1261" s="20" t="str">
        <x:v>R1257</x:v>
      </x:c>
      <x:c r="B1261" s="25" t="str">
        <x:v>When AI Creates: Perceived Creativity, Coolness, and Attitudes toward Human–AI Co-Creation</x:v>
      </x:c>
      <x:c r="C1261" s="25" t="n">
        <x:v>2025</x:v>
      </x:c>
      <x:c r="D1261" s="25" t="str">
        <x:v>Veronika Peráčková; Jana Comová</x:v>
      </x:c>
      <x:c r="E1261" s="25" t="str">
        <x:v>Media &amp;amp; Marketing Identity</x:v>
      </x:c>
      <x:c r="F1261" s="25" t="str">
        <x:v>10.34135/mmidentity-2025-54</x:v>
      </x:c>
      <x:c r="G1261" s="25" t="str">
        <x:v>https://doi.org/10.34135/mmidentity-2025-54</x:v>
      </x:c>
      <x:c r="H1261" s="25" t="str">
        <x:v>Crossref</x:v>
      </x:c>
      <x:c r="I1261" s="25" t="str">
        <x:v>C3_mixed_initiative_cocreation</x:v>
      </x:c>
      <x:c r="J1261" s="25" t="str">
        <x:v>Exclude</x:v>
      </x:c>
      <x:c r="K1261" s="25" t="str">
        <x:v>Exclude: domain-specific signal model without transferable HCI theory</x:v>
      </x:c>
    </x:row>
    <x:row r="1262">
      <x:c r="A1262" s="20" t="str">
        <x:v>R1258</x:v>
      </x:c>
      <x:c r="B1262" s="25" t="str">
        <x:v>When to use cognitive task analysis</x:v>
      </x:c>
      <x:c r="C1262" s="25" t="n">
        <x:v>2017</x:v>
      </x:c>
      <x:c r="D1262" s="25" t="str"/>
      <x:c r="E1262" s="25" t="str">
        <x:v>Applied Cognitive Task Analysis in Aviation</x:v>
      </x:c>
      <x:c r="F1262" s="25" t="str">
        <x:v>10.4324/9781315262321-11</x:v>
      </x:c>
      <x:c r="G1262" s="25" t="str">
        <x:v>https://doi.org/10.4324/9781315262321-11</x:v>
      </x:c>
      <x:c r="H1262" s="25" t="str">
        <x:v>Crossref</x:v>
      </x:c>
      <x:c r="I1262" s="25" t="str">
        <x:v>C18_video_intent_coding_VLM_annotation</x:v>
      </x:c>
      <x:c r="J1262" s="25" t="str">
        <x:v>Exclude</x:v>
      </x:c>
      <x:c r="K1262" s="25" t="str">
        <x:v>Exclude: topic mismatch</x:v>
      </x:c>
    </x:row>
    <x:row r="1263">
      <x:c r="A1263" s="20" t="str">
        <x:v>R1259</x:v>
      </x:c>
      <x:c r="B1263" s="25" t="str">
        <x:v>Whose Common Ground? A Misunderstanding Caused by Incorrect Interpretations of the Lexical Markers of Common Ground</x:v>
      </x:c>
      <x:c r="C1263" s="25" t="n">
        <x:v>2006</x:v>
      </x:c>
      <x:c r="D1263" s="25" t="str">
        <x:v>Moeko Okada</x:v>
      </x:c>
      <x:c r="E1263" s="25" t="str">
        <x:v>Lexical Markers of Common Grounds</x:v>
      </x:c>
      <x:c r="F1263" s="25" t="str">
        <x:v>10.1163/9780080466316_011</x:v>
      </x:c>
      <x:c r="G1263" s="25" t="str">
        <x:v>https://doi.org/10.1163/9780080466316_011</x:v>
      </x:c>
      <x:c r="H1263" s="25" t="str">
        <x:v>Crossref</x:v>
      </x:c>
      <x:c r="I1263" s="25" t="str">
        <x:v>C12_common_ground_repair</x:v>
      </x:c>
      <x:c r="J1263" s="25" t="str">
        <x:v>Exclude</x:v>
      </x:c>
      <x:c r="K1263" s="25" t="str">
        <x:v>Exclude: topic mismatch</x:v>
      </x:c>
    </x:row>
    <x:row r="1264">
      <x:c r="A1264" s="20" t="str">
        <x:v>R1260</x:v>
      </x:c>
      <x:c r="B1264" s="25" t="str">
        <x:v>With the Wild
 Artmaking as Collaboration  with Wild Landscapes  and Their Inhabitants</x:v>
      </x:c>
      <x:c r="C1264" s="25" t="n">
        <x:v>2023</x:v>
      </x:c>
      <x:c r="D1264" s="25" t="str">
        <x:v>Pietro Consolandi</x:v>
      </x:c>
      <x:c r="E1264" s="25" t="str">
        <x:v>Building Common Ground
 Ecological Art Practices and Human-Nonhuman Knowledges</x:v>
      </x:c>
      <x:c r="F1264" s="25" t="str">
        <x:v>10.30687/978-88-6969-756-2/004</x:v>
      </x:c>
      <x:c r="G1264" s="25" t="str">
        <x:v>https://doi.org/10.30687/978-88-6969-756-2/004</x:v>
      </x:c>
      <x:c r="H1264" s="25" t="str">
        <x:v>Crossref</x:v>
      </x:c>
      <x:c r="I1264" s="25" t="str">
        <x:v>C12_common_ground_repair</x:v>
      </x:c>
      <x:c r="J1264" s="25" t="str">
        <x:v>Exclude</x:v>
      </x:c>
      <x:c r="K1264" s="25" t="str">
        <x:v>Exclude: topic mismatch</x:v>
      </x:c>
    </x:row>
    <x:row r="1265">
      <x:c r="A1265" s="20" t="str">
        <x:v>R1261</x:v>
      </x:c>
      <x:c r="B1265" s="25" t="str">
        <x:v>_8503</x:v>
      </x:c>
      <x:c r="C1265" s="25" t="str"/>
      <x:c r="D1265" s="25" t="str"/>
      <x:c r="E1265" s="25" t="str">
        <x:v>_8503</x:v>
      </x:c>
      <x:c r="F1265" s="25" t="str">
        <x:v>10.5270/esa-3g6djyb</x:v>
      </x:c>
      <x:c r="G1265" s="25" t="str">
        <x:v>https://doi.org/10.5270/esa-3g6djyb</x:v>
      </x:c>
      <x:c r="H1265" s="25" t="str">
        <x:v>Crossref</x:v>
      </x:c>
      <x:c r="I1265" s="25" t="str">
        <x:v>C17_3D_gesture_ambiguity</x:v>
      </x:c>
      <x:c r="J1265" s="25" t="str">
        <x:v>Exclude</x:v>
      </x:c>
      <x:c r="K1265" s="25" t="str">
        <x:v>Exclude: topic mismatch</x:v>
      </x:c>
    </x:row>
    <x:row r="1266">
      <x:c r="A1266" s="20" t="str">
        <x:v>R1262</x:v>
      </x:c>
      <x:c r="B1266" s="25" t="str">
        <x:v>attention interruption</x:v>
      </x:c>
      <x:c r="C1266" s="25" t="str"/>
      <x:c r="D1266" s="25" t="str"/>
      <x:c r="E1266" s="25" t="str">
        <x:v>SpringerReference</x:v>
      </x:c>
      <x:c r="F1266" s="25" t="str">
        <x:v>10.1007/springerreference_8387</x:v>
      </x:c>
      <x:c r="G1266" s="25" t="str">
        <x:v>https://doi.org/10.1007/springerreference_8387</x:v>
      </x:c>
      <x:c r="H1266" s="25" t="str">
        <x:v>Crossref</x:v>
      </x:c>
      <x:c r="I1266" s="25" t="str">
        <x:v>C15_proactive_interruption</x:v>
      </x:c>
      <x:c r="J1266" s="25" t="str">
        <x:v>Exclude</x:v>
      </x:c>
      <x:c r="K1266" s="25" t="str">
        <x:v>Exclude: topic mismatch</x:v>
      </x:c>
    </x:row>
  </x:sheetData>
  <x:mergeCells>
    <x:mergeCell ref="A1:K1"/>
    <x:mergeCell ref="A2:K2"/>
  </x:mergeCells>
  <x:conditionalFormatting sqref="J5:J1266">
    <x:cfRule type="containsText" dxfId="0" priority="1" operator="containsText" text="Include"/>
  </x:conditionalFormatting>
  <x:pageMargins left="0.7" right="0.7" top="0.75" bottom="0.75" header="0.3" footer="0.3"/>
  <x:tableParts count="1">
    <x:tablePart xmlns:r="http://schemas.openxmlformats.org/officeDocument/2006/relationships" r:id="Rbe5ac337ede3447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48" hidden="0" customWidth="1"/>
    <x:col min="3" max="3" width="9" hidden="0" customWidth="1"/>
    <x:col min="4" max="4" width="30" hidden="0" customWidth="1"/>
    <x:col min="5" max="5" width="25" hidden="0" customWidth="1"/>
    <x:col min="6" max="6" width="24" hidden="0" customWidth="1"/>
    <x:col min="7" max="7" width="40" hidden="0" customWidth="1"/>
    <x:col min="8" max="8" width="18" hidden="0" customWidth="1"/>
    <x:col min="9" max="9" width="22" hidden="0" customWidth="1"/>
    <x:col min="10" max="10" width="52" hidden="0" customWidth="1"/>
    <x:col min="11" max="11" width="58" hidden="0" customWidth="1"/>
    <x:col min="12" max="12" width="55" hidden="0" customWidth="1"/>
    <x:col min="13" max="13" width="26" hidden="0" customWidth="1"/>
    <x:col min="14" max="14" width="11" hidden="0" customWidth="1"/>
  </x:cols>
  <x:sheetData>
    <x:row r="1" ht="30" customHeight="1">
      <x:c r="A1" s="3" t="str">
        <x:v>重点纳入文献</x:v>
      </x:c>
    </x:row>
    <x:row r="2" ht="30" customHeight="1">
      <x:c r="A2" s="7" t="str">
        <x:v>97 篇理论生成性文献；URL/DOI 可追溯，综合内容为分析性转述。</x:v>
      </x:c>
    </x:row>
    <x:row r="4" ht="30" customHeight="1">
      <x:c r="A4" s="24" t="str">
        <x:v>ID</x:v>
      </x:c>
      <x:c r="B4" s="24" t="str">
        <x:v>题名</x:v>
      </x:c>
      <x:c r="C4" s="24" t="str">
        <x:v>年份</x:v>
      </x:c>
      <x:c r="D4" s="24" t="str">
        <x:v>作者</x:v>
      </x:c>
      <x:c r="E4" s="24" t="str">
        <x:v>出处</x:v>
      </x:c>
      <x:c r="F4" s="24" t="str">
        <x:v>DOI</x:v>
      </x:c>
      <x:c r="G4" s="24" t="str">
        <x:v>URL</x:v>
      </x:c>
      <x:c r="H4" s="24" t="str">
        <x:v>发现渠道</x:v>
      </x:c>
      <x:c r="I4" s="24" t="str">
        <x:v>主题</x:v>
      </x:c>
      <x:c r="J4" s="24" t="str">
        <x:v>理论贡献</x:v>
      </x:c>
      <x:c r="K4" s="24" t="str">
        <x:v>对 DC1 的启示</x:v>
      </x:c>
      <x:c r="L4" s="24" t="str">
        <x:v>接管边界</x:v>
      </x:c>
      <x:c r="M4" s="24" t="str">
        <x:v>证据访问</x:v>
      </x:c>
      <x:c r="N4" s="24" t="str">
        <x:v>决定</x:v>
      </x:c>
    </x:row>
    <x:row r="5">
      <x:c r="A5" s="20" t="str">
        <x:v>I01</x:v>
      </x:c>
      <x:c r="B5" s="25" t="str">
        <x:v>Direct manipulation: a step beyond programming languages</x:v>
      </x:c>
      <x:c r="C5" s="25" t="n">
        <x:v>1983</x:v>
      </x:c>
      <x:c r="D5" s="25" t="str"/>
      <x:c r="E5" s="25" t="str"/>
      <x:c r="F5" s="25" t="str">
        <x:v>10.1109/MC.1983.1654471</x:v>
      </x:c>
      <x:c r="G5" s="25" t="str">
        <x:v>https://doi.org/10.1109/MC.1983.1654471</x:v>
      </x:c>
      <x:c r="H5" s="25" t="str">
        <x:v>Seed/snowball</x:v>
      </x:c>
      <x:c r="I5" s="25" t="str">
        <x:v>Direct manipulation</x:v>
      </x:c>
      <x:c r="J5" s="25" t="str">
        <x:v>Persistent visible objects; rapid, reversible, incremental action reduces translation burden.</x:v>
      </x:c>
      <x:c r="K5" s="25" t="str">
        <x:v>Treat select/brush/drag as meaningful manipulation of domain objects, not merely UI events.</x:v>
      </x:c>
      <x:c r="L5" s="25" t="str">
        <x:v>Keep human control; automate only reversible previews when intent is still ambiguous.</x:v>
      </x:c>
      <x:c r="M5" s="25" t="str">
        <x:v>Full text or extended abstract/author copy inspected</x:v>
      </x:c>
      <x:c r="N5" s="25" t="str">
        <x:v>Include</x:v>
      </x:c>
    </x:row>
    <x:row r="6">
      <x:c r="A6" s="20" t="str">
        <x:v>I02</x:v>
      </x:c>
      <x:c r="B6" s="25" t="str">
        <x:v>Direct Manipulation Interfaces</x:v>
      </x:c>
      <x:c r="C6" s="25" t="n">
        <x:v>1985</x:v>
      </x:c>
      <x:c r="D6" s="25" t="str"/>
      <x:c r="E6" s="25" t="str"/>
      <x:c r="F6" s="25" t="str">
        <x:v>10.1207/s15327051hci0104_2</x:v>
      </x:c>
      <x:c r="G6" s="25" t="str">
        <x:v>https://doi.org/10.1207/s15327051hci0104_2</x:v>
      </x:c>
      <x:c r="H6" s="25" t="str">
        <x:v>Seed/snowball</x:v>
      </x:c>
      <x:c r="I6" s="25" t="str">
        <x:v>Mental models &amp; directness</x:v>
      </x:c>
      <x:c r="J6" s="25" t="str">
        <x:v>Directness depends on semantic/articulatory distance and engagement with a model-world.</x:v>
      </x:c>
      <x:c r="K6" s="25" t="str">
        <x:v>DC1 should infer the smallest semantic explanation consistent with the visible object, action and feedback loop.</x:v>
      </x:c>
      <x:c r="L6" s="25" t="str">
        <x:v>High semantic distance or indirect mappings should trigger interpretation preview or clarification.</x:v>
      </x:c>
      <x:c r="M6" s="25" t="str">
        <x:v>Full text or extended abstract/author copy inspected</x:v>
      </x:c>
      <x:c r="N6" s="25" t="str">
        <x:v>Include</x:v>
      </x:c>
    </x:row>
    <x:row r="7">
      <x:c r="A7" s="20" t="str">
        <x:v>I03</x:v>
      </x:c>
      <x:c r="B7" s="25" t="str">
        <x:v>On distinguishing epistemic from pragmatic action</x:v>
      </x:c>
      <x:c r="C7" s="25" t="n">
        <x:v>1994</x:v>
      </x:c>
      <x:c r="D7" s="25" t="str"/>
      <x:c r="E7" s="25" t="str"/>
      <x:c r="F7" s="25" t="str">
        <x:v>10.1207/s15516709cog1804_1</x:v>
      </x:c>
      <x:c r="G7" s="25" t="str">
        <x:v>https://doi.org/10.1207/s15516709cog1804_1</x:v>
      </x:c>
      <x:c r="H7" s="25" t="str">
        <x:v>Seed/snowball</x:v>
      </x:c>
      <x:c r="I7" s="25" t="str">
        <x:v>Embodied cognition</x:v>
      </x:c>
      <x:c r="J7" s="25" t="str">
        <x:v>Actions can change the world to achieve a goal or change cognition to reveal/construct information.</x:v>
      </x:c>
      <x:c r="K7" s="25" t="str">
        <x:v>Repeated rotations, temporary drags and comparisons may be epistemic probes rather than commitment to geometry.</x:v>
      </x:c>
      <x:c r="L7" s="25" t="str">
        <x:v>Do not commit edits while signals resemble exploration; preserve cheap reversible experimentation.</x:v>
      </x:c>
      <x:c r="M7" s="25" t="str">
        <x:v>Full text or extended abstract/author copy inspected</x:v>
      </x:c>
      <x:c r="N7" s="25" t="str">
        <x:v>Include</x:v>
      </x:c>
    </x:row>
    <x:row r="8">
      <x:c r="A8" s="20" t="str">
        <x:v>I04</x:v>
      </x:c>
      <x:c r="B8" s="25" t="str">
        <x:v>Action understanding as inverse planning</x:v>
      </x:c>
      <x:c r="C8" s="25" t="n">
        <x:v>2009</x:v>
      </x:c>
      <x:c r="D8" s="25" t="str"/>
      <x:c r="E8" s="25" t="str"/>
      <x:c r="F8" s="25" t="str">
        <x:v>10.1016/j.cognition.2009.07.005</x:v>
      </x:c>
      <x:c r="G8" s="25" t="str">
        <x:v>https://doi.org/10.1016/j.cognition.2009.07.005</x:v>
      </x:c>
      <x:c r="H8" s="25" t="str">
        <x:v>Seed/snowball</x:v>
      </x:c>
      <x:c r="I8" s="25" t="str">
        <x:v>Intent inference</x:v>
      </x:c>
      <x:c r="J8" s="25" t="str">
        <x:v>Infer latent goals by inverting an approximately rational action-generation model under uncertainty.</x:v>
      </x:c>
      <x:c r="K8" s="25" t="str">
        <x:v>Rank intent hypotheses from action sequence, object state, constraints and plausible design goals rather than single-event classification.</x:v>
      </x:c>
      <x:c r="L8" s="25" t="str">
        <x:v>Low posterior concentration means assist softly, ask, or show alternatives rather than execute.</x:v>
      </x:c>
      <x:c r="M8" s="25" t="str">
        <x:v>Full text or extended abstract/author copy inspected</x:v>
      </x:c>
      <x:c r="N8" s="25" t="str">
        <x:v>Include</x:v>
      </x:c>
    </x:row>
    <x:row r="9">
      <x:c r="A9" s="20" t="str">
        <x:v>I05</x:v>
      </x:c>
      <x:c r="B9" s="25" t="str">
        <x:v>Legibility and Predictability of Robot Motion</x:v>
      </x:c>
      <x:c r="C9" s="25" t="n">
        <x:v>2013</x:v>
      </x:c>
      <x:c r="D9" s="25" t="str"/>
      <x:c r="E9" s="25" t="str"/>
      <x:c r="F9" s="25" t="str">
        <x:v>10.1109/HRI.2013.6483603</x:v>
      </x:c>
      <x:c r="G9" s="25" t="str">
        <x:v>https://doi.org/10.1109/HRI.2013.6483603</x:v>
      </x:c>
      <x:c r="H9" s="25" t="str">
        <x:v>Seed/snowball</x:v>
      </x:c>
      <x:c r="I9" s="25" t="str">
        <x:v>Intent legibility</x:v>
      </x:c>
      <x:c r="J9" s="25" t="str">
        <x:v>Predictability and legibility are distinct: an action can be expected yet fail to reveal its goal.</x:v>
      </x:c>
      <x:c r="K9" s="25" t="str">
        <x:v>Use the distinction bidirectionally: user actions provide intent evidence; agent previews should reveal what it thinks will change.</x:v>
      </x:c>
      <x:c r="L9" s="25" t="str">
        <x:v>Before impactful action, require the agent's planned edit to be legible to the user.</x:v>
      </x:c>
      <x:c r="M9" s="25" t="str">
        <x:v>Full text or extended abstract/author copy inspected</x:v>
      </x:c>
      <x:c r="N9" s="25" t="str">
        <x:v>Include</x:v>
      </x:c>
    </x:row>
    <x:row r="10">
      <x:c r="A10" s="20" t="str">
        <x:v>I06</x:v>
      </x:c>
      <x:c r="B10" s="25" t="str">
        <x:v>Principles of Mixed-Initiative User Interfaces</x:v>
      </x:c>
      <x:c r="C10" s="25" t="n">
        <x:v>1999</x:v>
      </x:c>
      <x:c r="D10" s="25" t="str"/>
      <x:c r="E10" s="25" t="str"/>
      <x:c r="F10" s="25" t="str">
        <x:v>10.1145/302979.303030</x:v>
      </x:c>
      <x:c r="G10" s="25" t="str">
        <x:v>https://doi.org/10.1145/302979.303030</x:v>
      </x:c>
      <x:c r="H10" s="25" t="str">
        <x:v>Seed/snowball</x:v>
      </x:c>
      <x:c r="I10" s="25" t="str">
        <x:v>Mixed initiative</x:v>
      </x:c>
      <x:c r="J10" s="25" t="str">
        <x:v>Initiative should follow expected utility, uncertainty, interruption cost, timing and user attention.</x:v>
      </x:c>
      <x:c r="K10" s="25" t="str">
        <x:v>Compute an intervention policy from confidence, expected benefit, reversibility and creative interruption cost.</x:v>
      </x:c>
      <x:c r="L10" s="25" t="str">
        <x:v>Agent takes initiative only when expected benefit exceeds interruption/error cost; otherwise suggest or wait.</x:v>
      </x:c>
      <x:c r="M10" s="25" t="str">
        <x:v>Full text or extended abstract/author copy inspected</x:v>
      </x:c>
      <x:c r="N10" s="25" t="str">
        <x:v>Include</x:v>
      </x:c>
    </x:row>
    <x:row r="11">
      <x:c r="A11" s="20" t="str">
        <x:v>I07</x:v>
      </x:c>
      <x:c r="B11" s="25" t="str">
        <x:v>A model for types and levels of human interaction with automation</x:v>
      </x:c>
      <x:c r="C11" s="25" t="n">
        <x:v>2000</x:v>
      </x:c>
      <x:c r="D11" s="25" t="str"/>
      <x:c r="E11" s="25" t="str"/>
      <x:c r="F11" s="25" t="str">
        <x:v>10.1109/3468.844354</x:v>
      </x:c>
      <x:c r="G11" s="25" t="str">
        <x:v>https://doi.org/10.1109/3468.844354</x:v>
      </x:c>
      <x:c r="H11" s="25" t="str">
        <x:v>Seed/snowball</x:v>
      </x:c>
      <x:c r="I11" s="25" t="str">
        <x:v>Levels of automation</x:v>
      </x:c>
      <x:c r="J11" s="25" t="str">
        <x:v>Automation can differ across acquisition, analysis, decision selection and action implementation.</x:v>
      </x:c>
      <x:c r="K11" s="25" t="str">
        <x:v>FlowStudio can automate signal capture/analysis strongly while keeping semantic choice and final application under user control.</x:v>
      </x:c>
      <x:c r="L11" s="25" t="str">
        <x:v>Separate 'infer', 'recommend', 'preview', and 'apply'; do not collapse them into one autonomy level.</x:v>
      </x:c>
      <x:c r="M11" s="25" t="str">
        <x:v>Full text or extended abstract/author copy inspected</x:v>
      </x:c>
      <x:c r="N11" s="25" t="str">
        <x:v>Include</x:v>
      </x:c>
    </x:row>
    <x:row r="12">
      <x:c r="A12" s="20" t="str">
        <x:v>I08</x:v>
      </x:c>
      <x:c r="B12" s="25" t="str">
        <x:v>Guidelines for Human-AI Interaction</x:v>
      </x:c>
      <x:c r="C12" s="25" t="n">
        <x:v>2019</x:v>
      </x:c>
      <x:c r="D12" s="25" t="str"/>
      <x:c r="E12" s="25" t="str"/>
      <x:c r="F12" s="25" t="str">
        <x:v>10.1145/3290605.3300233</x:v>
      </x:c>
      <x:c r="G12" s="25" t="str">
        <x:v>https://doi.org/10.1145/3290605.3300233</x:v>
      </x:c>
      <x:c r="H12" s="25" t="str">
        <x:v>Seed/snowball</x:v>
      </x:c>
      <x:c r="I12" s="25" t="str">
        <x:v>Human-AI interaction</x:v>
      </x:c>
      <x:c r="J12" s="25" t="str">
        <x:v>Communicate capabilities, make contextually relevant help, support correction, dismissal and learning from behavior.</x:v>
      </x:c>
      <x:c r="K12" s="25" t="str">
        <x:v>Expose evidence and uncertainty, let users correct target/scope/meaning, and remember corrections.</x:v>
      </x:c>
      <x:c r="L12" s="25" t="str">
        <x:v>Any learned or proactive behavior must remain dismissible, correctable and reversible.</x:v>
      </x:c>
      <x:c r="M12" s="25" t="str">
        <x:v>Full text or extended abstract/author copy inspected</x:v>
      </x:c>
      <x:c r="N12" s="25" t="str">
        <x:v>Include</x:v>
      </x:c>
    </x:row>
    <x:row r="13">
      <x:c r="A13" s="20" t="str">
        <x:v>I09</x:v>
      </x:c>
      <x:c r="B13" s="25" t="str">
        <x:v>Power to the People: The Role of Humans in Interactive Machine Learning</x:v>
      </x:c>
      <x:c r="C13" s="25" t="n">
        <x:v>2014</x:v>
      </x:c>
      <x:c r="D13" s="25" t="str"/>
      <x:c r="E13" s="25" t="str"/>
      <x:c r="F13" s="25" t="str">
        <x:v>10.1609/aimag.v35i4.2513</x:v>
      </x:c>
      <x:c r="G13" s="25" t="str">
        <x:v>https://doi.org/10.1609/aimag.v35i4.2513</x:v>
      </x:c>
      <x:c r="H13" s="25" t="str">
        <x:v>Seed/snowball</x:v>
      </x:c>
      <x:c r="I13" s="25" t="str">
        <x:v>Interactive ML</x:v>
      </x:c>
      <x:c r="J13" s="25" t="str">
        <x:v>End users shape learning systems through iterative examples, feedback and correction; interface design affects learnability.</x:v>
      </x:c>
      <x:c r="K13" s="25" t="str">
        <x:v>Accept/reject, undo and alternative selection should be explicit training signals with provenance.</x:v>
      </x:c>
      <x:c r="L13" s="25" t="str">
        <x:v>Do not silently generalize from sparse feedback; require repeated or high-quality evidence for durable memory.</x:v>
      </x:c>
      <x:c r="M13" s="25" t="str">
        <x:v>Full text or extended abstract/author copy inspected</x:v>
      </x:c>
      <x:c r="N13" s="25" t="str">
        <x:v>Include</x:v>
      </x:c>
    </x:row>
    <x:row r="14">
      <x:c r="A14" s="20" t="str">
        <x:v>I10</x:v>
      </x:c>
      <x:c r="B14" s="25" t="str">
        <x:v>Re-examining Whether, Why, and How Human-AI Interaction Is Uniquely Difficult to Design</x:v>
      </x:c>
      <x:c r="C14" s="25" t="n">
        <x:v>2020</x:v>
      </x:c>
      <x:c r="D14" s="25" t="str">
        <x:v>Qian Yang; Aaron Steinfeld; Carolyn Penstein Rosé; John Zimmerman</x:v>
      </x:c>
      <x:c r="E14" s="25" t="str"/>
      <x:c r="F14" s="25" t="str">
        <x:v>10.1145/3313831.3376301</x:v>
      </x:c>
      <x:c r="G14" s="25" t="str">
        <x:v>https://doi.org/10.1145/3313831.3376301</x:v>
      </x:c>
      <x:c r="H14" s="25" t="str">
        <x:v>OpenAlex</x:v>
      </x:c>
      <x:c r="I14" s="25" t="str">
        <x:v>Human-AI uncertainty</x:v>
      </x:c>
      <x:c r="J14" s="25" t="str">
        <x:v>AI behavior is probabilistic, adaptive and hard to anticipate, producing capability and mental-model gaps.</x:v>
      </x:c>
      <x:c r="K14" s="25" t="str">
        <x:v>Make the agent's current hypothesis and scope inspectable rather than presenting outputs as deterministic understanding.</x:v>
      </x:c>
      <x:c r="L14" s="25" t="str">
        <x:v>Escalate to user control when the model is out-of-distribution, inconsistent or unable to explain its basis.</x:v>
      </x:c>
      <x:c r="M14" s="25" t="str">
        <x:v>Full text or extended abstract/author copy inspected</x:v>
      </x:c>
      <x:c r="N14" s="25" t="str">
        <x:v>Include</x:v>
      </x:c>
    </x:row>
    <x:row r="15">
      <x:c r="A15" s="20" t="str">
        <x:v>I11</x:v>
      </x:c>
      <x:c r="B15" s="25" t="str">
        <x:v>Level of automation effects on performance, situation awareness and workload in a dynamic control task</x:v>
      </x:c>
      <x:c r="C15" s="25" t="n">
        <x:v>1999</x:v>
      </x:c>
      <x:c r="D15" s="25" t="str"/>
      <x:c r="E15" s="25" t="str"/>
      <x:c r="F15" s="25" t="str">
        <x:v>10.1080/001401399185595</x:v>
      </x:c>
      <x:c r="G15" s="25" t="str">
        <x:v>https://doi.org/10.1080/001401399185595</x:v>
      </x:c>
      <x:c r="H15" s="25" t="str">
        <x:v>Seed/snowball</x:v>
      </x:c>
      <x:c r="I15" s="25" t="str">
        <x:v>Handoff &amp; awareness</x:v>
      </x:c>
      <x:c r="J15" s="25" t="str">
        <x:v>Intermediate automation can balance performance with involvement; high automation risks out-of-the-loop loss of awareness.</x:v>
      </x:c>
      <x:c r="K15" s="25" t="str">
        <x:v>Keep users aware through previews, preserved history and visible system state even when the agent performs low-level work.</x:v>
      </x:c>
      <x:c r="L15" s="25" t="str">
        <x:v>Avoid surprise takeover; require continuous state observability and rapid reclaim of control.</x:v>
      </x:c>
      <x:c r="M15" s="25" t="str">
        <x:v>Full text or extended abstract/author copy inspected</x:v>
      </x:c>
      <x:c r="N15" s="25" t="str">
        <x:v>Include</x:v>
      </x:c>
    </x:row>
    <x:row r="16">
      <x:c r="A16" s="20" t="str">
        <x:v>I12</x:v>
      </x:c>
      <x:c r="B16" s="25" t="str">
        <x:v>Trust in automation: Designing for appropriate reliance</x:v>
      </x:c>
      <x:c r="C16" s="25" t="n">
        <x:v>2004</x:v>
      </x:c>
      <x:c r="D16" s="25" t="str"/>
      <x:c r="E16" s="25" t="str"/>
      <x:c r="F16" s="25" t="str">
        <x:v>10.1518/hfes.46.1.50_30392</x:v>
      </x:c>
      <x:c r="G16" s="25" t="str">
        <x:v>https://doi.org/10.1518/hfes.46.1.50_30392</x:v>
      </x:c>
      <x:c r="H16" s="25" t="str">
        <x:v>Seed/snowball</x:v>
      </x:c>
      <x:c r="I16" s="25" t="str">
        <x:v>Calibrated trust</x:v>
      </x:c>
      <x:c r="J16" s="25" t="str">
        <x:v>Trust should be calibrated to capability and context rather than maximized.</x:v>
      </x:c>
      <x:c r="K16" s="25" t="str">
        <x:v>Show uncertainty, failure modes and evidence so creators can rely selectively on the intent interpreter.</x:v>
      </x:c>
      <x:c r="L16" s="25" t="str">
        <x:v>High impact plus poorly calibrated confidence requires confirmation or manual mode.</x:v>
      </x:c>
      <x:c r="M16" s="25" t="str">
        <x:v>Full text or extended abstract/author copy inspected</x:v>
      </x:c>
      <x:c r="N16" s="25" t="str">
        <x:v>Include</x:v>
      </x:c>
    </x:row>
    <x:row r="17">
      <x:c r="A17" s="20" t="str">
        <x:v>I13</x:v>
      </x:c>
      <x:c r="B17" s="25" t="str">
        <x:v>Probabilistic Human Intent Recognition for Shared Autonomy in Assistive Robotics</x:v>
      </x:c>
      <x:c r="C17" s="25" t="n">
        <x:v>2019</x:v>
      </x:c>
      <x:c r="D17" s="25" t="str">
        <x:v>Siddarth Jain; Brenna Argall</x:v>
      </x:c>
      <x:c r="E17" s="25" t="str">
        <x:v>ACM Transactions on Human-Robot Interaction</x:v>
      </x:c>
      <x:c r="F17" s="25" t="str">
        <x:v>10.1145/3359614</x:v>
      </x:c>
      <x:c r="G17" s="25" t="str">
        <x:v>https://doi.org/10.1145/3359614</x:v>
      </x:c>
      <x:c r="H17" s="25" t="str">
        <x:v>Crossref; OpenAlex</x:v>
      </x:c>
      <x:c r="I17" s="25" t="str">
        <x:v>Shared autonomy</x:v>
      </x:c>
      <x:c r="J17" s="25" t="str">
        <x:v>Recursive Bayesian filtering fuses nonverbal observations and user behavior while keeping a distribution over goals.</x:v>
      </x:c>
      <x:c r="K17" s="25" t="str">
        <x:v>Maintain multiple design-intent hypotheses and update them online from geometry, timing, tool, context and history.</x:v>
      </x:c>
      <x:c r="L17" s="25" t="str">
        <x:v>Assistance strength should fall as goal entropy rises; never force a single goal prematurely.</x:v>
      </x:c>
      <x:c r="M17" s="25" t="str">
        <x:v>Full text or extended abstract/author copy inspected</x:v>
      </x:c>
      <x:c r="N17" s="25" t="str">
        <x:v>Include</x:v>
      </x:c>
    </x:row>
    <x:row r="18">
      <x:c r="A18" s="20" t="str">
        <x:v>I14</x:v>
      </x:c>
      <x:c r="B18" s="25" t="str">
        <x:v>Shared Autonomy via Hindsight Optimization</x:v>
      </x:c>
      <x:c r="C18" s="25" t="n">
        <x:v>2015</x:v>
      </x:c>
      <x:c r="D18" s="25" t="str">
        <x:v>Shervin Javdani; Siddhartha S Srinivasa; Andrew Bagnell</x:v>
      </x:c>
      <x:c r="E18" s="25" t="str"/>
      <x:c r="F18" s="25" t="str">
        <x:v>10.15607/RSS.2015.XI.032</x:v>
      </x:c>
      <x:c r="G18" s="25" t="str">
        <x:v>https://doi.org/10.15607/rss.2015.xi.032</x:v>
      </x:c>
      <x:c r="H18" s="25" t="str">
        <x:v>OpenAlex</x:v>
      </x:c>
      <x:c r="I18" s="25" t="str">
        <x:v>Shared autonomy</x:v>
      </x:c>
      <x:c r="J18" s="25" t="str">
        <x:v>Assist toward likely goals while accounting for uncertainty over user intent.</x:v>
      </x:c>
      <x:c r="K18" s="25" t="str">
        <x:v>Generate reversible candidate trajectories/edits for several plausible intents instead of committing to one.</x:v>
      </x:c>
      <x:c r="L18" s="25" t="str">
        <x:v>If plausible goals imply conflicting irreversible edits, defer and ask.</x:v>
      </x:c>
      <x:c r="M18" s="25" t="str">
        <x:v>Full text or extended abstract/author copy inspected</x:v>
      </x:c>
      <x:c r="N18" s="25" t="str">
        <x:v>Include</x:v>
      </x:c>
    </x:row>
    <x:row r="19">
      <x:c r="A19" s="20" t="str">
        <x:v>I15</x:v>
      </x:c>
      <x:c r="B19" s="25" t="str">
        <x:v>Balanced Information Gathering and Goal-Oriented Actions in Shared Autonomy</x:v>
      </x:c>
      <x:c r="C19" s="25" t="n">
        <x:v>2019</x:v>
      </x:c>
      <x:c r="D19" s="25" t="str">
        <x:v>Connor Brooks; Daniel Szafir</x:v>
      </x:c>
      <x:c r="E19" s="25" t="str">
        <x:v>2019 14th ACM/IEEE International Conference on Human-Robot Interaction (HRI)</x:v>
      </x:c>
      <x:c r="F19" s="25" t="str">
        <x:v>10.1109/HRI.2019.8673192</x:v>
      </x:c>
      <x:c r="G19" s="25" t="str">
        <x:v>https://doi.org/10.1109/hri.2019.8673192</x:v>
      </x:c>
      <x:c r="H19" s="25" t="str">
        <x:v>Crossref</x:v>
      </x:c>
      <x:c r="I19" s="25" t="str">
        <x:v>Active intent inference</x:v>
      </x:c>
      <x:c r="J19" s="25" t="str">
        <x:v>Assistance can both make task progress and gather information that disambiguates intent.</x:v>
      </x:c>
      <x:c r="K19" s="25" t="str">
        <x:v>Offer probes or contrastive candidates whose user response is informative about intended scope/style.</x:v>
      </x:c>
      <x:c r="L19" s="25" t="str">
        <x:v>Prefer information-gathering previews when uncertainty is high and probe cost is low.</x:v>
      </x:c>
      <x:c r="M19" s="25" t="str">
        <x:v>Full text or extended abstract/author copy inspected</x:v>
      </x:c>
      <x:c r="N19" s="25" t="str">
        <x:v>Include</x:v>
      </x:c>
    </x:row>
    <x:row r="20">
      <x:c r="A20" s="20" t="str">
        <x:v>I16</x:v>
      </x:c>
      <x:c r="B20" s="25" t="str">
        <x:v>Dimensions of Adjustable Autonomy and Mixed-Initiative Interaction</x:v>
      </x:c>
      <x:c r="C20" s="25" t="n">
        <x:v>2004</x:v>
      </x:c>
      <x:c r="D20" s="25" t="str">
        <x:v>Jeffrey M. Bradshaw; Paul J. Feltovich; Hyuckchul Jung; Shriniwas Kulkarni; William Taysom; Andrzej Uszok</x:v>
      </x:c>
      <x:c r="E20" s="25" t="str">
        <x:v>Lecture Notes in Computer Science</x:v>
      </x:c>
      <x:c r="F20" s="25" t="str">
        <x:v>10.1007/978-3-540-25928-2_3</x:v>
      </x:c>
      <x:c r="G20" s="25" t="str">
        <x:v>https://doi.org/10.1007/978-3-540-25928-2_3</x:v>
      </x:c>
      <x:c r="H20" s="25" t="str">
        <x:v>Crossref</x:v>
      </x:c>
      <x:c r="I20" s="25" t="str">
        <x:v>Adjustable autonomy</x:v>
      </x:c>
      <x:c r="J20" s="25" t="str">
        <x:v>Autonomy is multidimensional and can be transferred or negotiated rather than treated as a binary switch.</x:v>
      </x:c>
      <x:c r="K20" s="25" t="str">
        <x:v>Represent authority separately for sensing, interpretation, candidate generation, selection and application.</x:v>
      </x:c>
      <x:c r="L20" s="25" t="str">
        <x:v>Transfer only the minimum necessary function; allow immediate reclaim and log who decided what.</x:v>
      </x:c>
      <x:c r="M20" s="25" t="str">
        <x:v>Full text or extended abstract/author copy inspected</x:v>
      </x:c>
      <x:c r="N20" s="25" t="str">
        <x:v>Include</x:v>
      </x:c>
    </x:row>
    <x:row r="21">
      <x:c r="A21" s="20" t="str">
        <x:v>I17</x:v>
      </x:c>
      <x:c r="B21" s="25" t="str">
        <x:v>A Negotiation-Theoretic Framework for Control Authority Transfer in Mixed-Initiative Robotic Systems</x:v>
      </x:c>
      <x:c r="C21" s="25" t="n">
        <x:v>2022</x:v>
      </x:c>
      <x:c r="D21" s="25" t="str">
        <x:v>Simon Rothfus; Manolis Chiou; Jairo Inga; Soren Hohmann; Rustam Stolkin</x:v>
      </x:c>
      <x:c r="E21" s="25" t="str">
        <x:v>2022 IEEE International Conference on Systems, Man, and Cybernetics (SMC)</x:v>
      </x:c>
      <x:c r="F21" s="25" t="str">
        <x:v>10.1109/SMC53654.2022.9945196</x:v>
      </x:c>
      <x:c r="G21" s="25" t="str">
        <x:v>https://doi.org/10.1109/smc53654.2022.9945196</x:v>
      </x:c>
      <x:c r="H21" s="25" t="str">
        <x:v>Crossref</x:v>
      </x:c>
      <x:c r="I21" s="25" t="str">
        <x:v>Authority transfer</x:v>
      </x:c>
      <x:c r="J21" s="25" t="str">
        <x:v>Control transfer can be treated as negotiation under competing human/agent assessments.</x:v>
      </x:c>
      <x:c r="K21" s="25" t="str">
        <x:v>Use explicit takeover requests containing reason, scope, duration and expected benefit.</x:v>
      </x:c>
      <x:c r="L21" s="25" t="str">
        <x:v>No silent authority transfer for high-impact actions; disagreement resolves to safe preview/manual control.</x:v>
      </x:c>
      <x:c r="M21" s="25" t="str">
        <x:v>Full text or extended abstract/author copy inspected</x:v>
      </x:c>
      <x:c r="N21" s="25" t="str">
        <x:v>Include</x:v>
      </x:c>
    </x:row>
    <x:row r="22">
      <x:c r="A22" s="20" t="str">
        <x:v>I18</x:v>
      </x:c>
      <x:c r="B22" s="25" t="str">
        <x:v>A Hierarchical Variable Autonomy Mixed-Initiative Framework for Human-Robot Teaming in Mobile Robotics</x:v>
      </x:c>
      <x:c r="C22" s="25" t="n">
        <x:v>2022</x:v>
      </x:c>
      <x:c r="D22" s="25" t="str">
        <x:v>Dimitris Panagopoulos; Giannis Petousakis; Aniketh Ramesh; Tianshu Ruan; Grigoris Nikolaou; Rustam Stolkin; Manolis Chiou</x:v>
      </x:c>
      <x:c r="E22" s="25" t="str">
        <x:v>2022 IEEE 3rd International Conference on Human-Machine Systems (ICHMS)</x:v>
      </x:c>
      <x:c r="F22" s="25" t="str">
        <x:v>10.1109/ICHMS56717.2022.9980686</x:v>
      </x:c>
      <x:c r="G22" s="25" t="str">
        <x:v>https://doi.org/10.1109/ichms56717.2022.9980686</x:v>
      </x:c>
      <x:c r="H22" s="25" t="str">
        <x:v>Crossref</x:v>
      </x:c>
      <x:c r="I22" s="25" t="str">
        <x:v>Variable autonomy</x:v>
      </x:c>
      <x:c r="J22" s="25" t="str">
        <x:v>Criticality-aware hierarchical switching can reduce control conflict and improve safety.</x:v>
      </x:c>
      <x:c r="K22" s="25" t="str">
        <x:v>Map edit criticality from local/reversible to global/structural and vary autonomy accordingly.</x:v>
      </x:c>
      <x:c r="L22" s="25" t="str">
        <x:v>Global topology or accepted-structure changes require higher evidence and explicit authorization.</x:v>
      </x:c>
      <x:c r="M22" s="25" t="str">
        <x:v>Full text or extended abstract/author copy inspected</x:v>
      </x:c>
      <x:c r="N22" s="25" t="str">
        <x:v>Include</x:v>
      </x:c>
    </x:row>
    <x:row r="23">
      <x:c r="A23" s="20" t="str">
        <x:v>I19</x:v>
      </x:c>
      <x:c r="B23" s="25" t="str">
        <x:v>SARI: Shared Autonomy across Repeated Interaction</x:v>
      </x:c>
      <x:c r="C23" s="25" t="n">
        <x:v>2024</x:v>
      </x:c>
      <x:c r="D23" s="25" t="str">
        <x:v>Ananth Jonnavittula; Shaunak A. Mehta; Dylan P. Losey</x:v>
      </x:c>
      <x:c r="E23" s="25" t="str">
        <x:v>ACM Transactions on Human-Robot Interaction</x:v>
      </x:c>
      <x:c r="F23" s="25" t="str">
        <x:v>10.1145/3651994</x:v>
      </x:c>
      <x:c r="G23" s="25" t="str">
        <x:v>https://doi.org/10.1145/3651994</x:v>
      </x:c>
      <x:c r="H23" s="25" t="str">
        <x:v>Crossref; OpenAlex</x:v>
      </x:c>
      <x:c r="I23" s="25" t="str">
        <x:v>Repeated interaction</x:v>
      </x:c>
      <x:c r="J23" s="25" t="str">
        <x:v>Shared autonomy can personalize across repeated interactions while tracking user-specific behavior.</x:v>
      </x:c>
      <x:c r="K23" s="25" t="str">
        <x:v>Learn creator-specific mappings only from repeated episodes and keep session vs long-term preferences distinct.</x:v>
      </x:c>
      <x:c r="L23" s="25" t="str">
        <x:v>Long-term personalization must be reviewable, resettable and overridden by current-session evidence.</x:v>
      </x:c>
      <x:c r="M23" s="25" t="str">
        <x:v>Full text or extended abstract/author copy inspected</x:v>
      </x:c>
      <x:c r="N23" s="25" t="str">
        <x:v>Include</x:v>
      </x:c>
    </x:row>
    <x:row r="24">
      <x:c r="A24" s="20" t="str">
        <x:v>I20</x:v>
      </x:c>
      <x:c r="B24" s="25" t="str">
        <x:v>Mixed-Initiative Creative Interfaces</x:v>
      </x:c>
      <x:c r="C24" s="25" t="n">
        <x:v>2017</x:v>
      </x:c>
      <x:c r="D24" s="25" t="str">
        <x:v>Sebastian Deterding; Jonathan Hook; Rebecca Fiebrink; Marco Gillies; Jeremy Gow; Memo Akten; Gillian Smith; Antonios Liapis; Kate Compton</x:v>
      </x:c>
      <x:c r="E24" s="25" t="str"/>
      <x:c r="F24" s="25" t="str">
        <x:v>10.1145/3027063.3027072</x:v>
      </x:c>
      <x:c r="G24" s="25" t="str">
        <x:v>https://doi.org/10.1145/3027063.3027072</x:v>
      </x:c>
      <x:c r="H24" s="25" t="str">
        <x:v>OpenAlex</x:v>
      </x:c>
      <x:c r="I24" s="25" t="str">
        <x:v>Mixed-initiative co-creation</x:v>
      </x:c>
      <x:c r="J24" s="25" t="str">
        <x:v>Human and computer alternately suggest, produce, evaluate, modify and select creative outputs.</x:v>
      </x:c>
      <x:c r="K24" s="25" t="str">
        <x:v>Model creation as a reciprocal loop; agent initiative includes proposing and critiquing, not only executing commands.</x:v>
      </x:c>
      <x:c r="L24" s="25" t="str">
        <x:v>Agent initiative should create options, not overwrite emerging authorship or accepted commitments.</x:v>
      </x:c>
      <x:c r="M24" s="25" t="str">
        <x:v>Full text or extended abstract/author copy inspected</x:v>
      </x:c>
      <x:c r="N24" s="25" t="str">
        <x:v>Include</x:v>
      </x:c>
    </x:row>
    <x:row r="25">
      <x:c r="A25" s="20" t="str">
        <x:v>I21</x:v>
      </x:c>
      <x:c r="B25" s="25" t="str">
        <x:v>Mapping the Landscape of Creativity Support Tools in HCI</x:v>
      </x:c>
      <x:c r="C25" s="25" t="n">
        <x:v>2019</x:v>
      </x:c>
      <x:c r="D25" s="25" t="str"/>
      <x:c r="E25" s="25" t="str"/>
      <x:c r="F25" s="25" t="str">
        <x:v>10.1145/3290605.3300619</x:v>
      </x:c>
      <x:c r="G25" s="25" t="str">
        <x:v>https://doi.org/10.1145/3290605.3300619</x:v>
      </x:c>
      <x:c r="H25" s="25" t="str">
        <x:v>Seed/snowball</x:v>
      </x:c>
      <x:c r="I25" s="25" t="str">
        <x:v>Creativity support tools</x:v>
      </x:c>
      <x:c r="J25" s="25" t="str">
        <x:v>CST research spans ideation, making and evaluation; tools should be compared by supported creative activity and context.</x:v>
      </x:c>
      <x:c r="K25" s="25" t="str">
        <x:v>Evaluate DC1 by exploration, expressive completeness, control and iteration—not intent accuracy alone.</x:v>
      </x:c>
      <x:c r="L25" s="25" t="str">
        <x:v>Automation is acceptable when it expands creative capacity without obscuring authorship and process.</x:v>
      </x:c>
      <x:c r="M25" s="25" t="str">
        <x:v>Full text or extended abstract/author copy inspected</x:v>
      </x:c>
      <x:c r="N25" s="25" t="str">
        <x:v>Include</x:v>
      </x:c>
    </x:row>
    <x:row r="26">
      <x:c r="A26" s="20" t="str">
        <x:v>I22</x:v>
      </x:c>
      <x:c r="B26" s="25" t="str">
        <x:v>Towards a procedural content generation framework for game development</x:v>
      </x:c>
      <x:c r="C26" s="25" t="n">
        <x:v>2014</x:v>
      </x:c>
      <x:c r="D26" s="25" t="str"/>
      <x:c r="E26" s="25" t="str"/>
      <x:c r="F26" s="25" t="str">
        <x:v>10.7551/978-0-262-32621-6-ch089</x:v>
      </x:c>
      <x:c r="G26" s="25" t="str">
        <x:v>https://doi.org/10.7551/978-0-262-32621-6-ch089</x:v>
      </x:c>
      <x:c r="H26" s="25" t="str">
        <x:v>Seed/snowball</x:v>
      </x:c>
      <x:c r="I26" s="25" t="str">
        <x:v>Mixed-initiative co-creativity</x:v>
      </x:c>
      <x:c r="J26" s="25" t="str">
        <x:v>Mixed-initiative co-creativity distributes generation and evaluation across human and machine.</x:v>
      </x:c>
      <x:c r="K26" s="25" t="str">
        <x:v>Separate who initiates, who generates, who evaluates and who selects in each FlowStudio stage.</x:v>
      </x:c>
      <x:c r="L26" s="25" t="str">
        <x:v>Human retains veto and final selection when subjective creative values dominate.</x:v>
      </x:c>
      <x:c r="M26" s="25" t="str">
        <x:v>Full text or extended abstract/author copy inspected</x:v>
      </x:c>
      <x:c r="N26" s="25" t="str">
        <x:v>Include</x:v>
      </x:c>
    </x:row>
    <x:row r="27">
      <x:c r="A27" s="20" t="str">
        <x:v>I23</x:v>
      </x:c>
      <x:c r="B27" s="25" t="str">
        <x:v>Designing Creative AI Partners with COFI: A Framework for Modeling Interaction in Human-AI Co-Creative Systems</x:v>
      </x:c>
      <x:c r="C27" s="25" t="n">
        <x:v>2023</x:v>
      </x:c>
      <x:c r="D27" s="25" t="str"/>
      <x:c r="E27" s="25" t="str"/>
      <x:c r="F27" s="25" t="str">
        <x:v>10.1145/3519026</x:v>
      </x:c>
      <x:c r="G27" s="25" t="str">
        <x:v>https://doi.org/10.1145/3519026</x:v>
      </x:c>
      <x:c r="H27" s="25" t="str">
        <x:v>Seed/snowball</x:v>
      </x:c>
      <x:c r="I27" s="25" t="str">
        <x:v>Co-creative interaction</x:v>
      </x:c>
      <x:c r="J27" s="25" t="str">
        <x:v>COFI structures turn-taking, contribution type, communication and creative-process interaction.</x:v>
      </x:c>
      <x:c r="K27" s="25" t="str">
        <x:v>Use COFI to specify synchronous/asynchronous turns, contribution scope, feedback and communication channels.</x:v>
      </x:c>
      <x:c r="L27" s="25" t="str">
        <x:v>Initiative changes should be visible and matched to the negotiated collaboration style.</x:v>
      </x:c>
      <x:c r="M27" s="25" t="str">
        <x:v>Full text or extended abstract/author copy inspected</x:v>
      </x:c>
      <x:c r="N27" s="25" t="str">
        <x:v>Include</x:v>
      </x:c>
    </x:row>
    <x:row r="28">
      <x:c r="A28" s="20" t="str">
        <x:v>I24</x:v>
      </x:c>
      <x:c r="B28" s="25" t="str">
        <x:v>Drawing Apprentice: An Enactive Co-Creative Agent for Artistic Collaboration</x:v>
      </x:c>
      <x:c r="C28" s="25" t="n">
        <x:v>2015</x:v>
      </x:c>
      <x:c r="D28" s="25" t="str"/>
      <x:c r="E28" s="25" t="str"/>
      <x:c r="F28" s="25" t="str">
        <x:v>10.1145/2757226.2764555</x:v>
      </x:c>
      <x:c r="G28" s="25" t="str">
        <x:v>https://doi.org/10.1145/2757226.2764555</x:v>
      </x:c>
      <x:c r="H28" s="25" t="str">
        <x:v>Seed/snowball</x:v>
      </x:c>
      <x:c r="I28" s="25" t="str">
        <x:v>Co-creative systems</x:v>
      </x:c>
      <x:c r="J28" s="25" t="str">
        <x:v>Real-time reciprocal drawing and explicit evaluation create participatory sense-making.</x:v>
      </x:c>
      <x:c r="K28" s="25" t="str">
        <x:v>Treat manipulations and reactions as a dialogue; use feedback to adjust transformation strategy.</x:v>
      </x:c>
      <x:c r="L28" s="25" t="str">
        <x:v>Real-time agent contributions need pause, correction and creativity/divergence controls.</x:v>
      </x:c>
      <x:c r="M28" s="25" t="str">
        <x:v>Full text or extended abstract/author copy inspected</x:v>
      </x:c>
      <x:c r="N28" s="25" t="str">
        <x:v>Include</x:v>
      </x:c>
    </x:row>
    <x:row r="29">
      <x:c r="A29" s="20" t="str">
        <x:v>I25</x:v>
      </x:c>
      <x:c r="B29" s="25" t="str">
        <x:v>Novice-AI Music Co-Creation via AI-Steering Tools for Deep Generative Models</x:v>
      </x:c>
      <x:c r="C29" s="25" t="n">
        <x:v>2020</x:v>
      </x:c>
      <x:c r="D29" s="25" t="str">
        <x:v>Ryan Louie; Andy Coenen; Cheng Zhi Huang; Michael Terry; Carrie J. Cai</x:v>
      </x:c>
      <x:c r="E29" s="25" t="str"/>
      <x:c r="F29" s="25" t="str">
        <x:v>10.1145/3313831.3376739</x:v>
      </x:c>
      <x:c r="G29" s="25" t="str">
        <x:v>https://doi.org/10.1145/3313831.3376739</x:v>
      </x:c>
      <x:c r="H29" s="25" t="str">
        <x:v>OpenAlex</x:v>
      </x:c>
      <x:c r="I29" s="25" t="str">
        <x:v>AI steering</x:v>
      </x:c>
      <x:c r="J29" s="25" t="str">
        <x:v>Steering tools let non-experts shape generative models through higher-level controls and iterative feedback.</x:v>
      </x:c>
      <x:c r="K29" s="25" t="str">
        <x:v>Offer semantic steering over preservation, scope and divergence alongside direct 3D manipulation.</x:v>
      </x:c>
      <x:c r="L29" s="25" t="str">
        <x:v>Only apply high-divergence transformations when the user explicitly opens that design space.</x:v>
      </x:c>
      <x:c r="M29" s="25" t="str">
        <x:v>Full text or extended abstract/author copy inspected</x:v>
      </x:c>
      <x:c r="N29" s="25" t="str">
        <x:v>Include</x:v>
      </x:c>
    </x:row>
    <x:row r="30">
      <x:c r="A30" s="20" t="str">
        <x:v>I26</x:v>
      </x:c>
      <x:c r="B30" s="25" t="str">
        <x:v>AI as Social Glue: Uncovering the Roles of Deep Generative AI during Social Music Composition</x:v>
      </x:c>
      <x:c r="C30" s="25" t="n">
        <x:v>2021</x:v>
      </x:c>
      <x:c r="D30" s="25" t="str">
        <x:v>Minhyang Suh; Emily Youngblom; Michael Terry; Carrie J. Cai</x:v>
      </x:c>
      <x:c r="E30" s="25" t="str"/>
      <x:c r="F30" s="25" t="str">
        <x:v>10.1145/3411764.3445219</x:v>
      </x:c>
      <x:c r="G30" s="25" t="str">
        <x:v>https://doi.org/10.1145/3411764.3445219</x:v>
      </x:c>
      <x:c r="H30" s="25" t="str">
        <x:v>OpenAlex</x:v>
      </x:c>
      <x:c r="I30" s="25" t="str">
        <x:v>Creative collaboration</x:v>
      </x:c>
      <x:c r="J30" s="25" t="str">
        <x:v>Generative AI can mediate coordination and idea exchange, not merely produce artifacts.</x:v>
      </x:c>
      <x:c r="K30" s="25" t="str">
        <x:v>Agent memory should store rationale, rejected directions and shared commitments, not only geometry states.</x:v>
      </x:c>
      <x:c r="L30" s="25" t="str">
        <x:v>Do not revive rejected directions unless context changed or the user explicitly reopens them.</x:v>
      </x:c>
      <x:c r="M30" s="25" t="str">
        <x:v>Full text or extended abstract/author copy inspected</x:v>
      </x:c>
      <x:c r="N30" s="25" t="str">
        <x:v>Include</x:v>
      </x:c>
    </x:row>
    <x:row r="31">
      <x:c r="A31" s="20" t="str">
        <x:v>I27</x:v>
      </x:c>
      <x:c r="B31" s="25" t="str">
        <x:v>DirectGPT: A Direct Manipulation Interface to Interact with Large Language Models</x:v>
      </x:c>
      <x:c r="C31" s="25" t="n">
        <x:v>2024</x:v>
      </x:c>
      <x:c r="D31" s="25" t="str">
        <x:v>Damien Masson; Sylvain Malacria; Géry Casiez; Daniel Vogel</x:v>
      </x:c>
      <x:c r="E31" s="25" t="str"/>
      <x:c r="F31" s="25" t="str">
        <x:v>10.1145/3613904.3642462</x:v>
      </x:c>
      <x:c r="G31" s="25" t="str">
        <x:v>https://doi.org/10.1145/3613904.3642462</x:v>
      </x:c>
      <x:c r="H31" s="25" t="str">
        <x:v>OpenAlex</x:v>
      </x:c>
      <x:c r="I31" s="25" t="str">
        <x:v>Direct manipulation + LLM</x:v>
      </x:c>
      <x:c r="J31" s="25" t="str">
        <x:v>Direct manipulation can ground LLM operations in visible selections and transformations.</x:v>
      </x:c>
      <x:c r="K31" s="25" t="str">
        <x:v>Bind prompts and agent actions to selected 3D entities, local context and visible before/after state.</x:v>
      </x:c>
      <x:c r="L31" s="25" t="str">
        <x:v>Selection narrows scope but does not fully specify intent; use preview for ambiguous transformations.</x:v>
      </x:c>
      <x:c r="M31" s="25" t="str">
        <x:v>Full text or extended abstract/author copy inspected</x:v>
      </x:c>
      <x:c r="N31" s="25" t="str">
        <x:v>Include</x:v>
      </x:c>
    </x:row>
    <x:row r="32">
      <x:c r="A32" s="20" t="str">
        <x:v>I28</x:v>
      </x:c>
      <x:c r="B32" s="25" t="str">
        <x:v>Generative Agents: Interactive Simulacra of Human Behavior</x:v>
      </x:c>
      <x:c r="C32" s="25" t="n">
        <x:v>2023</x:v>
      </x:c>
      <x:c r="D32" s="25" t="str"/>
      <x:c r="E32" s="25" t="str"/>
      <x:c r="F32" s="25" t="str">
        <x:v>10.1145/3586183.3606763</x:v>
      </x:c>
      <x:c r="G32" s="25" t="str">
        <x:v>https://doi.org/10.1145/3586183.3606763</x:v>
      </x:c>
      <x:c r="H32" s="25" t="str">
        <x:v>Seed/snowball</x:v>
      </x:c>
      <x:c r="I32" s="25" t="str">
        <x:v>Agent memory</x:v>
      </x:c>
      <x:c r="J32" s="25" t="str">
        <x:v>A memory stream with relevance, recency and importance retrieval plus reflection supports coherent behavior.</x:v>
      </x:c>
      <x:c r="K32" s="25" t="str">
        <x:v>Retrieve interaction episodes using semantic relevance, temporal recency, design-stage match and commitment importance.</x:v>
      </x:c>
      <x:c r="L32" s="25" t="str">
        <x:v>Reflections must remain traceable to source episodes and should not override explicit current intent.</x:v>
      </x:c>
      <x:c r="M32" s="25" t="str">
        <x:v>Full text or extended abstract/author copy inspected</x:v>
      </x:c>
      <x:c r="N32" s="25" t="str">
        <x:v>Include</x:v>
      </x:c>
    </x:row>
    <x:row r="33">
      <x:c r="A33" s="20" t="str">
        <x:v>I29</x:v>
      </x:c>
      <x:c r="B33" s="25" t="str">
        <x:v>MemGPT: Towards LLMs as Operating Systems</x:v>
      </x:c>
      <x:c r="C33" s="25" t="n">
        <x:v>2023</x:v>
      </x:c>
      <x:c r="D33" s="25" t="str"/>
      <x:c r="E33" s="25" t="str"/>
      <x:c r="F33" s="25" t="str">
        <x:v>10.48550/arXiv.2310.08560</x:v>
      </x:c>
      <x:c r="G33" s="25" t="str">
        <x:v>https://doi.org/10.48550/arXiv.2310.08560</x:v>
      </x:c>
      <x:c r="H33" s="25" t="str">
        <x:v>Seed/snowball</x:v>
      </x:c>
      <x:c r="I33" s="25" t="str">
        <x:v>Agent memory architecture</x:v>
      </x:c>
      <x:c r="J33" s="25" t="str">
        <x:v>Hierarchical context management moves information between working and long-term memory tiers.</x:v>
      </x:c>
      <x:c r="K33" s="25" t="str">
        <x:v>Keep current object/selection/hypotheses in working memory; page older episodes and preferences on demand.</x:v>
      </x:c>
      <x:c r="L33" s="25" t="str">
        <x:v>Memory retrieval is advisory evidence; stale memory is down-weighted and never silently controls edits.</x:v>
      </x:c>
      <x:c r="M33" s="25" t="str">
        <x:v>Full text or extended abstract/author copy inspected</x:v>
      </x:c>
      <x:c r="N33" s="25" t="str">
        <x:v>Include</x:v>
      </x:c>
    </x:row>
    <x:row r="34">
      <x:c r="A34" s="20" t="str">
        <x:v>I30</x:v>
      </x:c>
      <x:c r="B34" s="25" t="str">
        <x:v>Cognitive Architectures for Language Agents</x:v>
      </x:c>
      <x:c r="C34" s="25" t="n">
        <x:v>2023</x:v>
      </x:c>
      <x:c r="D34" s="25" t="str">
        <x:v>Theodore R. Sumers; Shunyu Yao; Karthik Narasimhan; Thomas L. Griffiths</x:v>
      </x:c>
      <x:c r="E34" s="25" t="str">
        <x:v>arXiv (Cornell University)</x:v>
      </x:c>
      <x:c r="F34" s="25" t="str">
        <x:v>10.48550/arXiv.2309.02427</x:v>
      </x:c>
      <x:c r="G34" s="25" t="str">
        <x:v>http://arxiv.org/abs/2309.02427</x:v>
      </x:c>
      <x:c r="H34" s="25" t="str">
        <x:v>OpenAlex</x:v>
      </x:c>
      <x:c r="I34" s="25" t="str">
        <x:v>Cognitive agent architecture</x:v>
      </x:c>
      <x:c r="J34" s="25" t="str">
        <x:v>Organizes language agents around perception, memory, action selection and learning loops.</x:v>
      </x:c>
      <x:c r="K34" s="25" t="str">
        <x:v>Implement DC1 as observe→hypothesize→retrieve→decide→act→learn with inspectable intermediate state.</x:v>
      </x:c>
      <x:c r="L34" s="25" t="str">
        <x:v>Gate action selection on hypothesis confidence and authority policy, not merely LLM output.</x:v>
      </x:c>
      <x:c r="M34" s="25" t="str">
        <x:v>Full text or extended abstract/author copy inspected</x:v>
      </x:c>
      <x:c r="N34" s="25" t="str">
        <x:v>Include</x:v>
      </x:c>
    </x:row>
    <x:row r="35">
      <x:c r="A35" s="20" t="str">
        <x:v>I31</x:v>
      </x:c>
      <x:c r="B35" s="25" t="str">
        <x:v>Memory Matters: The Need to Improve Long-Term Memory in LLM-Agents</x:v>
      </x:c>
      <x:c r="C35" s="25" t="n">
        <x:v>2024</x:v>
      </x:c>
      <x:c r="D35" s="25" t="str">
        <x:v>Kostas Hatalis; Despina Christou; J. Myers; Steve Jones; Keith Lambert; Adam Amos‐Binks; Zohreh A. Dannenhauer; Dustin Dannenhauer</x:v>
      </x:c>
      <x:c r="E35" s="25" t="str">
        <x:v>Proceedings of the AAAI Symposium Series</x:v>
      </x:c>
      <x:c r="F35" s="25" t="str">
        <x:v>10.1609/aaaiss.v2i1.27688</x:v>
      </x:c>
      <x:c r="G35" s="25" t="str">
        <x:v>https://doi.org/10.1609/aaaiss.v2i1.27688</x:v>
      </x:c>
      <x:c r="H35" s="25" t="str">
        <x:v>OpenAlex</x:v>
      </x:c>
      <x:c r="I35" s="25" t="str">
        <x:v>Memory taxonomy</x:v>
      </x:c>
      <x:c r="J35" s="25" t="str">
        <x:v>Separating episodic, semantic and procedural memory exposes distinct storage and retrieval needs.</x:v>
      </x:c>
      <x:c r="K35" s="25" t="str">
        <x:v>Store episodes, stable creator preferences and reusable operation policies separately.</x:v>
      </x:c>
      <x:c r="L35" s="25" t="str">
        <x:v>Procedures require success evidence; preferences require repetition; episodes retain provenance and decay.</x:v>
      </x:c>
      <x:c r="M35" s="25" t="str">
        <x:v>Full text or extended abstract/author copy inspected</x:v>
      </x:c>
      <x:c r="N35" s="25" t="str">
        <x:v>Include</x:v>
      </x:c>
    </x:row>
    <x:row r="36">
      <x:c r="A36" s="20" t="str">
        <x:v>I32</x:v>
      </x:c>
      <x:c r="B36" s="25" t="str">
        <x:v>A Survey on the Memory Mechanism of Large Language Model-based Agents</x:v>
      </x:c>
      <x:c r="C36" s="25" t="n">
        <x:v>2025</x:v>
      </x:c>
      <x:c r="D36" s="25" t="str"/>
      <x:c r="E36" s="25" t="str"/>
      <x:c r="F36" s="25" t="str">
        <x:v>10.1145/3748302</x:v>
      </x:c>
      <x:c r="G36" s="25" t="str">
        <x:v>https://doi.org/10.1145/3748302</x:v>
      </x:c>
      <x:c r="H36" s="25" t="str">
        <x:v>Seed/snowball</x:v>
      </x:c>
      <x:c r="I36" s="25" t="str">
        <x:v>Memory retrieval</x:v>
      </x:c>
      <x:c r="J36" s="25" t="str">
        <x:v>Surveys memory forms, operations, structures and retrieval/management trade-offs.</x:v>
      </x:c>
      <x:c r="K36" s="25" t="str">
        <x:v>Use typed memory, hybrid retrieval, update/conflict handling and evaluation of retrieval usefulness.</x:v>
      </x:c>
      <x:c r="L36" s="25" t="str">
        <x:v>Conflicting or low-provenance memories trigger user review, not automatic consolidation.</x:v>
      </x:c>
      <x:c r="M36" s="25" t="str">
        <x:v>Full text or extended abstract/author copy inspected</x:v>
      </x:c>
      <x:c r="N36" s="25" t="str">
        <x:v>Include</x:v>
      </x:c>
    </x:row>
    <x:row r="37">
      <x:c r="A37" s="20" t="str">
        <x:v>I33</x:v>
      </x:c>
      <x:c r="B37" s="25" t="str">
        <x:v>An Introduction to 3-D User Interface Design</x:v>
      </x:c>
      <x:c r="C37" s="25" t="n">
        <x:v>2001</x:v>
      </x:c>
      <x:c r="D37" s="25" t="str"/>
      <x:c r="E37" s="25" t="str"/>
      <x:c r="F37" s="25" t="str">
        <x:v>10.1162/105474601750182342</x:v>
      </x:c>
      <x:c r="G37" s="25" t="str">
        <x:v>https://doi.org/10.1162/105474601750182342</x:v>
      </x:c>
      <x:c r="H37" s="25" t="str">
        <x:v>Seed/snowball</x:v>
      </x:c>
      <x:c r="I37" s="25" t="str">
        <x:v>3D interaction taxonomy</x:v>
      </x:c>
      <x:c r="J37" s="25" t="str">
        <x:v>3D interaction comprises navigation, selection/manipulation and system control with task-specific techniques.</x:v>
      </x:c>
      <x:c r="K37" s="25" t="str">
        <x:v>Interpret a gesture relative to task class, reference frame, device constraints and selected object/part.</x:v>
      </x:c>
      <x:c r="L37" s="25" t="str">
        <x:v>Navigation signals must not be misread as object-edit intent; mode/task context is a hard boundary.</x:v>
      </x:c>
      <x:c r="M37" s="25" t="str">
        <x:v>Full text or extended abstract/author copy inspected</x:v>
      </x:c>
      <x:c r="N37" s="25" t="str">
        <x:v>Include</x:v>
      </x:c>
    </x:row>
    <x:row r="38">
      <x:c r="A38" s="20" t="str">
        <x:v>I34</x:v>
      </x:c>
      <x:c r="B38" s="25" t="str">
        <x:v>A Direct Manipulation Technique for Specifying 3D Object Transformations with a 2D Input Device</x:v>
      </x:c>
      <x:c r="C38" s="25" t="n">
        <x:v>1990</x:v>
      </x:c>
      <x:c r="D38" s="25" t="str"/>
      <x:c r="E38" s="25" t="str"/>
      <x:c r="F38" s="25" t="str">
        <x:v>10.1111/j.1467-8659.1990.tb00427.x</x:v>
      </x:c>
      <x:c r="G38" s="25" t="str">
        <x:v>https://doi.org/10.1111/j.1467-8659.1990.tb00427.x</x:v>
      </x:c>
      <x:c r="H38" s="25" t="str">
        <x:v>Seed/snowball</x:v>
      </x:c>
      <x:c r="I38" s="25" t="str">
        <x:v>3D mental model</x:v>
      </x:c>
      <x:c r="J38" s="25" t="str">
        <x:v>2D pick-and-drag can specify 3D transforms when mappings align with designers' manipulation models.</x:v>
      </x:c>
      <x:c r="K38" s="25" t="str">
        <x:v>Decode drag using view plane, object axes, constraints and visible handles; retain competing frame interpretations when ambiguous.</x:v>
      </x:c>
      <x:c r="L38" s="25" t="str">
        <x:v>Ambiguous depth/axis mappings require constrained preview or explicit frame selection.</x:v>
      </x:c>
      <x:c r="M38" s="25" t="str">
        <x:v>Full text or extended abstract/author copy inspected</x:v>
      </x:c>
      <x:c r="N38" s="25" t="str">
        <x:v>Include</x:v>
      </x:c>
    </x:row>
    <x:row r="39">
      <x:c r="A39" s="20" t="str">
        <x:v>I35</x:v>
      </x:c>
      <x:c r="B39" s="25" t="str">
        <x:v>A screen-space formulation for 2D and 3D direct manipulation</x:v>
      </x:c>
      <x:c r="C39" s="25" t="n">
        <x:v>2009</x:v>
      </x:c>
      <x:c r="D39" s="25" t="str">
        <x:v>Jason L. Reisman; Philip L. Davidson; Jefferson Y. Han</x:v>
      </x:c>
      <x:c r="E39" s="25" t="str">
        <x:v>Proceedings of the 22nd annual ACM symposium on User interface software and technology</x:v>
      </x:c>
      <x:c r="F39" s="25" t="str">
        <x:v>10.1145/1622176.1622190</x:v>
      </x:c>
      <x:c r="G39" s="25" t="str">
        <x:v>https://doi.org/10.1145/1622176.1622190</x:v>
      </x:c>
      <x:c r="H39" s="25" t="str">
        <x:v>Crossref</x:v>
      </x:c>
      <x:c r="I39" s="25" t="str">
        <x:v>3D manipulation</x:v>
      </x:c>
      <x:c r="J39" s="25" t="str">
        <x:v>Screen-space constraints make manipulation behavior consistent with visible cursor motion.</x:v>
      </x:c>
      <x:c r="K39" s="25" t="str">
        <x:v>Use screen-space displacement as evidence while reasoning over 3D constraints and object semantics.</x:v>
      </x:c>
      <x:c r="L39" s="25" t="str">
        <x:v>If screen-space intention conflicts with geometric feasibility, show constraint-preserving alternatives.</x:v>
      </x:c>
      <x:c r="M39" s="25" t="str">
        <x:v>Full text or extended abstract/author copy inspected</x:v>
      </x:c>
      <x:c r="N39" s="25" t="str">
        <x:v>Include</x:v>
      </x:c>
    </x:row>
    <x:row r="40">
      <x:c r="A40" s="20" t="str">
        <x:v>I36</x:v>
      </x:c>
      <x:c r="B40" s="25" t="str">
        <x:v>Teddy: a sketching interface for 3D freeform design</x:v>
      </x:c>
      <x:c r="C40" s="25" t="n">
        <x:v>1999</x:v>
      </x:c>
      <x:c r="D40" s="25" t="str"/>
      <x:c r="E40" s="25" t="str"/>
      <x:c r="F40" s="25" t="str">
        <x:v>10.1145/311535.311602</x:v>
      </x:c>
      <x:c r="G40" s="25" t="str">
        <x:v>https://doi.org/10.1145/311535.311602</x:v>
      </x:c>
      <x:c r="H40" s="25" t="str">
        <x:v>Seed/snowball</x:v>
      </x:c>
      <x:c r="I40" s="25" t="str">
        <x:v>Sketch-based 3D creation</x:v>
      </x:c>
      <x:c r="J40" s="25" t="str">
        <x:v>Simple strokes are interpreted as 3D creation/editing operations for rapid freeform modeling.</x:v>
      </x:c>
      <x:c r="K40" s="25" t="str">
        <x:v>Sketch/brush signals are compact but ambiguous semantic evidence; interpretations depend on state and stroke context.</x:v>
      </x:c>
      <x:c r="L40" s="25" t="str">
        <x:v>Keep stroke interpretation provisional until a 3D preview makes the inferred operation visible.</x:v>
      </x:c>
      <x:c r="M40" s="25" t="str">
        <x:v>Full text or extended abstract/author copy inspected</x:v>
      </x:c>
      <x:c r="N40" s="25" t="str">
        <x:v>Include</x:v>
      </x:c>
    </x:row>
    <x:row r="41">
      <x:c r="A41" s="20" t="str">
        <x:v>I37</x:v>
      </x:c>
      <x:c r="B41" s="25" t="str">
        <x:v>Modeling by example</x:v>
      </x:c>
      <x:c r="C41" s="25" t="n">
        <x:v>2004</x:v>
      </x:c>
      <x:c r="D41" s="25" t="str"/>
      <x:c r="E41" s="25" t="str"/>
      <x:c r="F41" s="25" t="str">
        <x:v>10.1145/1015706.1015775</x:v>
      </x:c>
      <x:c r="G41" s="25" t="str">
        <x:v>https://doi.org/10.1145/1015706.1015775</x:v>
      </x:c>
      <x:c r="H41" s="25" t="str">
        <x:v>Seed/snowball</x:v>
      </x:c>
      <x:c r="I41" s="25" t="str">
        <x:v>Example-based 3D modeling</x:v>
      </x:c>
      <x:c r="J41" s="25" t="str">
        <x:v>Example-based composition lets users express intent through choosing and arranging meaningful parts.</x:v>
      </x:c>
      <x:c r="K41" s="25" t="str">
        <x:v>Selections and accepted variants provide semantic-part and style evidence that can guide retrieval and generation.</x:v>
      </x:c>
      <x:c r="L41" s="25" t="str">
        <x:v>Preserve interfaces and accepted neighboring structure when replacing a part.</x:v>
      </x:c>
      <x:c r="M41" s="25" t="str">
        <x:v>Full text or extended abstract/author copy inspected</x:v>
      </x:c>
      <x:c r="N41" s="25" t="str">
        <x:v>Include</x:v>
      </x:c>
    </x:row>
    <x:row r="42">
      <x:c r="A42" s="20" t="str">
        <x:v>I38</x:v>
      </x:c>
      <x:c r="B42" s="25" t="str">
        <x:v>iWIRES: an analyze-and-edit approach to shape manipulation</x:v>
      </x:c>
      <x:c r="C42" s="25" t="n">
        <x:v>2009</x:v>
      </x:c>
      <x:c r="D42" s="25" t="str"/>
      <x:c r="E42" s="25" t="str"/>
      <x:c r="F42" s="25" t="str">
        <x:v>10.1145/1576246.1531375</x:v>
      </x:c>
      <x:c r="G42" s="25" t="str">
        <x:v>https://doi.org/10.1145/1576246.1531375</x:v>
      </x:c>
      <x:c r="H42" s="25" t="str">
        <x:v>Seed/snowball</x:v>
      </x:c>
      <x:c r="I42" s="25" t="str">
        <x:v>Structure-aware shape editing</x:v>
      </x:c>
      <x:c r="J42" s="25" t="str">
        <x:v>Structural relationships guide editing so global shape regularities survive local manipulation.</x:v>
      </x:c>
      <x:c r="K42" s="25" t="str">
        <x:v>Infer intended change jointly with symmetry, alignment, contact and part relations.</x:v>
      </x:c>
      <x:c r="L42" s="25" t="str">
        <x:v>Structural constraints are guardrails; breaking them requires explicit intent or clear preview.</x:v>
      </x:c>
      <x:c r="M42" s="25" t="str">
        <x:v>Full text or extended abstract/author copy inspected</x:v>
      </x:c>
      <x:c r="N42" s="25" t="str">
        <x:v>Include</x:v>
      </x:c>
    </x:row>
    <x:row r="43">
      <x:c r="A43" s="20" t="str">
        <x:v>I39</x:v>
      </x:c>
      <x:c r="B43" s="25" t="str">
        <x:v>Extended 3D annotations as a new mechanism to explicitly communicate geometric design intent and increase CAD model reusability</x:v>
      </x:c>
      <x:c r="C43" s="25" t="n">
        <x:v>2014</x:v>
      </x:c>
      <x:c r="D43" s="25" t="str">
        <x:v>Jorge D. Camba; Manuel Contero; Michael Johnson</x:v>
      </x:c>
      <x:c r="E43" s="25" t="str">
        <x:v>Computer-Aided Design</x:v>
      </x:c>
      <x:c r="F43" s="25" t="str">
        <x:v>10.1016/j.cad.2014.07.001</x:v>
      </x:c>
      <x:c r="G43" s="25" t="str">
        <x:v>https://doi.org/10.1016/j.cad.2014.07.001</x:v>
      </x:c>
      <x:c r="H43" s="25" t="str">
        <x:v>Crossref; OpenAlex</x:v>
      </x:c>
      <x:c r="I43" s="25" t="str">
        <x:v>Design intent representation</x:v>
      </x:c>
      <x:c r="J43" s="25" t="str">
        <x:v>Explicit annotations preserve geometric design intent beyond raw final geometry.</x:v>
      </x:c>
      <x:c r="K43" s="25" t="str">
        <x:v>Store inferred target, scope, preserved constraints, rationale and confidence as editable intent annotations.</x:v>
      </x:c>
      <x:c r="L43" s="25" t="str">
        <x:v>Inferred annotations remain hypotheses until confirmed; never present them as user-authored facts.</x:v>
      </x:c>
      <x:c r="M43" s="25" t="str">
        <x:v>Full text or extended abstract/author copy inspected</x:v>
      </x:c>
      <x:c r="N43" s="25" t="str">
        <x:v>Include</x:v>
      </x:c>
    </x:row>
    <x:row r="44">
      <x:c r="A44" s="20" t="str">
        <x:v>I40</x:v>
      </x:c>
      <x:c r="B44" s="25" t="str">
        <x:v>A Survey on 3D Virtual Object Manipulation: From the Desktop to Immersive Virtual Environments</x:v>
      </x:c>
      <x:c r="C44" s="25" t="n">
        <x:v>2019</x:v>
      </x:c>
      <x:c r="D44" s="25" t="str"/>
      <x:c r="E44" s="25" t="str"/>
      <x:c r="F44" s="25" t="str">
        <x:v>10.1111/cgf.13390</x:v>
      </x:c>
      <x:c r="G44" s="25" t="str">
        <x:v>https://doi.org/10.1111/cgf.13390</x:v>
      </x:c>
      <x:c r="H44" s="25" t="str">
        <x:v>Seed/snowball</x:v>
      </x:c>
      <x:c r="I44" s="25" t="str">
        <x:v>3D manipulation survey</x:v>
      </x:c>
      <x:c r="J44" s="25" t="str">
        <x:v>Taxonomizes manipulation techniques, input modalities, trends and open challenges.</x:v>
      </x:c>
      <x:c r="K44" s="25" t="str">
        <x:v>Use device/modality/task taxonomies to normalize interaction signals before semantic inference.</x:v>
      </x:c>
      <x:c r="L44" s="25" t="str">
        <x:v>Boundary thresholds should adapt to device noise, degrees of freedom and manipulation technique.</x:v>
      </x:c>
      <x:c r="M44" s="25" t="str">
        <x:v>Full text or extended abstract/author copy inspected</x:v>
      </x:c>
      <x:c r="N44" s="25" t="str">
        <x:v>Include</x:v>
      </x:c>
    </x:row>
    <x:row r="45">
      <x:c r="A45" s="20" t="str">
        <x:v>I41</x:v>
      </x:c>
      <x:c r="B45" s="25" t="str">
        <x:v>Sketch-based modeling: A survey</x:v>
      </x:c>
      <x:c r="C45" s="25" t="n">
        <x:v>2009</x:v>
      </x:c>
      <x:c r="D45" s="25" t="str"/>
      <x:c r="E45" s="25" t="str"/>
      <x:c r="F45" s="25" t="str">
        <x:v>10.1016/j.cag.2008.09.013</x:v>
      </x:c>
      <x:c r="G45" s="25" t="str">
        <x:v>https://doi.org/10.1016/j.cag.2008.09.013</x:v>
      </x:c>
      <x:c r="H45" s="25" t="str">
        <x:v>Seed/snowball</x:v>
      </x:c>
      <x:c r="I45" s="25" t="str">
        <x:v>Sketch ambiguity</x:v>
      </x:c>
      <x:c r="J45" s="25" t="str">
        <x:v>Sketch-based systems interpret input as create, detail or deform, and must cope with intrinsic ambiguity.</x:v>
      </x:c>
      <x:c r="K45" s="25" t="str">
        <x:v>Treat brush/sketch as a distribution over operation families conditioned on stage and current geometry.</x:v>
      </x:c>
      <x:c r="L45" s="25" t="str">
        <x:v>When create/detail/deform hypotheses are close, present contrastive previews rather than choose silently.</x:v>
      </x:c>
      <x:c r="M45" s="25" t="str">
        <x:v>Full text or extended abstract/author copy inspected</x:v>
      </x:c>
      <x:c r="N45" s="25" t="str">
        <x:v>Include</x:v>
      </x:c>
    </x:row>
    <x:row r="46">
      <x:c r="A46" s="20" t="str">
        <x:v>I42</x:v>
      </x:c>
      <x:c r="B46" s="25" t="str">
        <x:v>Reality-based interaction: a framework for post-WIMP interfaces</x:v>
      </x:c>
      <x:c r="C46" s="25" t="n">
        <x:v>2008</x:v>
      </x:c>
      <x:c r="D46" s="25" t="str"/>
      <x:c r="E46" s="25" t="str"/>
      <x:c r="F46" s="25" t="str">
        <x:v>10.1145/1357054.1357089</x:v>
      </x:c>
      <x:c r="G46" s="25" t="str">
        <x:v>https://doi.org/10.1145/1357054.1357089</x:v>
      </x:c>
      <x:c r="H46" s="25" t="str">
        <x:v>Seed/snowball</x:v>
      </x:c>
      <x:c r="I46" s="25" t="str">
        <x:v>Reality-based interaction</x:v>
      </x:c>
      <x:c r="J46" s="25" t="str">
        <x:v>Interfaces trade realism against expressive power, efficiency, versatility, ergonomics and accessibility.</x:v>
      </x:c>
      <x:c r="K46" s="25" t="str">
        <x:v>Use users' physical/spatial expectations as priors, while making departures caused by 3D constraints visible.</x:v>
      </x:c>
      <x:c r="L46" s="25" t="str">
        <x:v>When an inferred operation violates strong real-world expectations, preview and explain rather than silently execute.</x:v>
      </x:c>
      <x:c r="M46" s="25" t="str">
        <x:v>Full text or extended abstract/author copy inspected</x:v>
      </x:c>
      <x:c r="N46" s="25" t="str">
        <x:v>Include</x:v>
      </x:c>
    </x:row>
    <x:row r="47">
      <x:c r="A47" s="20" t="str">
        <x:v>I43</x:v>
      </x:c>
      <x:c r="B47" s="25" t="str">
        <x:v>Distributed cognition: toward a new foundation for human-computer interaction research</x:v>
      </x:c>
      <x:c r="C47" s="25" t="n">
        <x:v>2000</x:v>
      </x:c>
      <x:c r="D47" s="25" t="str"/>
      <x:c r="E47" s="25" t="str"/>
      <x:c r="F47" s="25" t="str">
        <x:v>10.1145/353485.353487</x:v>
      </x:c>
      <x:c r="G47" s="25" t="str">
        <x:v>https://doi.org/10.1145/353485.353487</x:v>
      </x:c>
      <x:c r="H47" s="25" t="str">
        <x:v>Seed/snowball</x:v>
      </x:c>
      <x:c r="I47" s="25" t="str">
        <x:v>Distributed cognition</x:v>
      </x:c>
      <x:c r="J47" s="25" t="str">
        <x:v>Cognition is distributed across people, artifacts, representations and time rather than located only in the head.</x:v>
      </x:c>
      <x:c r="K47" s="25" t="str">
        <x:v>Treat the viewport, geometry, gizmos, candidate board and history as parts of the intent-forming system.</x:v>
      </x:c>
      <x:c r="L47" s="25" t="str">
        <x:v>Do not assume a stable hidden intention precedes action; preserve representations that let intent emerge through interaction.</x:v>
      </x:c>
      <x:c r="M47" s="25" t="str">
        <x:v>Full text or extended abstract/author copy inspected</x:v>
      </x:c>
      <x:c r="N47" s="25" t="str">
        <x:v>Include</x:v>
      </x:c>
    </x:row>
    <x:row r="48">
      <x:c r="A48" s="20" t="str">
        <x:v>I44</x:v>
      </x:c>
      <x:c r="B48" s="25" t="str">
        <x:v>Grounding in Communication</x:v>
      </x:c>
      <x:c r="C48" s="25" t="n">
        <x:v>1991</x:v>
      </x:c>
      <x:c r="D48" s="25" t="str"/>
      <x:c r="E48" s="25" t="str"/>
      <x:c r="F48" s="25" t="str">
        <x:v>10.1037/10096-006</x:v>
      </x:c>
      <x:c r="G48" s="25" t="str">
        <x:v>https://doi.org/10.1037/10096-006</x:v>
      </x:c>
      <x:c r="H48" s="25" t="str">
        <x:v>Seed/snowball</x:v>
      </x:c>
      <x:c r="I48" s="25" t="str">
        <x:v>Common ground</x:v>
      </x:c>
      <x:c r="J48" s="25" t="str">
        <x:v>Collaboration requires evidence that participants share enough understanding for the current purpose, plus repair when they do not.</x:v>
      </x:c>
      <x:c r="K48" s="25" t="str">
        <x:v>Interpretation previews and user corrections should update explicit common ground about target, scope and preserved constraints.</x:v>
      </x:c>
      <x:c r="L48" s="25" t="str">
        <x:v>Agent may act only to the level supported by grounding evidence; misunderstanding triggers repair, not stronger automation.</x:v>
      </x:c>
      <x:c r="M48" s="25" t="str">
        <x:v>Full text or extended abstract/author copy inspected</x:v>
      </x:c>
      <x:c r="N48" s="25" t="str">
        <x:v>Include</x:v>
      </x:c>
    </x:row>
    <x:row r="49">
      <x:c r="A49" s="20" t="str">
        <x:v>I45</x:v>
      </x:c>
      <x:c r="B49" s="25" t="str">
        <x:v>Multi-Modal Repairs of Conversational Breakdowns in Task-Oriented Dialogs</x:v>
      </x:c>
      <x:c r="C49" s="25" t="n">
        <x:v>2020</x:v>
      </x:c>
      <x:c r="D49" s="25" t="str">
        <x:v>Toby Jia-Jun Li; Jingya Chen; Haijun Xia; Tom M. Mitchell; Brad A. Myers</x:v>
      </x:c>
      <x:c r="E49" s="25" t="str"/>
      <x:c r="F49" s="25" t="str">
        <x:v>10.1145/3379337.3415820</x:v>
      </x:c>
      <x:c r="G49" s="25" t="str">
        <x:v>https://doi.org/10.1145/3379337.3415820</x:v>
      </x:c>
      <x:c r="H49" s="25" t="str">
        <x:v>OpenAlex</x:v>
      </x:c>
      <x:c r="I49" s="25" t="str">
        <x:v>Repair</x:v>
      </x:c>
      <x:c r="J49" s="25" t="str">
        <x:v>Users repair breakdowns through coordinated verbal and nonverbal signals.</x:v>
      </x:c>
      <x:c r="K49" s="25" t="str">
        <x:v>Treat reselection, counter-drag, undo and pointing after a bad preview as repair sequences, not unrelated events.</x:v>
      </x:c>
      <x:c r="L49" s="25" t="str">
        <x:v>A detected repair immediately lowers confidence, suspends long-term learning and returns initiative to the user.</x:v>
      </x:c>
      <x:c r="M49" s="25" t="str">
        <x:v>Full text or extended abstract/author copy inspected</x:v>
      </x:c>
      <x:c r="N49" s="25" t="str">
        <x:v>Include</x:v>
      </x:c>
    </x:row>
    <x:row r="50">
      <x:c r="A50" s="20" t="str">
        <x:v>I46</x:v>
      </x:c>
      <x:c r="B50" s="25" t="str">
        <x:v>Grounding needs</x:v>
      </x:c>
      <x:c r="C50" s="25" t="n">
        <x:v>2005</x:v>
      </x:c>
      <x:c r="D50" s="25" t="str">
        <x:v>Jeremy P. Birnholtz; Thomas A. Finholt; Daniel B. Horn; Sung Joo Bae</x:v>
      </x:c>
      <x:c r="E50" s="25" t="str">
        <x:v>Proceedings of the SIGCHI Conference on Human Factors in Computing Systems</x:v>
      </x:c>
      <x:c r="F50" s="25" t="str">
        <x:v>10.1145/1054972.1054976</x:v>
      </x:c>
      <x:c r="G50" s="25" t="str">
        <x:v>https://doi.org/10.1145/1054972.1054976</x:v>
      </x:c>
      <x:c r="H50" s="25" t="str">
        <x:v>Crossref</x:v>
      </x:c>
      <x:c r="I50" s="25" t="str">
        <x:v>Grounding cost</x:v>
      </x:c>
      <x:c r="J50" s="25" t="str">
        <x:v>The amount and form of grounding needed depends on task, medium and cost of misunderstanding.</x:v>
      </x:c>
      <x:c r="K50" s="25" t="str">
        <x:v>Scale explanation and confirmation depth with edit impact and ambiguity.</x:v>
      </x:c>
      <x:c r="L50" s="25" t="str">
        <x:v>Low-cost reversible previews need lightweight grounding; structural edits need explicit mutual confirmation.</x:v>
      </x:c>
      <x:c r="M50" s="25" t="str">
        <x:v>Full text or extended abstract/author copy inspected</x:v>
      </x:c>
      <x:c r="N50" s="25" t="str">
        <x:v>Include</x:v>
      </x:c>
    </x:row>
    <x:row r="51">
      <x:c r="A51" s="20" t="str">
        <x:v>I47</x:v>
      </x:c>
      <x:c r="B51" s="25" t="str">
        <x:v>Learning User Intent from Action Sequences on Interactive Systems</x:v>
      </x:c>
      <x:c r="C51" s="25" t="n">
        <x:v>2017</x:v>
      </x:c>
      <x:c r="D51" s="25" t="str"/>
      <x:c r="E51" s="25" t="str"/>
      <x:c r="F51" s="25" t="str">
        <x:v>10.48550/arXiv.1712.01328</x:v>
      </x:c>
      <x:c r="G51" s="25" t="str">
        <x:v>https://doi.org/10.48550/arXiv.1712.01328</x:v>
      </x:c>
      <x:c r="H51" s="25" t="str">
        <x:v>Seed/snowball</x:v>
      </x:c>
      <x:c r="I51" s="25" t="str">
        <x:v>Sequential intent</x:v>
      </x:c>
      <x:c r="J51" s="25" t="str">
        <x:v>Intent is better inferred from temporally ordered interaction traces than isolated actions.</x:v>
      </x:c>
      <x:c r="K51" s="25" t="str">
        <x:v>Encode interaction episodes with event type, target, delta, timing, undo and state transition.</x:v>
      </x:c>
      <x:c r="L51" s="25" t="str">
        <x:v>Do not cross a takeover boundary from one event; require sequence evidence or explicit instruction.</x:v>
      </x:c>
      <x:c r="M51" s="25" t="str">
        <x:v>Full text or extended abstract/author copy inspected</x:v>
      </x:c>
      <x:c r="N51" s="25" t="str">
        <x:v>Include</x:v>
      </x:c>
    </x:row>
    <x:row r="52">
      <x:c r="A52" s="20" t="str">
        <x:v>I48</x:v>
      </x:c>
      <x:c r="B52" s="25" t="str">
        <x:v>Fast Hierarchical Goal Schema Recognition</x:v>
      </x:c>
      <x:c r="C52" s="25" t="n">
        <x:v>2006</x:v>
      </x:c>
      <x:c r="D52" s="25" t="str"/>
      <x:c r="E52" s="25" t="str"/>
      <x:c r="F52" s="25" t="str"/>
      <x:c r="G52" s="25" t="str">
        <x:v>https://doi.org/</x:v>
      </x:c>
      <x:c r="H52" s="25" t="str">
        <x:v>Seed/snowball</x:v>
      </x:c>
      <x:c r="I52" s="25" t="str">
        <x:v>Hierarchical goal recognition</x:v>
      </x:c>
      <x:c r="J52" s="25" t="str">
        <x:v>Goal recognition can infer activity at multiple nested levels rather than choosing one flat label.</x:v>
      </x:c>
      <x:c r="K52" s="25" t="str">
        <x:v>Represent project goal → design-stage goal → local edit goal → motor action as separate coupled variables.</x:v>
      </x:c>
      <x:c r="L52" s="25" t="str">
        <x:v>High confidence at a motor level cannot authorize action when higher-level scope remains ambiguous.</x:v>
      </x:c>
      <x:c r="M52" s="25" t="str">
        <x:v>Full text or extended abstract/author copy inspected</x:v>
      </x:c>
      <x:c r="N52" s="25" t="str">
        <x:v>Include</x:v>
      </x:c>
    </x:row>
    <x:row r="53">
      <x:c r="A53" s="20" t="str">
        <x:v>I49</x:v>
      </x:c>
      <x:c r="B53" s="25" t="str">
        <x:v>Explicating Implicit Interaction</x:v>
      </x:c>
      <x:c r="C53" s="25" t="n">
        <x:v>2019</x:v>
      </x:c>
      <x:c r="D53" s="25" t="str">
        <x:v>Barış Serim; Giulio Jacucci</x:v>
      </x:c>
      <x:c r="E53" s="25" t="str"/>
      <x:c r="F53" s="25" t="str">
        <x:v>10.1145/3290605.3300647</x:v>
      </x:c>
      <x:c r="G53" s="25" t="str">
        <x:v>https://doi.org/10.1145/3290605.3300647</x:v>
      </x:c>
      <x:c r="H53" s="25" t="str">
        <x:v>OpenAlex</x:v>
      </x:c>
      <x:c r="I53" s="25" t="str">
        <x:v>Implicit interaction</x:v>
      </x:c>
      <x:c r="J53" s="25" t="str">
        <x:v>Implicit interaction depends on system interpretation of user behavior not primarily performed as an explicit command.</x:v>
      </x:c>
      <x:c r="K53" s="25" t="str">
        <x:v>Classify signals by explicitness and preserve uncertainty about whether behavior was communicative, operational or incidental.</x:v>
      </x:c>
      <x:c r="L53" s="25" t="str">
        <x:v>Incidental or weakly communicative signals may personalize suggestions but never authorize irreversible edits.</x:v>
      </x:c>
      <x:c r="M53" s="25" t="str">
        <x:v>Full text or extended abstract/author copy inspected</x:v>
      </x:c>
      <x:c r="N53" s="25" t="str">
        <x:v>Include</x:v>
      </x:c>
    </x:row>
    <x:row r="54">
      <x:c r="A54" s="20" t="str">
        <x:v>I50</x:v>
      </x:c>
      <x:c r="B54" s="25" t="str">
        <x:v>Designing Human-Agent Collaborations: Commitment, responsiveness, and support</x:v>
      </x:c>
      <x:c r="C54" s="25" t="n">
        <x:v>2022</x:v>
      </x:c>
      <x:c r="D54" s="25" t="str">
        <x:v>Nazlı Cila</x:v>
      </x:c>
      <x:c r="E54" s="25" t="str">
        <x:v>CHI Conference on Human Factors in Computing Systems</x:v>
      </x:c>
      <x:c r="F54" s="25" t="str">
        <x:v>10.1145/3491102.3517500</x:v>
      </x:c>
      <x:c r="G54" s="25" t="str">
        <x:v>https://doi.org/10.1145/3491102.3517500</x:v>
      </x:c>
      <x:c r="H54" s="25" t="str">
        <x:v>OpenAlex</x:v>
      </x:c>
      <x:c r="I54" s="25" t="str">
        <x:v>Collaboration commitments</x:v>
      </x:c>
      <x:c r="J54" s="25" t="str">
        <x:v>Effective human-agent collaboration depends on mutual commitment, responsiveness and appropriate support.</x:v>
      </x:c>
      <x:c r="K54" s="25" t="str">
        <x:v>Track accepted structures and promised constraints as collaboration commitments distinct from style preferences.</x:v>
      </x:c>
      <x:c r="L54" s="25" t="str">
        <x:v>Agent must not reopen or overwrite commitments without an explicit renegotiation signal.</x:v>
      </x:c>
      <x:c r="M54" s="25" t="str">
        <x:v>Full text or extended abstract/author copy inspected</x:v>
      </x:c>
      <x:c r="N54" s="25" t="str">
        <x:v>Include</x:v>
      </x:c>
    </x:row>
    <x:row r="55">
      <x:c r="A55" s="20" t="str">
        <x:v>I51</x:v>
      </x:c>
      <x:c r="B55" s="25" t="str">
        <x:v>The Role of Trust in Proactive Conversational Assistants</x:v>
      </x:c>
      <x:c r="C55" s="25" t="n">
        <x:v>2021</x:v>
      </x:c>
      <x:c r="D55" s="25" t="str">
        <x:v>Matthias Kraus; Nicolas Wagner; Zoraida Callejas; Wolfgang Minker</x:v>
      </x:c>
      <x:c r="E55" s="25" t="str">
        <x:v>IEEE Access</x:v>
      </x:c>
      <x:c r="F55" s="25" t="str">
        <x:v>10.1109/ACCESS.2021.3103893</x:v>
      </x:c>
      <x:c r="G55" s="25" t="str">
        <x:v>https://doi.org/10.1109/access.2021.3103893</x:v>
      </x:c>
      <x:c r="H55" s="25" t="str">
        <x:v>OpenAlex</x:v>
      </x:c>
      <x:c r="I55" s="25" t="str">
        <x:v>Proactive assistance</x:v>
      </x:c>
      <x:c r="J55" s="25" t="str">
        <x:v>Acceptance of proactive assistance depends on trust, relevance and appropriate timing.</x:v>
      </x:c>
      <x:c r="K55" s="25" t="str">
        <x:v>Gate proactive 3D suggestions by natural breakpoints, current workload and history of accepted initiative.</x:v>
      </x:c>
      <x:c r="L55" s="25" t="str">
        <x:v>Low trust or repeated dismissal reduces initiative even when model confidence is high.</x:v>
      </x:c>
      <x:c r="M55" s="25" t="str">
        <x:v>Full text or extended abstract/author copy inspected</x:v>
      </x:c>
      <x:c r="N55" s="25" t="str">
        <x:v>Include</x:v>
      </x:c>
    </x:row>
    <x:row r="56">
      <x:c r="A56" s="20" t="str">
        <x:v>I52</x:v>
      </x:c>
      <x:c r="B56" s="25" t="str">
        <x:v>Proactive AI as a Catalyst for Creativity? Balancing Human Agency and AI Contribution in Collaborative Story Writing</x:v>
      </x:c>
      <x:c r="C56" s="25" t="n">
        <x:v>2026</x:v>
      </x:c>
      <x:c r="D56" s="25" t="str"/>
      <x:c r="E56" s="25" t="str"/>
      <x:c r="F56" s="25" t="str">
        <x:v>10.1145/3772318.3790848</x:v>
      </x:c>
      <x:c r="G56" s="25" t="str">
        <x:v>https://doi.org/10.1145/3772318.3790848</x:v>
      </x:c>
      <x:c r="H56" s="25" t="str">
        <x:v>Seed/snowball</x:v>
      </x:c>
      <x:c r="I56" s="25" t="str">
        <x:v>Proactive co-creation</x:v>
      </x:c>
      <x:c r="J56" s="25" t="str">
        <x:v>Proactive contribution can stimulate creativity but risks reducing human agency when timing and control are poor.</x:v>
      </x:c>
      <x:c r="K56" s="25" t="str">
        <x:v>Treat initiative rhythm as a design variable: on-demand, turn-based, breakpoint-triggered or concurrent.</x:v>
      </x:c>
      <x:c r="L56" s="25" t="str">
        <x:v>Continuous unsolicited changes are disallowed during high-commitment fine manipulation.</x:v>
      </x:c>
      <x:c r="M56" s="25" t="str">
        <x:v>Full text or extended abstract/author copy inspected</x:v>
      </x:c>
      <x:c r="N56" s="25" t="str">
        <x:v>Include</x:v>
      </x:c>
    </x:row>
    <x:row r="57">
      <x:c r="A57" s="20" t="str">
        <x:v>I53</x:v>
      </x:c>
      <x:c r="B57" s="25" t="str">
        <x:v>When is a Tool a Tool? User Perceptions of System Agency in Human–AI Co-Creative Drawing</x:v>
      </x:c>
      <x:c r="C57" s="25" t="n">
        <x:v>2023</x:v>
      </x:c>
      <x:c r="D57" s="25" t="str">
        <x:v>Tomas Lawton; Kazjon Grace; Francisco Ibarrola</x:v>
      </x:c>
      <x:c r="E57" s="25" t="str"/>
      <x:c r="F57" s="25" t="str">
        <x:v>10.1145/3563657.3595977</x:v>
      </x:c>
      <x:c r="G57" s="25" t="str">
        <x:v>https://doi.org/10.1145/3563657.3595977</x:v>
      </x:c>
      <x:c r="H57" s="25" t="str">
        <x:v>OpenAlex</x:v>
      </x:c>
      <x:c r="I57" s="25" t="str">
        <x:v>Perceived agency</x:v>
      </x:c>
      <x:c r="J57" s="25" t="str">
        <x:v>Users' perception of system agency depends on behavior and interaction framing, not just technical autonomy.</x:v>
      </x:c>
      <x:c r="K57" s="25" t="str">
        <x:v>Measure perceived partner/tool role alongside objective initiative behavior.</x:v>
      </x:c>
      <x:c r="L57" s="25" t="str">
        <x:v>If the agent is framed as a tool, silent autonomous edits violate expectations sooner than when collaboration is negotiated.</x:v>
      </x:c>
      <x:c r="M57" s="25" t="str">
        <x:v>Full text or extended abstract/author copy inspected</x:v>
      </x:c>
      <x:c r="N57" s="25" t="str">
        <x:v>Include</x:v>
      </x:c>
    </x:row>
    <x:row r="58">
      <x:c r="A58" s="20" t="str">
        <x:v>I54</x:v>
      </x:c>
      <x:c r="B58" s="25" t="str">
        <x:v>The AI Ghostwriter Effect: When Users do not Perceive Ownership of AI-Generated Text but Self-Declare as Authors</x:v>
      </x:c>
      <x:c r="C58" s="25" t="n">
        <x:v>2023</x:v>
      </x:c>
      <x:c r="D58" s="25" t="str">
        <x:v>Fiona Draxler; Anna Werner; Florian Lehmann; Matthias Hoppe; Albrecht Schmidt; Daniel Buschek; Robin Welsch</x:v>
      </x:c>
      <x:c r="E58" s="25" t="str">
        <x:v>ACM Transactions on Computer-Human Interaction</x:v>
      </x:c>
      <x:c r="F58" s="25" t="str">
        <x:v>10.1145/3637875</x:v>
      </x:c>
      <x:c r="G58" s="25" t="str">
        <x:v>https://doi.org/10.1145/3637875</x:v>
      </x:c>
      <x:c r="H58" s="25" t="str">
        <x:v>OpenAlex</x:v>
      </x:c>
      <x:c r="I58" s="25" t="str">
        <x:v>Ownership</x:v>
      </x:c>
      <x:c r="J58" s="25" t="str">
        <x:v>AI contribution can separate formal authorship from felt ownership of the produced artifact.</x:v>
      </x:c>
      <x:c r="K58" s="25" t="str">
        <x:v>Record contribution provenance and let users transform/appropriate suggestions before commitment.</x:v>
      </x:c>
      <x:c r="L58" s="25" t="str">
        <x:v>High agent contribution to final geometry requires stronger user selection and editing to preserve ownership.</x:v>
      </x:c>
      <x:c r="M58" s="25" t="str">
        <x:v>Full text or extended abstract/author copy inspected</x:v>
      </x:c>
      <x:c r="N58" s="25" t="str">
        <x:v>Include</x:v>
      </x:c>
    </x:row>
    <x:row r="59">
      <x:c r="A59" s="20" t="str">
        <x:v>I55</x:v>
      </x:c>
      <x:c r="B59" s="25" t="str">
        <x:v>Shaping Human-AI Collaboration: Varied Scaffolding Levels in Co-writing with Language Models</x:v>
      </x:c>
      <x:c r="C59" s="25" t="n">
        <x:v>2024</x:v>
      </x:c>
      <x:c r="D59" s="25" t="str">
        <x:v>Paramveer S. Dhillon; Somayeh Molaei; Jiaqi Li; Maximilian Golub; Shaochun Zheng; Lionel Robert</x:v>
      </x:c>
      <x:c r="E59" s="25" t="str"/>
      <x:c r="F59" s="25" t="str">
        <x:v>10.1145/3613904.3642134</x:v>
      </x:c>
      <x:c r="G59" s="25" t="str">
        <x:v>https://doi.org/10.1145/3613904.3642134</x:v>
      </x:c>
      <x:c r="H59" s="25" t="str">
        <x:v>OpenAlex</x:v>
      </x:c>
      <x:c r="I59" s="25" t="str">
        <x:v>Scaffolding</x:v>
      </x:c>
      <x:c r="J59" s="25" t="str">
        <x:v>Different levels of AI scaffolding change collaboration process and outcomes.</x:v>
      </x:c>
      <x:c r="K59" s="25" t="str">
        <x:v>Vary help from interpretation hints to candidate generation rather than offering one fixed assistance mode.</x:v>
      </x:c>
      <x:c r="L59" s="25" t="str">
        <x:v>Scaffolding should decrease as user intent becomes precise and commitment rises.</x:v>
      </x:c>
      <x:c r="M59" s="25" t="str">
        <x:v>Full text or extended abstract/author copy inspected</x:v>
      </x:c>
      <x:c r="N59" s="25" t="str">
        <x:v>Include</x:v>
      </x:c>
    </x:row>
    <x:row r="60">
      <x:c r="A60" s="20" t="str">
        <x:v>I56</x:v>
      </x:c>
      <x:c r="B60" s="25" t="str">
        <x:v>AI Chains: Transparent and Controllable Human-AI Interaction by Chaining Large Language Model Prompts</x:v>
      </x:c>
      <x:c r="C60" s="25" t="n">
        <x:v>2022</x:v>
      </x:c>
      <x:c r="D60" s="25" t="str">
        <x:v>Tongshuang Wu; Michael Terry; Carrie J. Cai</x:v>
      </x:c>
      <x:c r="E60" s="25" t="str">
        <x:v>CHI Conference on Human Factors in Computing Systems</x:v>
      </x:c>
      <x:c r="F60" s="25" t="str">
        <x:v>10.1145/3491102.3517582</x:v>
      </x:c>
      <x:c r="G60" s="25" t="str">
        <x:v>https://doi.org/10.1145/3491102.3517582</x:v>
      </x:c>
      <x:c r="H60" s="25" t="str">
        <x:v>OpenAlex</x:v>
      </x:c>
      <x:c r="I60" s="25" t="str">
        <x:v>Controllable AI workflows</x:v>
      </x:c>
      <x:c r="J60" s="25" t="str">
        <x:v>Decomposed, inspectable AI steps can improve transparency and control.</x:v>
      </x:c>
      <x:c r="K60" s="25" t="str">
        <x:v>Expose signal parsing, hypothesis formation, memory retrieval, constraint checks and candidate generation as inspectable stages.</x:v>
      </x:c>
      <x:c r="L60" s="25" t="str">
        <x:v>Users can stop or correct the chain before any geometry-changing stage.</x:v>
      </x:c>
      <x:c r="M60" s="25" t="str">
        <x:v>Full text or extended abstract/author copy inspected</x:v>
      </x:c>
      <x:c r="N60" s="25" t="str">
        <x:v>Include</x:v>
      </x:c>
    </x:row>
    <x:row r="61">
      <x:c r="A61" s="20" t="str">
        <x:v>I57</x:v>
      </x:c>
      <x:c r="B61" s="25" t="str">
        <x:v>Beyond Prompts: Exploring the Design Space of Mixed-Initiative Co-Creativity Systems</x:v>
      </x:c>
      <x:c r="C61" s="25" t="n">
        <x:v>2023</x:v>
      </x:c>
      <x:c r="D61" s="25" t="str">
        <x:v>Zhiyu Lin; Upol Ehsan; Rohan Agarwal; Samihan Dani; Vidushi Vashishth; Mark Riedl</x:v>
      </x:c>
      <x:c r="E61" s="25" t="str">
        <x:v>arXiv (Cornell University)</x:v>
      </x:c>
      <x:c r="F61" s="25" t="str">
        <x:v>10.48550/arXiv.2305.07465</x:v>
      </x:c>
      <x:c r="G61" s="25" t="str">
        <x:v>http://arxiv.org/abs/2305.07465</x:v>
      </x:c>
      <x:c r="H61" s="25" t="str">
        <x:v>OpenAlex</x:v>
      </x:c>
      <x:c r="I61" s="25" t="str">
        <x:v>Co-creative design space</x:v>
      </x:c>
      <x:c r="J61" s="25" t="str">
        <x:v>Co-creativity involves initiative, interaction modality and contribution beyond textual prompting.</x:v>
      </x:c>
      <x:c r="K61" s="25" t="str">
        <x:v>Position direct 3D manipulation as a continuous co-creative channel, not an implicit prompt substitute.</x:v>
      </x:c>
      <x:c r="L61" s="25" t="str">
        <x:v>Agent initiative must be negotiated across stages and modalities.</x:v>
      </x:c>
      <x:c r="M61" s="25" t="str">
        <x:v>Full text or extended abstract/author copy inspected</x:v>
      </x:c>
      <x:c r="N61" s="25" t="str">
        <x:v>Include</x:v>
      </x:c>
    </x:row>
    <x:row r="62">
      <x:c r="A62" s="20" t="str">
        <x:v>I58</x:v>
      </x:c>
      <x:c r="B62" s="25" t="str">
        <x:v>Retrieval-Augmented Generation for Knowledge-Intensive NLP Tasks</x:v>
      </x:c>
      <x:c r="C62" s="25" t="n">
        <x:v>2020</x:v>
      </x:c>
      <x:c r="D62" s="25" t="str"/>
      <x:c r="E62" s="25" t="str"/>
      <x:c r="F62" s="25" t="str">
        <x:v>10.48550/arXiv.2005.11401</x:v>
      </x:c>
      <x:c r="G62" s="25" t="str">
        <x:v>https://doi.org/10.48550/arXiv.2005.11401</x:v>
      </x:c>
      <x:c r="H62" s="25" t="str">
        <x:v>Seed/snowball</x:v>
      </x:c>
      <x:c r="I62" s="25" t="str">
        <x:v>Retrieval augmentation</x:v>
      </x:c>
      <x:c r="J62" s="25" t="str">
        <x:v>Generation can be conditioned on retrieved non-parametric evidence with explicit provenance.</x:v>
      </x:c>
      <x:c r="K62" s="25" t="str">
        <x:v>Retrieve prior episodes, part precedents and constraint cases before proposing an edit.</x:v>
      </x:c>
      <x:c r="L62" s="25" t="str">
        <x:v>Retrieved memories are evidence, not authority; low similarity or conflicting cases lower initiative.</x:v>
      </x:c>
      <x:c r="M62" s="25" t="str">
        <x:v>Full text or extended abstract/author copy inspected</x:v>
      </x:c>
      <x:c r="N62" s="25" t="str">
        <x:v>Include</x:v>
      </x:c>
    </x:row>
    <x:row r="63">
      <x:c r="A63" s="20" t="str">
        <x:v>I59</x:v>
      </x:c>
      <x:c r="B63" s="25" t="str">
        <x:v>Reflexion: Language Agents with Verbal Reinforcement Learning</x:v>
      </x:c>
      <x:c r="C63" s="25" t="n">
        <x:v>2023</x:v>
      </x:c>
      <x:c r="D63" s="25" t="str"/>
      <x:c r="E63" s="25" t="str"/>
      <x:c r="F63" s="25" t="str">
        <x:v>10.48550/arXiv.2303.11366</x:v>
      </x:c>
      <x:c r="G63" s="25" t="str">
        <x:v>https://doi.org/10.48550/arXiv.2303.11366</x:v>
      </x:c>
      <x:c r="H63" s="25" t="str">
        <x:v>Seed/snowball</x:v>
      </x:c>
      <x:c r="I63" s="25" t="str">
        <x:v>Reflective memory</x:v>
      </x:c>
      <x:c r="J63" s="25" t="str">
        <x:v>Agents can store feedback-derived reflections to improve later attempts without weight updates.</x:v>
      </x:c>
      <x:c r="K63" s="25" t="str">
        <x:v>Convert confirmed failure causes into provisional procedural lessons linked to source episodes.</x:v>
      </x:c>
      <x:c r="L63" s="25" t="str">
        <x:v>Reflections require validation across cases before becoming automatic procedures.</x:v>
      </x:c>
      <x:c r="M63" s="25" t="str">
        <x:v>Full text or extended abstract/author copy inspected</x:v>
      </x:c>
      <x:c r="N63" s="25" t="str">
        <x:v>Include</x:v>
      </x:c>
    </x:row>
    <x:row r="64">
      <x:c r="A64" s="20" t="str">
        <x:v>I60</x:v>
      </x:c>
      <x:c r="B64" s="25" t="str">
        <x:v>Voyager: An Open-Ended Embodied Agent with Large Language Models</x:v>
      </x:c>
      <x:c r="C64" s="25" t="n">
        <x:v>2023</x:v>
      </x:c>
      <x:c r="D64" s="25" t="str"/>
      <x:c r="E64" s="25" t="str"/>
      <x:c r="F64" s="25" t="str">
        <x:v>10.48550/arXiv.2305.16291</x:v>
      </x:c>
      <x:c r="G64" s="25" t="str">
        <x:v>https://doi.org/10.48550/arXiv.2305.16291</x:v>
      </x:c>
      <x:c r="H64" s="25" t="str">
        <x:v>Seed/snowball</x:v>
      </x:c>
      <x:c r="I64" s="25" t="str">
        <x:v>Procedural skill memory</x:v>
      </x:c>
      <x:c r="J64" s="25" t="str">
        <x:v>Reusable skills and an iterative curriculum support open-ended embodied behavior.</x:v>
      </x:c>
      <x:c r="K64" s="25" t="str">
        <x:v>Store successful 3D edit strategies as versioned skills indexed by object, part, stage and constraints.</x:v>
      </x:c>
      <x:c r="L64" s="25" t="str">
        <x:v>Skill retrieval cannot override current constraints or the user's explicit local method.</x:v>
      </x:c>
      <x:c r="M64" s="25" t="str">
        <x:v>Full text or extended abstract/author copy inspected</x:v>
      </x:c>
      <x:c r="N64" s="25" t="str">
        <x:v>Include</x:v>
      </x:c>
    </x:row>
    <x:row r="65">
      <x:c r="A65" s="20" t="str">
        <x:v>I61</x:v>
      </x:c>
      <x:c r="B65" s="25" t="str">
        <x:v>MemoryBank: Enhancing Large Language Models with Long-Term Memory</x:v>
      </x:c>
      <x:c r="C65" s="25" t="n">
        <x:v>2023</x:v>
      </x:c>
      <x:c r="D65" s="25" t="str"/>
      <x:c r="E65" s="25" t="str"/>
      <x:c r="F65" s="25" t="str">
        <x:v>10.48550/arXiv.2305.10250</x:v>
      </x:c>
      <x:c r="G65" s="25" t="str">
        <x:v>https://doi.org/10.48550/arXiv.2305.10250</x:v>
      </x:c>
      <x:c r="H65" s="25" t="str">
        <x:v>Seed/snowball</x:v>
      </x:c>
      <x:c r="I65" s="25" t="str">
        <x:v>Memory decay</x:v>
      </x:c>
      <x:c r="J65" s="25" t="str">
        <x:v>Long-term memory benefits from significance-based retention and forgetting mechanisms.</x:v>
      </x:c>
      <x:c r="K65" s="25" t="str">
        <x:v>Decay unreinforced preferences and low-value interaction traces while preserving commitments and confirmed constraints.</x:v>
      </x:c>
      <x:c r="L65" s="25" t="str">
        <x:v>Stale memory must not raise autonomy; retrieved age and reinforcement count remain visible.</x:v>
      </x:c>
      <x:c r="M65" s="25" t="str">
        <x:v>Full text or extended abstract/author copy inspected</x:v>
      </x:c>
      <x:c r="N65" s="25" t="str">
        <x:v>Include</x:v>
      </x:c>
    </x:row>
    <x:row r="66">
      <x:c r="A66" s="20" t="str">
        <x:v>I62</x:v>
      </x:c>
      <x:c r="B66" s="25" t="str">
        <x:v>Computational Support for Sketching in Design: A Review</x:v>
      </x:c>
      <x:c r="C66" s="25" t="n">
        <x:v>2009</x:v>
      </x:c>
      <x:c r="D66" s="25" t="str">
        <x:v>Gabe Johnson; Mark D. Gross; Jason Hong; Ellen Yi-Luen Do</x:v>
      </x:c>
      <x:c r="E66" s="25" t="str">
        <x:v>Foundations and Trends® in Human–Computer Interaction</x:v>
      </x:c>
      <x:c r="F66" s="25" t="str">
        <x:v>10.1561/1100000013</x:v>
      </x:c>
      <x:c r="G66" s="25" t="str">
        <x:v>https://doi.org/10.1561/1100000013</x:v>
      </x:c>
      <x:c r="H66" s="25" t="str">
        <x:v>OpenAlex</x:v>
      </x:c>
      <x:c r="I66" s="25" t="str">
        <x:v>Design sketching</x:v>
      </x:c>
      <x:c r="J66" s="25" t="str">
        <x:v>Sketches support ambiguity, reinterpretation and idea development rather than merely specifying final geometry.</x:v>
      </x:c>
      <x:c r="K66" s="25" t="str">
        <x:v>Preserve ambiguity as a creative resource by generating contrastive interpretations of strokes and regions.</x:v>
      </x:c>
      <x:c r="L66" s="25" t="str">
        <x:v>Do not force early semantic closure during divergent stages.</x:v>
      </x:c>
      <x:c r="M66" s="25" t="str">
        <x:v>Full text or extended abstract/author copy inspected</x:v>
      </x:c>
      <x:c r="N66" s="25" t="str">
        <x:v>Include</x:v>
      </x:c>
    </x:row>
    <x:row r="67">
      <x:c r="A67" s="20" t="str">
        <x:v>I63</x:v>
      </x:c>
      <x:c r="B67" s="25" t="str">
        <x:v>3D sketching for aesthetic design using fully free-form deformation features</x:v>
      </x:c>
      <x:c r="C67" s="25" t="n">
        <x:v>2005</x:v>
      </x:c>
      <x:c r="D67" s="25" t="str">
        <x:v>Vincent Cheutet; Chiara Eva Catalano; Jean-Philippe Pernot; Bianca Falcidieno; F. Giannini; Jean-Claude Léon</x:v>
      </x:c>
      <x:c r="E67" s="25" t="str">
        <x:v>Computers &amp; Graphics</x:v>
      </x:c>
      <x:c r="F67" s="25" t="str">
        <x:v>10.1016/j.cag.2005.09.009</x:v>
      </x:c>
      <x:c r="G67" s="25" t="str">
        <x:v>https://doi.org/10.1016/j.cag.2005.09.009</x:v>
      </x:c>
      <x:c r="H67" s="25" t="str">
        <x:v>OpenAlex</x:v>
      </x:c>
      <x:c r="I67" s="25" t="str">
        <x:v>3D sketch operations</x:v>
      </x:c>
      <x:c r="J67" s="25" t="str">
        <x:v>Free-form deformation features connect sketch input to constrained aesthetic 3D changes.</x:v>
      </x:c>
      <x:c r="K67" s="25" t="str">
        <x:v>Infer latent deformation handles and affected regions jointly from gesture and surface context.</x:v>
      </x:c>
      <x:c r="L67" s="25" t="str">
        <x:v>If several deformation supports explain the stroke, show alternatives and keep geometry provisional.</x:v>
      </x:c>
      <x:c r="M67" s="25" t="str">
        <x:v>Full text or extended abstract/author copy inspected</x:v>
      </x:c>
      <x:c r="N67" s="25" t="str">
        <x:v>Include</x:v>
      </x:c>
    </x:row>
    <x:row r="68">
      <x:c r="A68" s="20" t="str">
        <x:v>I64</x:v>
      </x:c>
      <x:c r="B68" s="25" t="str">
        <x:v>A Benchmark to Assess Common Ground in Human-AI Collaboration</x:v>
      </x:c>
      <x:c r="C68" s="25" t="n">
        <x:v>2026</x:v>
      </x:c>
      <x:c r="D68" s="25" t="str"/>
      <x:c r="E68" s="25" t="str"/>
      <x:c r="F68" s="25" t="str">
        <x:v>10.48550/arXiv.2602.21337</x:v>
      </x:c>
      <x:c r="G68" s="25" t="str">
        <x:v>https://doi.org/10.48550/arXiv.2602.21337</x:v>
      </x:c>
      <x:c r="H68" s="25" t="str">
        <x:v>Seed/snowball</x:v>
      </x:c>
      <x:c r="I68" s="25" t="str">
        <x:v>Human-AI common ground</x:v>
      </x:c>
      <x:c r="J68" s="25" t="str">
        <x:v>Common ground can be evaluated through coordination, joint action, referential alignment and repair under varying awareness.</x:v>
      </x:c>
      <x:c r="K68" s="25" t="str">
        <x:v>Evaluate DC1 not only by intent accuracy but by grounding success and repair efficiency.</x:v>
      </x:c>
      <x:c r="L68" s="25" t="str">
        <x:v>Persistent repair burden indicates the agent should remain at suggestion/preview levels.</x:v>
      </x:c>
      <x:c r="M68" s="25" t="str">
        <x:v>Full text or extended abstract/author copy inspected</x:v>
      </x:c>
      <x:c r="N68" s="25" t="str">
        <x:v>Include</x:v>
      </x:c>
    </x:row>
    <x:row r="69">
      <x:c r="A69" s="20" t="str">
        <x:v>I65</x:v>
      </x:c>
      <x:c r="B69" s="25" t="str">
        <x:v>SummAct: Uncovering User Intentions Through Interactive Behaviour Summarisation</x:v>
      </x:c>
      <x:c r="C69" s="25" t="n">
        <x:v>2025</x:v>
      </x:c>
      <x:c r="D69" s="25" t="str"/>
      <x:c r="E69" s="25" t="str"/>
      <x:c r="F69" s="25" t="str"/>
      <x:c r="G69" s="25" t="str">
        <x:v>https://doi.org/</x:v>
      </x:c>
      <x:c r="H69" s="25" t="str">
        <x:v>Seed/snowball</x:v>
      </x:c>
      <x:c r="I69" s="25" t="str">
        <x:v>Interaction summarisation</x:v>
      </x:c>
      <x:c r="J69" s="25" t="str">
        <x:v>Hierarchical summaries can translate low-level interaction traces into inspectable statements of user goals.</x:v>
      </x:c>
      <x:c r="K69" s="25" t="str">
        <x:v>Generate editable episode summaries such as target, transformation, rationale, preserved constraints and outcome.</x:v>
      </x:c>
      <x:c r="L69" s="25" t="str">
        <x:v>Only user-confirmed summaries may enter semantic or procedural long-term memory.</x:v>
      </x:c>
      <x:c r="M69" s="25" t="str">
        <x:v>Full text or extended abstract/author copy inspected</x:v>
      </x:c>
      <x:c r="N69" s="25" t="str">
        <x:v>Include</x:v>
      </x:c>
    </x:row>
    <x:row r="70">
      <x:c r="A70" s="20" t="str">
        <x:v>I66</x:v>
      </x:c>
      <x:c r="B70" s="25" t="str">
        <x:v>Interaction Analysis: Foundations and Practice</x:v>
      </x:c>
      <x:c r="C70" s="25" t="n">
        <x:v>1995</x:v>
      </x:c>
      <x:c r="D70" s="25" t="str"/>
      <x:c r="E70" s="25" t="str"/>
      <x:c r="F70" s="25" t="str">
        <x:v>10.1207/s15327809jls0401_2</x:v>
      </x:c>
      <x:c r="G70" s="25" t="str">
        <x:v>https://doi.org/10.1207/s15327809jls0401_2</x:v>
      </x:c>
      <x:c r="H70" s="25" t="str">
        <x:v>Seed/snowball</x:v>
      </x:c>
      <x:c r="I70" s="25" t="str">
        <x:v>Video interaction analysis</x:v>
      </x:c>
      <x:c r="J70" s="25" t="str">
        <x:v>Fine-grained, collaborative inspection of audiovisual records can reveal how participants organize activity through talk, gesture, artifacts and sequential context.</x:v>
      </x:c>
      <x:c r="K70" s="25" t="str">
        <x:v>Use video as a primary interaction record and segment intent episodes from coordinated screen action, language, object state and repair rather than isolated clicks.</x:v>
      </x:c>
      <x:c r="L70" s="25" t="str">
        <x:v>Video evidence supports observable organization of action, not privileged access to latent mental states; inferred intent remains a hypothesis.</x:v>
      </x:c>
      <x:c r="M70" s="25" t="str">
        <x:v>Full text or extended abstract/author copy inspected</x:v>
      </x:c>
      <x:c r="N70" s="25" t="str">
        <x:v>Include</x:v>
      </x:c>
    </x:row>
    <x:row r="71">
      <x:c r="A71" s="20" t="str">
        <x:v>I67</x:v>
      </x:c>
      <x:c r="B71" s="25" t="str">
        <x:v>Applied cognitive task analysis (ACTA): a practitioner's toolkit for understanding cognitive task demands</x:v>
      </x:c>
      <x:c r="C71" s="25" t="n">
        <x:v>2000</x:v>
      </x:c>
      <x:c r="D71" s="25" t="str"/>
      <x:c r="E71" s="25" t="str">
        <x:v>Task Analysis</x:v>
      </x:c>
      <x:c r="F71" s="25" t="str">
        <x:v>10.1080/001401398186108</x:v>
      </x:c>
      <x:c r="G71" s="25" t="str">
        <x:v>https://doi.org/10.1201/9781482289275-6</x:v>
      </x:c>
      <x:c r="H71" s="25" t="str">
        <x:v>Crossref</x:v>
      </x:c>
      <x:c r="I71" s="25" t="str">
        <x:v>Cognitive task analysis</x:v>
      </x:c>
      <x:c r="J71" s="25" t="str">
        <x:v>ACTA combines task diagrams, knowledge audits and simulation interviews to elicit cues, strategies, difficult judgments and common errors from experts.</x:v>
      </x:c>
      <x:c r="K71" s="25" t="str">
        <x:v>Use creator interviews to surface tacit reference-frame choices, preserve constraints, decision cues and failure modes that tutorial video alone omits.</x:v>
      </x:c>
      <x:c r="L71" s="25" t="str">
        <x:v>Authority rules based on tacit constraints require creator confirmation rather than VLM inference alone.</x:v>
      </x:c>
      <x:c r="M71" s="25" t="str">
        <x:v>Full text or extended abstract/author copy inspected</x:v>
      </x:c>
      <x:c r="N71" s="25" t="str">
        <x:v>Include</x:v>
      </x:c>
    </x:row>
    <x:row r="72">
      <x:c r="A72" s="20" t="str">
        <x:v>I68</x:v>
      </x:c>
      <x:c r="B72" s="25" t="str">
        <x:v>Stimulated recall: a method for research on teaching</x:v>
      </x:c>
      <x:c r="C72" s="25" t="n">
        <x:v>1981</x:v>
      </x:c>
      <x:c r="D72" s="25" t="str"/>
      <x:c r="E72" s="25" t="str"/>
      <x:c r="F72" s="25" t="str">
        <x:v>10.1111/j.2044-8279.1981.tb02474.x</x:v>
      </x:c>
      <x:c r="G72" s="25" t="str">
        <x:v>https://doi.org/10.1111/j.2044-8279.1981.tb02474.x</x:v>
      </x:c>
      <x:c r="H72" s="25" t="str">
        <x:v>Seed/snowball</x:v>
      </x:c>
      <x:c r="I72" s="25" t="str">
        <x:v>Stimulated recall</x:v>
      </x:c>
      <x:c r="J72" s="25" t="str">
        <x:v>Replaying audiovisual records can elicit participants' retrospective accounts of thoughts and decisions, while validity depends on timing, prompting and interpretation.</x:v>
      </x:c>
      <x:c r="K72" s="25" t="str">
        <x:v>Replay short intent episodes soon after creation and ask what the creator targeted, preserved, explored and intended to commit.</x:v>
      </x:c>
      <x:c r="L72" s="25" t="str">
        <x:v>Recall is corroborating evidence, not infallible ground truth; discrepancies with logs remain represented in provenance.</x:v>
      </x:c>
      <x:c r="M72" s="25" t="str">
        <x:v>Full text or extended abstract/author copy inspected</x:v>
      </x:c>
      <x:c r="N72" s="25" t="str">
        <x:v>Include</x:v>
      </x:c>
    </x:row>
    <x:row r="73">
      <x:c r="A73" s="20" t="str">
        <x:v>I69</x:v>
      </x:c>
      <x:c r="B73" s="25" t="str">
        <x:v>Exploring the Added Value of Video-Stimulated Recall in Researching the Primary Care Doctor-Patient Consultation</x:v>
      </x:c>
      <x:c r="C73" s="25" t="n">
        <x:v>2017</x:v>
      </x:c>
      <x:c r="D73" s="25" t="str"/>
      <x:c r="E73" s="25" t="str"/>
      <x:c r="F73" s="25" t="str">
        <x:v>10.1177/1609406917719623</x:v>
      </x:c>
      <x:c r="G73" s="25" t="str">
        <x:v>https://doi.org/10.1177/1609406917719623</x:v>
      </x:c>
      <x:c r="H73" s="25" t="str">
        <x:v>Seed/snowball</x:v>
      </x:c>
      <x:c r="I73" s="25" t="str">
        <x:v>Video-stimulated recall</x:v>
      </x:c>
      <x:c r="J73" s="25" t="str">
        <x:v>A process evaluation shows how video-stimulated recall adds participant interpretation to recorded behavior and surfaces information unavailable from observation alone.</x:v>
      </x:c>
      <x:c r="K73" s="25" t="str">
        <x:v>Triangulate tutorial-derived codes with creators' interpretations of selected ambiguous, repair and takeover episodes.</x:v>
      </x:c>
      <x:c r="L73" s="25" t="str">
        <x:v>Use recall selectively at consequential boundaries to reduce burden and avoid turning all retrospective explanation into mandatory confirmation.</x:v>
      </x:c>
      <x:c r="M73" s="25" t="str">
        <x:v>Full text or extended abstract/author copy inspected</x:v>
      </x:c>
      <x:c r="N73" s="25" t="str">
        <x:v>Include</x:v>
      </x:c>
    </x:row>
    <x:row r="74">
      <x:c r="A74" s="20" t="str">
        <x:v>I70</x:v>
      </x:c>
      <x:c r="B74" s="25" t="str">
        <x:v>Video Annotator: A framework for efficiently building video classifiers using vision-language models and active learning</x:v>
      </x:c>
      <x:c r="C74" s="25" t="n">
        <x:v>2024</x:v>
      </x:c>
      <x:c r="D74" s="25" t="str"/>
      <x:c r="E74" s="25" t="str"/>
      <x:c r="F74" s="25" t="str">
        <x:v>10.48550/arXiv.2402.06560</x:v>
      </x:c>
      <x:c r="G74" s="25" t="str">
        <x:v>https://doi.org/10.48550/arXiv.2402.06560</x:v>
      </x:c>
      <x:c r="H74" s="25" t="str">
        <x:v>Seed/snowball</x:v>
      </x:c>
      <x:c r="I74" s="25" t="str">
        <x:v>VLM-assisted annotation</x:v>
      </x:c>
      <x:c r="J74" s="25" t="str">
        <x:v>A human-in-the-loop framework combines zero-shot vision-language models, active learning and domain-expert correction to construct large video label sets efficiently.</x:v>
      </x:c>
      <x:c r="K74" s="25" t="str">
        <x:v>Treat the VLM as a weak pre-annotator: propose episode boundaries, observable signals and top-k intents; route uncertain, rare and high-risk cases to human review.</x:v>
      </x:c>
      <x:c r="L74" s="25" t="str">
        <x:v>VLM-generated labels cannot authorize agent takeover or become gold intent without independent human validation.</x:v>
      </x:c>
      <x:c r="M74" s="25" t="str">
        <x:v>Full text or extended abstract/author copy inspected</x:v>
      </x:c>
      <x:c r="N74" s="25" t="str">
        <x:v>Include</x:v>
      </x:c>
    </x:row>
    <x:row r="75">
      <x:c r="A75" s="20" t="str">
        <x:v>I71</x:v>
      </x:c>
      <x:c r="B75" s="25" t="str">
        <x:v>VideoCoT: A Video Chain-of-Thought Dataset with Active Annotation Tool</x:v>
      </x:c>
      <x:c r="C75" s="25" t="n">
        <x:v>2024</x:v>
      </x:c>
      <x:c r="D75" s="25" t="str"/>
      <x:c r="E75" s="25" t="str"/>
      <x:c r="F75" s="25" t="str">
        <x:v>10.18653/v1/2024.alvr-1.8</x:v>
      </x:c>
      <x:c r="G75" s="25" t="str">
        <x:v>https://doi.org/10.18653/v1/2024.alvr-1.8</x:v>
      </x:c>
      <x:c r="H75" s="25" t="str">
        <x:v>Seed/snowball</x:v>
      </x:c>
      <x:c r="I75" s="25" t="str">
        <x:v>Human-machine video annotation</x:v>
      </x:c>
      <x:c r="J75" s="25" t="str">
        <x:v>Active annotation combines machine generation with expert verification because fully manual video reasoning labels are costly and fully automatic labels hallucinate.</x:v>
      </x:c>
      <x:c r="K75" s="25" t="str">
        <x:v>Preserve machine suggestions, human edits and evidence timestamps as separate provenance layers when building the intent case library.</x:v>
      </x:c>
      <x:c r="L75" s="25" t="str">
        <x:v>Any hallucinated event, target or rationale is a severe error and must force review before case retention or policy learning.</x:v>
      </x:c>
      <x:c r="M75" s="25" t="str">
        <x:v>Full text or extended abstract/author copy inspected</x:v>
      </x:c>
      <x:c r="N75" s="25" t="str">
        <x:v>Include</x:v>
      </x:c>
    </x:row>
    <x:row r="76">
      <x:c r="A76" s="20" t="str">
        <x:v>I72</x:v>
      </x:c>
      <x:c r="B76" s="25" t="str">
        <x:v>Reliability and Inter-rater Reliability in Qualitative Research: Norms and Guidelines for CSCW and HCI Practice</x:v>
      </x:c>
      <x:c r="C76" s="25" t="n">
        <x:v>2019</x:v>
      </x:c>
      <x:c r="D76" s="25" t="str"/>
      <x:c r="E76" s="25" t="str"/>
      <x:c r="F76" s="25" t="str">
        <x:v>10.1145/3359174</x:v>
      </x:c>
      <x:c r="G76" s="25" t="str">
        <x:v>https://doi.org/10.1145/3359174</x:v>
      </x:c>
      <x:c r="H76" s="25" t="str">
        <x:v>Seed/snowball</x:v>
      </x:c>
      <x:c r="I76" s="25" t="str">
        <x:v>Qualitative coding reliability</x:v>
      </x:c>
      <x:c r="J76" s="25" t="str">
        <x:v>Reliability practices in HCI should be justified and reported in relation to the epistemological role of coding rather than applied as a ritual threshold.</x:v>
      </x:c>
      <x:c r="K76" s="25" t="str">
        <x:v>Calculate agreement for codebook-driven observable and categorical fields, while reporting interpretive reconciliation and ambiguity for latent creative intent.</x:v>
      </x:c>
      <x:c r="L76" s="25" t="str">
        <x:v>Low agreement signals an underspecified representation or genuinely plural interpretation; it should not be hidden by forced consensus.</x:v>
      </x:c>
      <x:c r="M76" s="25" t="str">
        <x:v>Full text or extended abstract/author copy inspected</x:v>
      </x:c>
      <x:c r="N76" s="25" t="str">
        <x:v>Include</x:v>
      </x:c>
    </x:row>
    <x:row r="77">
      <x:c r="A77" s="20" t="str">
        <x:v>I73</x:v>
      </x:c>
      <x:c r="B77" s="25" t="str">
        <x:v>Answering the Call for a Standard Reliability Measure for Coding Data</x:v>
      </x:c>
      <x:c r="C77" s="25" t="n">
        <x:v>2007</x:v>
      </x:c>
      <x:c r="D77" s="25" t="str"/>
      <x:c r="E77" s="25" t="str"/>
      <x:c r="F77" s="25" t="str">
        <x:v>10.1080/19312450709336664</x:v>
      </x:c>
      <x:c r="G77" s="25" t="str">
        <x:v>https://doi.org/10.1080/19312450709336664</x:v>
      </x:c>
      <x:c r="H77" s="25" t="str">
        <x:v>Seed/snowball</x:v>
      </x:c>
      <x:c r="I77" s="25" t="str">
        <x:v>Content-analysis reliability</x:v>
      </x:c>
      <x:c r="J77" s="25" t="str">
        <x:v>Krippendorff's alpha provides a general chance-corrected reliability framework across measurement levels, coder counts and missing data.</x:v>
      </x:c>
      <x:c r="K77" s="25" t="str">
        <x:v>Use alpha per field family for observable categories and multi-label binary indicators; report uncertainty and sample size rather than one pooled score.</x:v>
      </x:c>
      <x:c r="L77" s="25" t="str">
        <x:v>A high aggregate coefficient cannot authorize automatic action if rare constraint or authority labels remain unreliable.</x:v>
      </x:c>
      <x:c r="M77" s="25" t="str">
        <x:v>Full text or extended abstract/author copy inspected</x:v>
      </x:c>
      <x:c r="N77" s="25" t="str">
        <x:v>Include</x:v>
      </x:c>
    </x:row>
    <x:row r="78">
      <x:c r="A78" s="20" t="str">
        <x:v>I74</x:v>
      </x:c>
      <x:c r="B78" s="25" t="str">
        <x:v>Inter-Coder Agreement for Computational Linguistics</x:v>
      </x:c>
      <x:c r="C78" s="25" t="n">
        <x:v>2008</x:v>
      </x:c>
      <x:c r="D78" s="25" t="str"/>
      <x:c r="E78" s="25" t="str"/>
      <x:c r="F78" s="25" t="str">
        <x:v>10.1162/coli.07-034-R2</x:v>
      </x:c>
      <x:c r="G78" s="25" t="str">
        <x:v>https://doi.org/10.1162/coli.07-034-R2</x:v>
      </x:c>
      <x:c r="H78" s="25" t="str">
        <x:v>Seed/snowball</x:v>
      </x:c>
      <x:c r="I78" s="25" t="str">
        <x:v>Annotation agreement</x:v>
      </x:c>
      <x:c r="J78" s="25" t="str">
        <x:v>Agreement coefficients encode different assumptions about chance, prevalence, distance and annotation structure; metric selection must match the data type.</x:v>
      </x:c>
      <x:c r="K78" s="25" t="str">
        <x:v>Use categorical agreement for labels, weighted/distance-aware measures for ordered commitment, and span/boundary measures for intent episodes.</x:v>
      </x:c>
      <x:c r="L78" s="25" t="str">
        <x:v>Do not compare or threshold heterogeneous fields using a single agreement statistic.</x:v>
      </x:c>
      <x:c r="M78" s="25" t="str">
        <x:v>Full text or extended abstract/author copy inspected</x:v>
      </x:c>
      <x:c r="N78" s="25" t="str">
        <x:v>Include</x:v>
      </x:c>
    </x:row>
    <x:row r="79">
      <x:c r="A79" s="20" t="str">
        <x:v>I75</x:v>
      </x:c>
      <x:c r="B79" s="25" t="str">
        <x:v>Intercoder Reliability in Qualitative Research: Debates and Practical Guidelines</x:v>
      </x:c>
      <x:c r="C79" s="25" t="n">
        <x:v>2020</x:v>
      </x:c>
      <x:c r="D79" s="25" t="str"/>
      <x:c r="E79" s="25" t="str"/>
      <x:c r="F79" s="25" t="str">
        <x:v>10.1177/1609406919899220</x:v>
      </x:c>
      <x:c r="G79" s="25" t="str">
        <x:v>https://doi.org/10.1177/1609406919899220</x:v>
      </x:c>
      <x:c r="H79" s="25" t="str">
        <x:v>Seed/snowball</x:v>
      </x:c>
      <x:c r="I79" s="25" t="str">
        <x:v>Qualitative coding protocol</x:v>
      </x:c>
      <x:c r="J79" s="25" t="str">
        <x:v>Intercoder assessment can expose unclear codes and improve communicability, but latent interpretation requires coder training, context and transparent reconciliation.</x:v>
      </x:c>
      <x:c r="K79" s="25" t="str">
        <x:v>Pilot and revise the codebook on 10-15 percent, double-code a stratified subset, preserve disagreements, and document adjudication rather than erasing ambiguity.</x:v>
      </x:c>
      <x:c r="L79" s="25" t="str">
        <x:v>For high-level intent, disagreement may be valid uncertainty that should survive as alternative hypotheses.</x:v>
      </x:c>
      <x:c r="M79" s="25" t="str">
        <x:v>Full text or extended abstract/author copy inspected</x:v>
      </x:c>
      <x:c r="N79" s="25" t="str">
        <x:v>Include</x:v>
      </x:c>
    </x:row>
    <x:row r="80">
      <x:c r="A80" s="20" t="str">
        <x:v>I76</x:v>
      </x:c>
      <x:c r="B80" s="25" t="str">
        <x:v>Hierarchical task analysis: developments, applications, and extensions</x:v>
      </x:c>
      <x:c r="C80" s="25" t="n">
        <x:v>2006</x:v>
      </x:c>
      <x:c r="D80" s="25" t="str"/>
      <x:c r="E80" s="25" t="str"/>
      <x:c r="F80" s="25" t="str">
        <x:v>10.1016/j.apergo.2005.06.003</x:v>
      </x:c>
      <x:c r="G80" s="25" t="str">
        <x:v>https://doi.org/10.1016/j.apergo.2005.06.003</x:v>
      </x:c>
      <x:c r="H80" s="25" t="str">
        <x:v>Seed/snowball</x:v>
      </x:c>
      <x:c r="I80" s="25" t="str">
        <x:v>Hierarchical task representation</x:v>
      </x:c>
      <x:c r="J80" s="25" t="str">
        <x:v>HTA progressively redescribes performance as nested goals, subgoals, operations and plans and has been applied to interface design and function allocation.</x:v>
      </x:c>
      <x:c r="K80" s="25" t="str">
        <x:v>Represent project, stage, edit and motor goals separately, with plan relations that explain how low-level episodes serve higher-level creative activity.</x:v>
      </x:c>
      <x:c r="L80" s="25" t="str">
        <x:v>Authority should be granted at the narrowest supported level; confidence in an operation does not imply confidence in the design goal.</x:v>
      </x:c>
      <x:c r="M80" s="25" t="str">
        <x:v>Full text or extended abstract/author copy inspected</x:v>
      </x:c>
      <x:c r="N80" s="25" t="str">
        <x:v>Include</x:v>
      </x:c>
    </x:row>
    <x:row r="81">
      <x:c r="A81" s="20" t="str">
        <x:v>I77</x:v>
      </x:c>
      <x:c r="B81" s="25" t="str">
        <x:v>Segmentation Similarity and Agreement</x:v>
      </x:c>
      <x:c r="C81" s="25" t="n">
        <x:v>2012</x:v>
      </x:c>
      <x:c r="D81" s="25" t="str"/>
      <x:c r="E81" s="25" t="str"/>
      <x:c r="F81" s="25" t="str">
        <x:v>10.18653/v1/N12-1016</x:v>
      </x:c>
      <x:c r="G81" s="25" t="str">
        <x:v>https://doi.org/10.18653/v1/N12-1016</x:v>
      </x:c>
      <x:c r="H81" s="25" t="str">
        <x:v>Seed/snowball</x:v>
      </x:c>
      <x:c r="I81" s="25" t="str">
        <x:v>Segmentation reliability</x:v>
      </x:c>
      <x:c r="J81" s="25" t="str">
        <x:v>Boundary edit distance can compare alternative segmentations without requiring exact boundary identity and can support chance-corrected segmentation agreement.</x:v>
      </x:c>
      <x:c r="K81" s="25" t="str">
        <x:v>Evaluate intent-episode segmentation separately from semantic labeling, using tolerance-aware boundary metrics and preserving acceptable temporal variation.</x:v>
      </x:c>
      <x:c r="L81" s="25" t="str">
        <x:v>Boundary disagreement should not automatically become an intent disagreement or a negative training label.</x:v>
      </x:c>
      <x:c r="M81" s="25" t="str">
        <x:v>Full text or extended abstract/author copy inspected</x:v>
      </x:c>
      <x:c r="N81" s="25" t="str">
        <x:v>Include</x:v>
      </x:c>
    </x:row>
    <x:row r="82">
      <x:c r="A82" s="20" t="str">
        <x:v>I78</x:v>
      </x:c>
      <x:c r="B82" s="25" t="str">
        <x:v>Measuring event segmentation: An investigation into the stability of event boundary agreement across groups</x:v>
      </x:c>
      <x:c r="C82" s="25" t="n">
        <x:v>2023</x:v>
      </x:c>
      <x:c r="D82" s="25" t="str"/>
      <x:c r="E82" s="25" t="str"/>
      <x:c r="F82" s="25" t="str">
        <x:v>10.3758/s13428-022-01832-5</x:v>
      </x:c>
      <x:c r="G82" s="25" t="str">
        <x:v>https://doi.org/10.3758/s13428-022-01832-5</x:v>
      </x:c>
      <x:c r="H82" s="25" t="str">
        <x:v>Seed/snowball</x:v>
      </x:c>
      <x:c r="I82" s="25" t="str">
        <x:v>Event-boundary reliability</x:v>
      </x:c>
      <x:c r="J82" s="25" t="str">
        <x:v>Event boundaries are video-specific but vary across people and granularity; group agreement stabilizes only with adequate samples and depends on the comparison measure.</x:v>
      </x:c>
      <x:c r="K82" s="25" t="str">
        <x:v>Treat episode granularity as an explicit annotation choice and use pilot data to estimate boundary stability rather than assuming one canonical cut.</x:v>
      </x:c>
      <x:c r="L82" s="25" t="str">
        <x:v>When boundaries are unstable, the Agent should maintain overlapping temporal evidence windows instead of committing memory at a sharp instant.</x:v>
      </x:c>
      <x:c r="M82" s="25" t="str">
        <x:v>Full text or extended abstract/author copy inspected</x:v>
      </x:c>
      <x:c r="N82" s="25" t="str">
        <x:v>Include</x:v>
      </x:c>
    </x:row>
    <x:row r="83">
      <x:c r="A83" s="20" t="str">
        <x:v>I79</x:v>
      </x:c>
      <x:c r="B83" s="25" t="str">
        <x:v>Generic Event Boundary Detection: A Benchmark for Event Segmentation</x:v>
      </x:c>
      <x:c r="C83" s="25" t="n">
        <x:v>2021</x:v>
      </x:c>
      <x:c r="D83" s="25" t="str"/>
      <x:c r="E83" s="25" t="str"/>
      <x:c r="F83" s="25" t="str">
        <x:v>10.1109/ICCV48922.2021.00797</x:v>
      </x:c>
      <x:c r="G83" s="25" t="str">
        <x:v>https://doi.org/10.1109/ICCV48922.2021.00797</x:v>
      </x:c>
      <x:c r="H83" s="25" t="str">
        <x:v>Seed/snowball</x:v>
      </x:c>
      <x:c r="I83" s="25" t="str">
        <x:v>Automatic event segmentation</x:v>
      </x:c>
      <x:c r="J83" s="25" t="str">
        <x:v>Taxonomy-free event boundary detection operationalizes meaningful changes in generic videos while explicitly accommodating human boundary diversity.</x:v>
      </x:c>
      <x:c r="K83" s="25" t="str">
        <x:v>Use VLM/CV boundary proposals to reduce review effort, but score them against tolerance windows and human consensus before creating intent episodes.</x:v>
      </x:c>
      <x:c r="L83" s="25" t="str">
        <x:v>Automatic boundaries only trigger review or candidate segmentation; they cannot determine commitment, repair cause or authority transfer.</x:v>
      </x:c>
      <x:c r="M83" s="25" t="str">
        <x:v>Full text or extended abstract/author copy inspected</x:v>
      </x:c>
      <x:c r="N83" s="25" t="str">
        <x:v>Include</x:v>
      </x:c>
    </x:row>
    <x:row r="84">
      <x:c r="A84" s="20" t="str">
        <x:v>I80</x:v>
      </x:c>
      <x:c r="B84" s="25" t="str">
        <x:v>Case-Based Reasoning: Foundational Issues, Methodological Variations, and System Approaches</x:v>
      </x:c>
      <x:c r="C84" s="25" t="n">
        <x:v>1994</x:v>
      </x:c>
      <x:c r="D84" s="25" t="str"/>
      <x:c r="E84" s="25" t="str"/>
      <x:c r="F84" s="25" t="str">
        <x:v>10.3233/AIC-1994-7104</x:v>
      </x:c>
      <x:c r="G84" s="25" t="str">
        <x:v>https://doi.org/10.3233/AIC-1994-7104</x:v>
      </x:c>
      <x:c r="H84" s="25" t="str">
        <x:v>Seed/snowball</x:v>
      </x:c>
      <x:c r="I84" s="25" t="str">
        <x:v>Case-based reasoning</x:v>
      </x:c>
      <x:c r="J84" s="25" t="str">
        <x:v>The classic CBR cycle separates retrieval, reuse, revision and retention, making learning from experience an explicit governed process rather than simple nearest-neighbor lookup.</x:v>
      </x:c>
      <x:c r="K84" s="25" t="str">
        <x:v>Represent each intent episode as problem context, candidate interpretation, agent response, user revision and validated outcome; do not retain a case before revision is observed.</x:v>
      </x:c>
      <x:c r="L84" s="25" t="str">
        <x:v>Retrieved cases provide defeasible evidence only; the current user and current constraints retain authority.</x:v>
      </x:c>
      <x:c r="M84" s="25" t="str">
        <x:v>Full text or extended abstract/author copy inspected</x:v>
      </x:c>
      <x:c r="N84" s="25" t="str">
        <x:v>Include</x:v>
      </x:c>
    </x:row>
    <x:row r="85">
      <x:c r="A85" s="20" t="str">
        <x:v>I81</x:v>
      </x:c>
      <x:c r="B85" s="25" t="str">
        <x:v>Retrieval, reuse, revision and retention in case-based reasoning</x:v>
      </x:c>
      <x:c r="C85" s="25" t="n">
        <x:v>2005</x:v>
      </x:c>
      <x:c r="D85" s="25" t="str"/>
      <x:c r="E85" s="25" t="str"/>
      <x:c r="F85" s="25" t="str">
        <x:v>10.1017/S0269888906000646</x:v>
      </x:c>
      <x:c r="G85" s="25" t="str">
        <x:v>https://doi.org/10.1017/S0269888906000646</x:v>
      </x:c>
      <x:c r="H85" s="25" t="str">
        <x:v>Seed/snowball</x:v>
      </x:c>
      <x:c r="I85" s="25" t="str">
        <x:v>Case lifecycle</x:v>
      </x:c>
      <x:c r="J85" s="25" t="str">
        <x:v>CBR research distinguishes relevance retrieval, adaptation to the new situation, testing/revision and selective retention, each with separate failure modes.</x:v>
      </x:c>
      <x:c r="K85" s="25" t="str">
        <x:v>Implement retrieval and memory writing as different modules: a similar case may suggest a hypothesis but only confirmed outcomes can update reusable procedures.</x:v>
      </x:c>
      <x:c r="L85" s="25" t="str">
        <x:v>Cases with unresolved intent or harmful outcomes remain negative/contrastive evidence and cannot silently become action templates.</x:v>
      </x:c>
      <x:c r="M85" s="25" t="str">
        <x:v>Full text or extended abstract/author copy inspected</x:v>
      </x:c>
      <x:c r="N85" s="25" t="str">
        <x:v>Include</x:v>
      </x:c>
    </x:row>
    <x:row r="86">
      <x:c r="A86" s="20" t="str">
        <x:v>I82</x:v>
      </x:c>
      <x:c r="B86" s="25" t="str">
        <x:v>A Taxonomy of Similarity Mechanisms for Case-Based Reasoning</x:v>
      </x:c>
      <x:c r="C86" s="25" t="n">
        <x:v>2009</x:v>
      </x:c>
      <x:c r="D86" s="25" t="str"/>
      <x:c r="E86" s="25" t="str"/>
      <x:c r="F86" s="25" t="str">
        <x:v>10.1109/TKDE.2008.227</x:v>
      </x:c>
      <x:c r="G86" s="25" t="str">
        <x:v>https://doi.org/10.1109/TKDE.2008.227</x:v>
      </x:c>
      <x:c r="H86" s="25" t="str">
        <x:v>Seed/snowball</x:v>
      </x:c>
      <x:c r="I86" s="25" t="str">
        <x:v>Case similarity</x:v>
      </x:c>
      <x:c r="J86" s="25" t="str">
        <x:v>Case similarity can be feature-based, structural, transformational or learned; the right mechanism depends on task knowledge and intended reuse.</x:v>
      </x:c>
      <x:c r="K86" s="25" t="str">
        <x:v>Combine semantic embedding with object-part structure, design stage, reference frame, constraints, trajectory and outcome instead of relying on text-vector proximity.</x:v>
      </x:c>
      <x:c r="L86" s="25" t="str">
        <x:v>Similarity must be subordinate to compatibility and risk filters; a semantically close case with conflicting constraints is not actionable.</x:v>
      </x:c>
      <x:c r="M86" s="25" t="str">
        <x:v>Full text or extended abstract/author copy inspected</x:v>
      </x:c>
      <x:c r="N86" s="25" t="str">
        <x:v>Include</x:v>
      </x:c>
    </x:row>
    <x:row r="87">
      <x:c r="A87" s="20" t="str">
        <x:v>I83</x:v>
      </x:c>
      <x:c r="B87" s="25" t="str">
        <x:v>Competence Models and the Maintenance Problem</x:v>
      </x:c>
      <x:c r="C87" s="25" t="n">
        <x:v>2001</x:v>
      </x:c>
      <x:c r="D87" s="25" t="str"/>
      <x:c r="E87" s="25" t="str"/>
      <x:c r="F87" s="25" t="str">
        <x:v>10.1111/0824-7935.00142</x:v>
      </x:c>
      <x:c r="G87" s="25" t="str">
        <x:v>https://doi.org/10.1111/0824-7935.00142</x:v>
      </x:c>
      <x:c r="H87" s="25" t="str">
        <x:v>Seed/snowball</x:v>
      </x:c>
      <x:c r="I87" s="25" t="str">
        <x:v>Case-base maintenance</x:v>
      </x:c>
      <x:c r="J87" s="25" t="str">
        <x:v>Case-base competence depends on coverage and adaptation relationships, so indiscriminate accumulation can reduce efficiency without improving problem-solving ability.</x:v>
      </x:c>
      <x:c r="K87" s="25" t="str">
        <x:v>Retain cases that add coverage, repair knowledge, rare constraints or authority boundaries; merge redundant cases and quarantine low-provenance examples.</x:v>
      </x:c>
      <x:c r="L87" s="25" t="str">
        <x:v>User-specific memories should be removable without deleting general competence, and stale cases must not accumulate autonomy power.</x:v>
      </x:c>
      <x:c r="M87" s="25" t="str">
        <x:v>Full text or extended abstract/author copy inspected</x:v>
      </x:c>
      <x:c r="N87" s="25" t="str">
        <x:v>Include</x:v>
      </x:c>
    </x:row>
    <x:row r="88">
      <x:c r="A88" s="20" t="str">
        <x:v>I84</x:v>
      </x:c>
      <x:c r="B88" s="25" t="str">
        <x:v>Explanation in artificial intelligence: Insights from the social sciences</x:v>
      </x:c>
      <x:c r="C88" s="25" t="n">
        <x:v>2019</x:v>
      </x:c>
      <x:c r="D88" s="25" t="str"/>
      <x:c r="E88" s="25" t="str"/>
      <x:c r="F88" s="25" t="str">
        <x:v>10.1016/j.artint.2018.07.007</x:v>
      </x:c>
      <x:c r="G88" s="25" t="str">
        <x:v>https://doi.org/10.1016/j.artint.2018.07.007</x:v>
      </x:c>
      <x:c r="H88" s="25" t="str">
        <x:v>Seed/snowball</x:v>
      </x:c>
      <x:c r="I88" s="25" t="str">
        <x:v>Contrastive explanation</x:v>
      </x:c>
      <x:c r="J88" s="25" t="str">
        <x:v>Human explanations are selective, social and frequently contrastive: people want to know why one interpretation or outcome occurred rather than a salient alternative.</x:v>
      </x:c>
      <x:c r="K88" s="25" t="str">
        <x:v>Present a supporting precedent together with an alternative-intent or near-miss case and state the discriminating evidence such as frame, scope or constraint.</x:v>
      </x:c>
      <x:c r="L88" s="25" t="str">
        <x:v>Explanations should help users contest the inference; they are not post-hoc justification for an already executed edit.</x:v>
      </x:c>
      <x:c r="M88" s="25" t="str">
        <x:v>Full text or extended abstract/author copy inspected</x:v>
      </x:c>
      <x:c r="N88" s="25" t="str">
        <x:v>Include</x:v>
      </x:c>
    </x:row>
    <x:row r="89">
      <x:c r="A89" s="20" t="str">
        <x:v>I85</x:v>
      </x:c>
      <x:c r="B89" s="25" t="str">
        <x:v>How Case Based Reasoning Explained Neural Networks: An XAI Survey of Post-Hoc Explanation-by-Example in ANN-CBR Twins</x:v>
      </x:c>
      <x:c r="C89" s="25" t="n">
        <x:v>2019</x:v>
      </x:c>
      <x:c r="D89" s="25" t="str"/>
      <x:c r="E89" s="25" t="str"/>
      <x:c r="F89" s="25" t="str">
        <x:v>10.1007/978-3-030-29249-2_11</x:v>
      </x:c>
      <x:c r="G89" s="25" t="str">
        <x:v>https://doi.org/10.1007/978-3-030-29249-2_11</x:v>
      </x:c>
      <x:c r="H89" s="25" t="str">
        <x:v>Seed/snowball</x:v>
      </x:c>
      <x:c r="I89" s="25" t="str">
        <x:v>Explanation by example</x:v>
      </x:c>
      <x:c r="J89" s="25" t="str">
        <x:v>Case-based explanation can pair black-box prediction with precedents, near misses, counterfactuals and a-fortiori cases, but usefulness requires human evaluation and appropriate feature weighting.</x:v>
      </x:c>
      <x:c r="K89" s="25" t="str">
        <x:v>Use the Intent Case Library both as inference evidence and as an inspectable explanation layer, while evaluating whether creators understand and correct retrieved analogies.</x:v>
      </x:c>
      <x:c r="L89" s="25" t="str">
        <x:v>A plausible precedent can still mislead; expose differences and never let explanation-by-example bypass risk and commitment checks.</x:v>
      </x:c>
      <x:c r="M89" s="25" t="str">
        <x:v>Full text or extended abstract/author copy inspected</x:v>
      </x:c>
      <x:c r="N89" s="25" t="str">
        <x:v>Include</x:v>
      </x:c>
    </x:row>
    <x:row r="90">
      <x:c r="A90" s="20" t="str">
        <x:v>I86</x:v>
      </x:c>
      <x:c r="B90" s="25" t="str">
        <x:v>Mixed-initiative Variable Autonomy for Remotely Operated Mobile Robots</x:v>
      </x:c>
      <x:c r="C90" s="25" t="n">
        <x:v>2021</x:v>
      </x:c>
      <x:c r="D90" s="25" t="str"/>
      <x:c r="E90" s="25" t="str"/>
      <x:c r="F90" s="25" t="str">
        <x:v>10.1145/3472206</x:v>
      </x:c>
      <x:c r="G90" s="25" t="str">
        <x:v>https://doi.org/10.1145/3472206</x:v>
      </x:c>
      <x:c r="H90" s="25" t="str">
        <x:v>Seed/snowball</x:v>
      </x:c>
      <x:c r="I90" s="25" t="str">
        <x:v>Mixed-initiative switching</x:v>
      </x:c>
      <x:c r="J90" s="25" t="str">
        <x:v>Empirical variable-autonomy studies show that both human and system initiative can improve performance and workload, while control switching remains a designed interaction rather than a background model choice.</x:v>
      </x:c>
      <x:c r="K90" s="25" t="str">
        <x:v>Treat changes in FlowStudio authority as explicit transition events with trigger, initiator, reason, scope and resulting permissions.</x:v>
      </x:c>
      <x:c r="L90" s="25" t="str">
        <x:v>Every machine-initiated escalation must remain visible and immediately reversible by the creator.</x:v>
      </x:c>
      <x:c r="M90" s="25" t="str">
        <x:v>Full text or extended abstract/author copy inspected</x:v>
      </x:c>
      <x:c r="N90" s="25" t="str">
        <x:v>Include</x:v>
      </x:c>
    </x:row>
    <x:row r="91">
      <x:c r="A91" s="20" t="str">
        <x:v>I87</x:v>
      </x:c>
      <x:c r="B91" s="25" t="str">
        <x:v>Human-Autonomy Teaming: A Review and Analysis of the Empirical Literature</x:v>
      </x:c>
      <x:c r="C91" s="25" t="n">
        <x:v>2022</x:v>
      </x:c>
      <x:c r="D91" s="25" t="str"/>
      <x:c r="E91" s="25" t="str"/>
      <x:c r="F91" s="25" t="str">
        <x:v>10.1177/0018720820960865</x:v>
      </x:c>
      <x:c r="G91" s="25" t="str">
        <x:v>https://doi.org/10.1177/0018720820960865</x:v>
      </x:c>
      <x:c r="H91" s="25" t="str">
        <x:v>Seed/snowball</x:v>
      </x:c>
      <x:c r="I91" s="25" t="str">
        <x:v>Human-autonomy teaming</x:v>
      </x:c>
      <x:c r="J91" s="25" t="str">
        <x:v>Human-autonomy teams are interdependent systems whose success depends on teamwork processes, shared understanding and communication, not only component accuracy.</x:v>
      </x:c>
      <x:c r="K91" s="25" t="str">
        <x:v>Evaluate the intent interpreter as a teammate mechanism using coordination, mutual predictability, repair and workload alongside inference performance.</x:v>
      </x:c>
      <x:c r="L91" s="25" t="str">
        <x:v>High technical accuracy does not justify autonomy if coordination and shared understanding are weak.</x:v>
      </x:c>
      <x:c r="M91" s="25" t="str">
        <x:v>Full text or extended abstract/author copy inspected</x:v>
      </x:c>
      <x:c r="N91" s="25" t="str">
        <x:v>Include</x:v>
      </x:c>
    </x:row>
    <x:row r="92">
      <x:c r="A92" s="20" t="str">
        <x:v>I88</x:v>
      </x:c>
      <x:c r="B92" s="25" t="str">
        <x:v>Shared control is the sharp end of cooperation: Towards a common framework of joint action, shared control and human machine cooperation</x:v>
      </x:c>
      <x:c r="C92" s="25" t="n">
        <x:v>2016</x:v>
      </x:c>
      <x:c r="D92" s="25" t="str"/>
      <x:c r="E92" s="25" t="str"/>
      <x:c r="F92" s="25" t="str">
        <x:v>10.1016/j.ifacol.2016.10.464</x:v>
      </x:c>
      <x:c r="G92" s="25" t="str">
        <x:v>https://doi.org/10.1016/j.ifacol.2016.10.464</x:v>
      </x:c>
      <x:c r="H92" s="25" t="str">
        <x:v>Seed/snowball</x:v>
      </x:c>
      <x:c r="I92" s="25" t="str">
        <x:v>Shared control</x:v>
      </x:c>
      <x:c r="J92" s="25" t="str">
        <x:v>Control-level cooperation is the point where broader coordination becomes concrete, and effective shared control must be supported by cooperation at guidance and goal levels.</x:v>
      </x:c>
      <x:c r="K92" s="25" t="str">
        <x:v>Separate project/stage guidance, edit-level goal negotiation and motor-level shared control; a motor correction must not silently alter the higher-level design goal.</x:v>
      </x:c>
      <x:c r="L92" s="25" t="str">
        <x:v>Authority conflicts at any level should propagate to a safe lower-permission state without erasing the user's goal.</x:v>
      </x:c>
      <x:c r="M92" s="25" t="str">
        <x:v>Full text or extended abstract/author copy inspected</x:v>
      </x:c>
      <x:c r="N92" s="25" t="str">
        <x:v>Include</x:v>
      </x:c>
    </x:row>
    <x:row r="93">
      <x:c r="A93" s="20" t="str">
        <x:v>I89</x:v>
      </x:c>
      <x:c r="B93" s="25" t="str">
        <x:v>Haptic shared control: smoothly shifting control authority?</x:v>
      </x:c>
      <x:c r="C93" s="25" t="n">
        <x:v>2012</x:v>
      </x:c>
      <x:c r="D93" s="25" t="str"/>
      <x:c r="E93" s="25" t="str"/>
      <x:c r="F93" s="25" t="str">
        <x:v>10.1007/s10111-011-0192-5</x:v>
      </x:c>
      <x:c r="G93" s="25" t="str">
        <x:v>https://doi.org/10.1007/s10111-011-0192-5</x:v>
      </x:c>
      <x:c r="H93" s="25" t="str">
        <x:v>Seed/snowball</x:v>
      </x:c>
      <x:c r="I93" s="25" t="str">
        <x:v>Continuous shared authority</x:v>
      </x:c>
      <x:c r="J93" s="25" t="str">
        <x:v>Smooth shared control requires continuous interaction, communication of automation behavior and preservation of final human authority.</x:v>
      </x:c>
      <x:c r="K93" s="25" t="str">
        <x:v>For continuous 3D manipulation, use ghost previews, gain limits and reversible blending rather than abrupt hidden replacement of the user's trajectory.</x:v>
      </x:c>
      <x:c r="L93" s="25" t="str">
        <x:v>User counter-force, counter-drag or direct tool reclaim has priority and immediately suppresses Agent application.</x:v>
      </x:c>
      <x:c r="M93" s="25" t="str">
        <x:v>Full text or extended abstract/author copy inspected</x:v>
      </x:c>
      <x:c r="N93" s="25" t="str">
        <x:v>Include</x:v>
      </x:c>
    </x:row>
    <x:row r="94">
      <x:c r="A94" s="20" t="str">
        <x:v>I90</x:v>
      </x:c>
      <x:c r="B94" s="25" t="str">
        <x:v>Towards a dynamic balance between humans and automation: authority, ability, responsibility and control in shared and cooperative control situations</x:v>
      </x:c>
      <x:c r="C94" s="25" t="n">
        <x:v>2012</x:v>
      </x:c>
      <x:c r="D94" s="25" t="str"/>
      <x:c r="E94" s="25" t="str"/>
      <x:c r="F94" s="25" t="str">
        <x:v>10.1007/s10111-011-0191-6</x:v>
      </x:c>
      <x:c r="G94" s="25" t="str">
        <x:v>https://doi.org/10.1007/s10111-011-0191-6</x:v>
      </x:c>
      <x:c r="H94" s="25" t="str">
        <x:v>Seed/snowball</x:v>
      </x:c>
      <x:c r="I94" s="25" t="str">
        <x:v>Authority-responsibility balance</x:v>
      </x:c>
      <x:c r="J94" s="25" t="str">
        <x:v>Authority, ability, responsibility and control must remain aligned as conditions and capabilities change.</x:v>
      </x:c>
      <x:c r="K94" s="25" t="str">
        <x:v>Log who inferred, selected, applied and accepted each edit; do not assign the user responsibility for an opaque Agent action they could not inspect or stop.</x:v>
      </x:c>
      <x:c r="L94" s="25" t="str">
        <x:v>Agent authority cannot exceed its demonstrated ability, observability or accountability channel.</x:v>
      </x:c>
      <x:c r="M94" s="25" t="str">
        <x:v>Full text or extended abstract/author copy inspected</x:v>
      </x:c>
      <x:c r="N94" s="25" t="str">
        <x:v>Include</x:v>
      </x:c>
    </x:row>
    <x:row r="95">
      <x:c r="A95" s="20" t="str">
        <x:v>I91</x:v>
      </x:c>
      <x:c r="B95" s="25" t="str">
        <x:v>A Topology of Shared Control Systems-Finding Common Ground in Diversity</x:v>
      </x:c>
      <x:c r="C95" s="25" t="n">
        <x:v>2018</x:v>
      </x:c>
      <x:c r="D95" s="25" t="str"/>
      <x:c r="E95" s="25" t="str"/>
      <x:c r="F95" s="25" t="str">
        <x:v>10.1109/THMS.2018.2791570</x:v>
      </x:c>
      <x:c r="G95" s="25" t="str">
        <x:v>https://doi.org/10.1109/THMS.2018.2791570</x:v>
      </x:c>
      <x:c r="H95" s="25" t="str">
        <x:v>Seed/snowball</x:v>
      </x:c>
      <x:c r="I95" s="25" t="str">
        <x:v>Shared-control topology</x:v>
      </x:c>
      <x:c r="J95" s="25" t="str">
        <x:v>Shared-control systems differ in actors, goals, inputs and blending mechanisms; general axioms enable comparison across implementations.</x:v>
      </x:c>
      <x:c r="K95" s="25" t="str">
        <x:v>Specify FlowStudio authority per function and level rather than one global autonomy slider, including observe, infer, retrieve, generate, select, apply and remember.</x:v>
      </x:c>
      <x:c r="L95" s="25" t="str">
        <x:v>Mixed control is safe only when goal compatibility, conflict resolution and final human authority are explicit.</x:v>
      </x:c>
      <x:c r="M95" s="25" t="str">
        <x:v>Full text or extended abstract/author copy inspected</x:v>
      </x:c>
      <x:c r="N95" s="25" t="str">
        <x:v>Include</x:v>
      </x:c>
    </x:row>
    <x:row r="96">
      <x:c r="A96" s="20" t="str">
        <x:v>I92</x:v>
      </x:c>
      <x:c r="B96" s="25" t="str">
        <x:v>Impact of Two Adjustable-Autonomy Models on the Scalability of Single-Human/Multiple-Robot Teams for Exploration Missions</x:v>
      </x:c>
      <x:c r="C96" s="25" t="n">
        <x:v>2011</x:v>
      </x:c>
      <x:c r="D96" s="25" t="str"/>
      <x:c r="E96" s="25" t="str"/>
      <x:c r="F96" s="25" t="str">
        <x:v>10.1177/0018720811420427</x:v>
      </x:c>
      <x:c r="G96" s="25" t="str">
        <x:v>https://doi.org/10.1177/0018720811420427</x:v>
      </x:c>
      <x:c r="H96" s="25" t="str">
        <x:v>Seed/snowball</x:v>
      </x:c>
      <x:c r="I96" s="25" t="str">
        <x:v>Adjustable autonomy</x:v>
      </x:c>
      <x:c r="J96" s="25" t="str">
        <x:v>Adjustable, adaptive and mixed-initiative autonomy assign different actors responsibility for changing autonomy, with distinct workload and scalability effects.</x:v>
      </x:c>
      <x:c r="K96" s="25" t="str">
        <x:v>Compare user-initiated, Agent-initiated and negotiated changes of assistance level rather than evaluating only one adaptive policy.</x:v>
      </x:c>
      <x:c r="L96" s="25" t="str">
        <x:v>Under uncertainty about user availability or intent, retain the last safe level instead of escalating automatically.</x:v>
      </x:c>
      <x:c r="M96" s="25" t="str">
        <x:v>Full text or extended abstract/author copy inspected</x:v>
      </x:c>
      <x:c r="N96" s="25" t="str">
        <x:v>Include</x:v>
      </x:c>
    </x:row>
    <x:row r="97">
      <x:c r="A97" s="20" t="str">
        <x:v>I93</x:v>
      </x:c>
      <x:c r="B97" s="25" t="str">
        <x:v>Probabilistic Plan Recognition Using Off-the-Shelf Classical Planners</x:v>
      </x:c>
      <x:c r="C97" s="25" t="n">
        <x:v>2010</x:v>
      </x:c>
      <x:c r="D97" s="25" t="str"/>
      <x:c r="E97" s="25" t="str"/>
      <x:c r="F97" s="25" t="str">
        <x:v>10.1609/aaai.v24i1.7745</x:v>
      </x:c>
      <x:c r="G97" s="25" t="str">
        <x:v>https://doi.org/10.1609/aaai.v24i1.7745</x:v>
      </x:c>
      <x:c r="H97" s="25" t="str">
        <x:v>Seed/snowball</x:v>
      </x:c>
      <x:c r="I97" s="25" t="str">
        <x:v>Probabilistic plan recognition</x:v>
      </x:c>
      <x:c r="J97" s="25" t="str">
        <x:v>Goal recognition can maintain a posterior distribution over candidate goals by comparing the cost of plans that comply with observations against unconstrained plans.</x:v>
      </x:c>
      <x:c r="K97" s="25" t="str">
        <x:v>Score candidate design goals by how economically they explain the observed event sequence, while retaining alternatives whose plans remain plausible.</x:v>
      </x:c>
      <x:c r="L97" s="25" t="str">
        <x:v>Planning-model fit is evidence, not proof of human intent; creative users may act non-optimally or change goals mid-episode.</x:v>
      </x:c>
      <x:c r="M97" s="25" t="str">
        <x:v>Full text or extended abstract/author copy inspected</x:v>
      </x:c>
      <x:c r="N97" s="25" t="str">
        <x:v>Include</x:v>
      </x:c>
    </x:row>
    <x:row r="98">
      <x:c r="A98" s="20" t="str">
        <x:v>I94</x:v>
      </x:c>
      <x:c r="B98" s="25" t="str">
        <x:v>Rational quantitative attribution of beliefs, desires and percepts in human mentalizing</x:v>
      </x:c>
      <x:c r="C98" s="25" t="n">
        <x:v>2017</x:v>
      </x:c>
      <x:c r="D98" s="25" t="str"/>
      <x:c r="E98" s="25" t="str"/>
      <x:c r="F98" s="25" t="str">
        <x:v>10.1038/s41562-017-0064</x:v>
      </x:c>
      <x:c r="G98" s="25" t="str">
        <x:v>https://doi.org/10.1038/s41562-017-0064</x:v>
      </x:c>
      <x:c r="H98" s="25" t="str">
        <x:v>Seed/snowball</x:v>
      </x:c>
      <x:c r="I98" s="25" t="str">
        <x:v>Bayesian theory of mind</x:v>
      </x:c>
      <x:c r="J98" s="25" t="str">
        <x:v>Mental-state attribution can be modeled by probabilistically inverting planning and state-estimation processes in partially observable environments.</x:v>
      </x:c>
      <x:c r="K98" s="25" t="str">
        <x:v>Represent both the creator's possible design goal and their possible belief about the 3D object, tool state and reference frame; an apparent error may follow a different belief state.</x:v>
      </x:c>
      <x:c r="L98" s="25" t="str">
        <x:v>The Agent must not treat its own scene model as identical to the user's mental model; disagreement triggers grounding or preview.</x:v>
      </x:c>
      <x:c r="M98" s="25" t="str">
        <x:v>Full text or extended abstract/author copy inspected</x:v>
      </x:c>
      <x:c r="N98" s="25" t="str">
        <x:v>Include</x:v>
      </x:c>
    </x:row>
    <x:row r="99">
      <x:c r="A99" s="20" t="str">
        <x:v>I95</x:v>
      </x:c>
      <x:c r="B99" s="25" t="str">
        <x:v>Online Probabilistic Goal Recognition over Nominal Models</x:v>
      </x:c>
      <x:c r="C99" s="25" t="n">
        <x:v>2019</x:v>
      </x:c>
      <x:c r="D99" s="25" t="str"/>
      <x:c r="E99" s="25" t="str"/>
      <x:c r="F99" s="25" t="str">
        <x:v>10.24963/ijcai.2019/770</x:v>
      </x:c>
      <x:c r="G99" s="25" t="str">
        <x:v>https://doi.org/10.24963/ijcai.2019/770</x:v>
      </x:c>
      <x:c r="H99" s="25" t="str">
        <x:v>Seed/snowball</x:v>
      </x:c>
      <x:c r="I99" s="25" t="str">
        <x:v>Online goal recognition</x:v>
      </x:c>
      <x:c r="J99" s="25" t="str">
        <x:v>Online posterior goal estimates are sensitive to mismatch between nominal dynamics models and actual system behavior.</x:v>
      </x:c>
      <x:c r="K99" s="25" t="str">
        <x:v>Track model mismatch and OOD status alongside intent confidence, especially when tools, modifiers or custom interaction mappings change event consequences.</x:v>
      </x:c>
      <x:c r="L99" s="25" t="str">
        <x:v>Model mismatch lowers authority even if the posterior over the wrong model appears concentrated.</x:v>
      </x:c>
      <x:c r="M99" s="25" t="str">
        <x:v>Full text or extended abstract/author copy inspected</x:v>
      </x:c>
      <x:c r="N99" s="25" t="str">
        <x:v>Include</x:v>
      </x:c>
    </x:row>
    <x:row r="100">
      <x:c r="A100" s="20" t="str">
        <x:v>I96</x:v>
      </x:c>
      <x:c r="B100" s="25" t="str">
        <x:v>Accounting for Observer's Partial Observability in Stochastic Goal Recognition Design</x:v>
      </x:c>
      <x:c r="C100" s="25" t="n">
        <x:v>2020</x:v>
      </x:c>
      <x:c r="D100" s="25" t="str"/>
      <x:c r="E100" s="25" t="str"/>
      <x:c r="F100" s="25" t="str">
        <x:v>10.3233/FAIA200370</x:v>
      </x:c>
      <x:c r="G100" s="25" t="str">
        <x:v>https://doi.org/10.3233/FAIA200370</x:v>
      </x:c>
      <x:c r="H100" s="25" t="str">
        <x:v>Seed/snowball</x:v>
      </x:c>
      <x:c r="I100" s="25" t="str">
        <x:v>Partial observability</x:v>
      </x:c>
      <x:c r="J100" s="25" t="str">
        <x:v>Goal recognition must explicitly account for what the observer can and cannot see rather than interpreting missing observations as absent actions or goals.</x:v>
      </x:c>
      <x:c r="K100" s="25" t="str">
        <x:v>Store missingness and visibility in the Intent Hypothesis Graph: occluded geometry, hidden modifiers, unsampled gestures and unavailable logs remain unknown evidence.</x:v>
      </x:c>
      <x:c r="L100" s="25" t="str">
        <x:v>Absence of evidence cannot raise commitment or justify automatic execution.</x:v>
      </x:c>
      <x:c r="M100" s="25" t="str">
        <x:v>Full text or extended abstract/author copy inspected</x:v>
      </x:c>
      <x:c r="N100" s="25" t="str">
        <x:v>Include</x:v>
      </x:c>
    </x:row>
    <x:row r="101">
      <x:c r="A101" s="20" t="str">
        <x:v>I97</x:v>
      </x:c>
      <x:c r="B101" s="25" t="str">
        <x:v>Goal Recognition with Timing Information</x:v>
      </x:c>
      <x:c r="C101" s="25" t="n">
        <x:v>2023</x:v>
      </x:c>
      <x:c r="D101" s="25" t="str"/>
      <x:c r="E101" s="25" t="str"/>
      <x:c r="F101" s="25" t="str">
        <x:v>10.1609/icaps.v33i1.27224</x:v>
      </x:c>
      <x:c r="G101" s="25" t="str">
        <x:v>https://doi.org/10.1609/icaps.v33i1.27224</x:v>
      </x:c>
      <x:c r="H101" s="25" t="str">
        <x:v>Seed/snowball</x:v>
      </x:c>
      <x:c r="I101" s="25" t="str">
        <x:v>Temporal goal recognition</x:v>
      </x:c>
      <x:c r="J101" s="25" t="str">
        <x:v>Action timing adds discriminative evidence beyond action identity for recognizing goals and plans.</x:v>
      </x:c>
      <x:c r="K101" s="25" t="str">
        <x:v>Encode dwell, pause, tempo, repetition and time-to-repair as timestamped evidence rather than flattening an episode into an unordered action bag.</x:v>
      </x:c>
      <x:c r="L101" s="25" t="str">
        <x:v>Timing is context-sensitive and should modify hypothesis likelihood, not become a universal command rule.</x:v>
      </x:c>
      <x:c r="M101" s="25" t="str">
        <x:v>Full text or extended abstract/author copy inspected</x:v>
      </x:c>
      <x:c r="N101" s="25" t="str">
        <x:v>Include</x:v>
      </x:c>
    </x:row>
  </x:sheetData>
  <x:mergeCells>
    <x:mergeCell ref="A1:N1"/>
    <x:mergeCell ref="A2:N2"/>
  </x:mergeCells>
  <x:conditionalFormatting sqref="N5:N101">
    <x:cfRule type="containsText" dxfId="1" priority="1" operator="containsText" text="Include"/>
  </x:conditionalFormatting>
  <x:pageMargins left="0.7" right="0.7" top="0.75" bottom="0.75" header="0.3" footer="0.3"/>
  <x:tableParts count="1">
    <x:tablePart xmlns:r="http://schemas.openxmlformats.org/officeDocument/2006/relationships" r:id="R682978e3bc5b494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8" hidden="0" customWidth="1"/>
    <x:col min="3" max="3" width="52" hidden="0" customWidth="1"/>
    <x:col min="4" max="4" width="56" hidden="0" customWidth="1"/>
    <x:col min="5" max="5" width="34" hidden="0" customWidth="1"/>
    <x:col min="6" max="6" width="30" hidden="0" customWidth="1"/>
    <x:col min="7" max="7" width="12" hidden="0" customWidth="1"/>
  </x:cols>
  <x:sheetData>
    <x:row r="1" ht="30" customHeight="1">
      <x:c r="A1" s="3" t="str">
        <x:v>理论 → 计算机制 → DC1 可检验主张</x:v>
      </x:c>
    </x:row>
    <x:row r="2" ht="30" customHeight="1">
      <x:c r="A2" s="7" t="str">
        <x:v>将文献综述转化为可以在系统与研究中验证的结构。</x:v>
      </x:c>
    </x:row>
    <x:row r="4" ht="30" customHeight="1">
      <x:c r="A4" s="24" t="str">
        <x:v>理论</x:v>
      </x:c>
      <x:c r="B4" s="24" t="str">
        <x:v>核心构念</x:v>
      </x:c>
      <x:c r="C4" s="24" t="str">
        <x:v>计算化机制</x:v>
      </x:c>
      <x:c r="D4" s="24" t="str">
        <x:v>DC1 可检验主张</x:v>
      </x:c>
      <x:c r="E4" s="24" t="str">
        <x:v>关键来源</x:v>
      </x:c>
      <x:c r="F4" s="24" t="str">
        <x:v>建议指标</x:v>
      </x:c>
      <x:c r="G4" s="24" t="str">
        <x:v>优先级</x:v>
      </x:c>
    </x:row>
    <x:row r="5">
      <x:c r="A5" s="25" t="str">
        <x:v>Directness / semantic distance</x:v>
      </x:c>
      <x:c r="B5" s="25" t="str">
        <x:v>动作与目标语义之间的翻译距离</x:v>
      </x:c>
      <x:c r="C5" s="25" t="str">
        <x:v>对象/部件/参考系条件化的事件解释</x:v>
      </x:c>
      <x:c r="D5" s="25" t="str">
        <x:v>相同 drag 在不同对象、部件与阶段产生不同意图后验</x:v>
      </x:c>
      <x:c r="E5" s="25" t="str">
        <x:v>Hutchins et al.; Shneiderman</x:v>
      </x:c>
      <x:c r="F5" s="25" t="str">
        <x:v>意图解释正确率 + 用户修正次数</x:v>
      </x:c>
      <x:c r="G5" s="25" t="str">
        <x:v>核心</x:v>
      </x:c>
    </x:row>
    <x:row r="6">
      <x:c r="A6" s="25" t="str">
        <x:v>Epistemic action</x:v>
      </x:c>
      <x:c r="B6" s="25" t="str">
        <x:v>用户通过行动思考、探测和外化认知</x:v>
      </x:c>
      <x:c r="C6" s="25" t="str">
        <x:v>探索状态/承诺状态隐变量；undo/compare/repeat 作为证据</x:v>
      </x:c>
      <x:c r="D6" s="25" t="str">
        <x:v>系统区分试探与承诺后可减少错误自动应用</x:v>
      </x:c>
      <x:c r="E6" s="25" t="str">
        <x:v>Kirsh &amp; Maglio</x:v>
      </x:c>
      <x:c r="F6" s="25" t="str">
        <x:v>误提交率；探索广度；撤销后恢复</x:v>
      </x:c>
      <x:c r="G6" s="25" t="str">
        <x:v>核心</x:v>
      </x:c>
    </x:row>
    <x:row r="7">
      <x:c r="A7" s="25" t="str">
        <x:v>Situated action</x:v>
      </x:c>
      <x:c r="B7" s="25" t="str">
        <x:v>计划在情境中形成并被修订</x:v>
      </x:c>
      <x:c r="C7" s="25" t="str">
        <x:v>以当前对象状态、工具、阶段和历史持续更新假设</x:v>
      </x:c>
      <x:c r="D7" s="25" t="str">
        <x:v>序列模型优于孤立事件分类</x:v>
      </x:c>
      <x:c r="E7" s="25" t="str">
        <x:v>Suchman；本综述推论</x:v>
      </x:c>
      <x:c r="F7" s="25" t="str">
        <x:v>序列 vs 单事件消融</x:v>
      </x:c>
      <x:c r="G7" s="25" t="str">
        <x:v>补充</x:v>
      </x:c>
    </x:row>
    <x:row r="8">
      <x:c r="A8" s="25" t="str">
        <x:v>Bayesian inverse planning</x:v>
      </x:c>
      <x:c r="B8" s="25" t="str">
        <x:v>从近似理性动作反推潜在目标</x:v>
      </x:c>
      <x:c r="C8" s="25" t="str">
        <x:v>P(intent|trajectory,state,constraints) 多假设推断</x:v>
      </x:c>
      <x:c r="D8" s="25" t="str">
        <x:v>保留分布而非 top-1 可改善歧义处理</x:v>
      </x:c>
      <x:c r="E8" s="25" t="str">
        <x:v>Baker et al.; Jain &amp; Argall</x:v>
      </x:c>
      <x:c r="F8" s="25" t="str">
        <x:v>Top-k、校准误差、熵-错误关系</x:v>
      </x:c>
      <x:c r="G8" s="25" t="str">
        <x:v>核心</x:v>
      </x:c>
    </x:row>
    <x:row r="9">
      <x:c r="A9" s="25" t="str">
        <x:v>Legibility vs predictability</x:v>
      </x:c>
      <x:c r="B9" s="25" t="str">
        <x:v>可预期动作不等于可读意图</x:v>
      </x:c>
      <x:c r="C9" s="25" t="str">
        <x:v>交互解释预览；agent edit 的 intent-expressive preview</x:v>
      </x:c>
      <x:c r="D9" s="25" t="str">
        <x:v>显示保留/改变范围能提升用户理解与接管效率</x:v>
      </x:c>
      <x:c r="E9" s="25" t="str">
        <x:v>Dragan et al.</x:v>
      </x:c>
      <x:c r="F9" s="25" t="str">
        <x:v>理解正确率；接管反应时间</x:v>
      </x:c>
      <x:c r="G9" s="25" t="str">
        <x:v>核心</x:v>
      </x:c>
    </x:row>
    <x:row r="10">
      <x:c r="A10" s="25" t="str">
        <x:v>Mixed-initiative expected utility</x:v>
      </x:c>
      <x:c r="B10" s="25" t="str">
        <x:v>主动性依赖收益、不确定性和打扰成本</x:v>
      </x:c>
      <x:c r="C10" s="25" t="str">
        <x:v>initiative policy = f(confidence,risk,reversibility,stage)</x:v>
      </x:c>
      <x:c r="D10" s="25" t="str">
        <x:v>情境化主动性优于固定主动或固定被动</x:v>
      </x:c>
      <x:c r="E10" s="25" t="str">
        <x:v>Horvitz</x:v>
      </x:c>
      <x:c r="F10" s="25" t="str">
        <x:v>控制冲突；接受率；打扰评分</x:v>
      </x:c>
      <x:c r="G10" s="25" t="str">
        <x:v>核心</x:v>
      </x:c>
    </x:row>
    <x:row r="11">
      <x:c r="A11" s="25" t="str">
        <x:v>Levels of automation</x:v>
      </x:c>
      <x:c r="B11" s="25" t="str">
        <x:v>感知、分析、决策、执行可不同程度自动化</x:v>
      </x:c>
      <x:c r="C11" s="25" t="str">
        <x:v>分层权限：observe→infer→suggest→preview→apply</x:v>
      </x:c>
      <x:c r="D11" s="25" t="str">
        <x:v>高分析自动化 + 低最终执行自动化可兼顾效率与控制</x:v>
      </x:c>
      <x:c r="E11" s="25" t="str">
        <x:v>Parasuraman et al.</x:v>
      </x:c>
      <x:c r="F11" s="25" t="str">
        <x:v>任务时间；控制感；情况感知</x:v>
      </x:c>
      <x:c r="G11" s="25" t="str">
        <x:v>核心</x:v>
      </x:c>
    </x:row>
    <x:row r="12">
      <x:c r="A12" s="25" t="str">
        <x:v>Calibrated trust</x:v>
      </x:c>
      <x:c r="B12" s="25" t="str">
        <x:v>信任应匹配系统能力与情境</x:v>
      </x:c>
      <x:c r="C12" s="25" t="str">
        <x:v>置信度、证据、失败模式与可撤销性显示</x:v>
      </x:c>
      <x:c r="D12" s="25" t="str">
        <x:v>校准信息能减少过度依赖和不当拒绝</x:v>
      </x:c>
      <x:c r="E12" s="25" t="str">
        <x:v>Lee &amp; See; Amershi et al.</x:v>
      </x:c>
      <x:c r="F12" s="25" t="str">
        <x:v>适当依赖率；信任校准</x:v>
      </x:c>
      <x:c r="G12" s="25" t="str">
        <x:v>核心</x:v>
      </x:c>
    </x:row>
    <x:row r="13">
      <x:c r="A13" s="25" t="str">
        <x:v>COFI / reciprocal co-creation</x:v>
      </x:c>
      <x:c r="B13" s="25" t="str">
        <x:v>共创由轮次、贡献类型和沟通结构组成</x:v>
      </x:c>
      <x:c r="C13" s="25" t="str">
        <x:v>定义 agent 何时提议/修改/评价/选择</x:v>
      </x:c>
      <x:c r="D13" s="25" t="str">
        <x:v>显式协作协议能减少主动权冲突</x:v>
      </x:c>
      <x:c r="E13" s="25" t="str">
        <x:v>Rezwana &amp; Maher; Deterding et al.</x:v>
      </x:c>
      <x:c r="F13" s="25" t="str">
        <x:v>协作流畅度；agency；ownership</x:v>
      </x:c>
      <x:c r="G13" s="25" t="str">
        <x:v>核心</x:v>
      </x:c>
    </x:row>
    <x:row r="14">
      <x:c r="A14" s="25" t="str">
        <x:v>Typed agent memory</x:v>
      </x:c>
      <x:c r="B14" s="25" t="str">
        <x:v>情节、语义、程序记忆承担不同功能</x:v>
      </x:c>
      <x:c r="C14" s="25" t="str">
        <x:v>分库写入与混合检索；来源/时间/置信度</x:v>
      </x:c>
      <x:c r="D14" s="25" t="str">
        <x:v>类型化记忆优于扁平聊天历史</x:v>
      </x:c>
      <x:c r="E14" s="25" t="str">
        <x:v>Generative Agents; MemGPT; memory surveys</x:v>
      </x:c>
      <x:c r="F14" s="25" t="str">
        <x:v>检索准确、利用率、过时记忆错误</x:v>
      </x:c>
      <x:c r="G14" s="25" t="str">
        <x:v>核心</x:v>
      </x:c>
    </x:row>
    <x:row r="15">
      <x:c r="A15" s="25" t="str">
        <x:v>3D task taxonomy &amp; constraints</x:v>
      </x:c>
      <x:c r="B15" s="25" t="str">
        <x:v>导航、选择、操控与系统控制需要区分</x:v>
      </x:c>
      <x:c r="C15" s="25" t="str">
        <x:v>事件归一化 + reference-frame/constraint/part reasoning</x:v>
      </x:c>
      <x:c r="D15" s="25" t="str">
        <x:v>加入几何约束和任务模式能降低动作歧义</x:v>
      </x:c>
      <x:c r="E15" s="25" t="str">
        <x:v>Bowman; Mendes; iWIRES</x:v>
      </x:c>
      <x:c r="F15" s="25" t="str">
        <x:v>歧义率；约束破坏率</x:v>
      </x:c>
      <x:c r="G15" s="25" t="str">
        <x:v>核心</x:v>
      </x:c>
    </x:row>
    <x:row r="16">
      <x:c r="A16" s="25" t="str">
        <x:v>Sketch ambiguity</x:v>
      </x:c>
      <x:c r="B16" s="25" t="str">
        <x:v>同一笔迹可表示创建、细化或变形</x:v>
      </x:c>
      <x:c r="C16" s="25" t="str">
        <x:v>按阶段维持 operation-family 分布并给对比预览</x:v>
      </x:c>
      <x:c r="D16" s="25" t="str">
        <x:v>对比预览优于静默单一解释</x:v>
      </x:c>
      <x:c r="E16" s="25" t="str">
        <x:v>Olsen et al.; Teddy</x:v>
      </x:c>
      <x:c r="F16" s="25" t="str">
        <x:v>修正次数；首次意图命中</x:v>
      </x:c>
      <x:c r="G16" s="25" t="str">
        <x:v>核心</x:v>
      </x:c>
    </x:row>
    <x:row r="17">
      <x:c r="A17" s="17"/>
      <x:c r="B17" s="17"/>
      <x:c r="C17" s="17"/>
      <x:c r="D17" s="17"/>
      <x:c r="E17" s="17"/>
      <x:c r="F17" s="17"/>
      <x:c r="G17" s="17"/>
    </x:row>
    <x:row r="18">
      <x:c r="A18" s="17"/>
      <x:c r="B18" s="17"/>
      <x:c r="C18" s="17"/>
      <x:c r="D18" s="17"/>
      <x:c r="E18" s="17"/>
      <x:c r="F18" s="17"/>
      <x:c r="G18" s="17"/>
    </x:row>
    <x:row r="19">
      <x:c r="A19" s="17"/>
      <x:c r="B19" s="17"/>
      <x:c r="C19" s="17"/>
      <x:c r="D19" s="17"/>
      <x:c r="E19" s="17"/>
      <x:c r="F19" s="17"/>
      <x:c r="G19" s="17"/>
    </x:row>
    <x:row r="20">
      <x:c r="A20" s="17"/>
      <x:c r="B20" s="17"/>
      <x:c r="C20" s="17"/>
      <x:c r="D20" s="17"/>
      <x:c r="E20" s="17"/>
      <x:c r="F20" s="17"/>
      <x:c r="G20" s="17"/>
    </x:row>
    <x:row r="21">
      <x:c r="A21" s="17"/>
      <x:c r="B21" s="17"/>
      <x:c r="C21" s="17"/>
      <x:c r="D21" s="17"/>
      <x:c r="E21" s="17"/>
      <x:c r="F21" s="17"/>
      <x:c r="G21" s="17"/>
    </x:row>
    <x:row r="22">
      <x:c r="A22" s="17"/>
      <x:c r="B22" s="17"/>
      <x:c r="C22" s="17"/>
      <x:c r="D22" s="17"/>
      <x:c r="E22" s="17"/>
      <x:c r="F22" s="17"/>
      <x:c r="G22" s="17"/>
    </x:row>
    <x:row r="23">
      <x:c r="A23" s="17"/>
      <x:c r="B23" s="17"/>
      <x:c r="C23" s="17"/>
      <x:c r="D23" s="17"/>
      <x:c r="E23" s="17"/>
      <x:c r="F23" s="17"/>
      <x:c r="G23" s="17"/>
    </x:row>
    <x:row r="24">
      <x:c r="A24" s="17"/>
      <x:c r="B24" s="17"/>
      <x:c r="C24" s="17"/>
      <x:c r="D24" s="17"/>
      <x:c r="E24" s="17"/>
      <x:c r="F24" s="17"/>
      <x:c r="G24" s="17"/>
    </x:row>
    <x:row r="25">
      <x:c r="A25" s="17"/>
      <x:c r="B25" s="17"/>
      <x:c r="C25" s="17"/>
      <x:c r="D25" s="17"/>
      <x:c r="E25" s="17"/>
      <x:c r="F25" s="17"/>
      <x:c r="G25" s="17"/>
    </x:row>
    <x:row r="26">
      <x:c r="A26" s="17"/>
      <x:c r="B26" s="17"/>
      <x:c r="C26" s="17"/>
      <x:c r="D26" s="17"/>
      <x:c r="E26" s="17"/>
      <x:c r="F26" s="17"/>
      <x:c r="G26" s="17"/>
    </x:row>
    <x:row r="27">
      <x:c r="A27" s="17"/>
      <x:c r="B27" s="17"/>
      <x:c r="C27" s="17"/>
      <x:c r="D27" s="17"/>
      <x:c r="E27" s="17"/>
      <x:c r="F27" s="17"/>
      <x:c r="G27" s="17"/>
    </x:row>
    <x:row r="28">
      <x:c r="A28" s="17"/>
      <x:c r="B28" s="17"/>
      <x:c r="C28" s="17"/>
      <x:c r="D28" s="17"/>
      <x:c r="E28" s="17"/>
      <x:c r="F28" s="17"/>
      <x:c r="G28" s="17"/>
    </x:row>
    <x:row r="29">
      <x:c r="A29" s="17"/>
      <x:c r="B29" s="17"/>
      <x:c r="C29" s="17"/>
      <x:c r="D29" s="17"/>
      <x:c r="E29" s="17"/>
      <x:c r="F29" s="17"/>
      <x:c r="G29" s="17"/>
    </x:row>
    <x:row r="30">
      <x:c r="A30" s="17"/>
      <x:c r="B30" s="17"/>
      <x:c r="C30" s="17"/>
      <x:c r="D30" s="17"/>
      <x:c r="E30" s="17"/>
      <x:c r="F30" s="17"/>
      <x:c r="G30" s="17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7bd8e7b5ceda4ef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8" hidden="0" customWidth="1"/>
    <x:col min="3" max="3" width="48" hidden="0" customWidth="1"/>
    <x:col min="4" max="4" width="24" hidden="0" customWidth="1"/>
    <x:col min="5" max="5" width="42" hidden="0" customWidth="1"/>
    <x:col min="6" max="6" width="38" hidden="0" customWidth="1"/>
    <x:col min="7" max="7" width="50" hidden="0" customWidth="1"/>
    <x:col min="8" max="8" width="32" hidden="0" customWidth="1"/>
  </x:cols>
  <x:sheetData>
    <x:row r="1" ht="30" customHeight="1">
      <x:c r="A1" s="3" t="str">
        <x:v>交互信号 → 意图假设 → 记忆</x:v>
      </x:c>
    </x:row>
    <x:row r="2" ht="30" customHeight="1">
      <x:c r="A2" s="7" t="str">
        <x:v>信号从来不是单独的命令；必须与对象、时序、设计阶段和历史一起解释。</x:v>
      </x:c>
    </x:row>
    <x:row r="4" ht="30" customHeight="1">
      <x:c r="A4" s="24" t="str">
        <x:v>信号</x:v>
      </x:c>
      <x:c r="B4" s="24" t="str">
        <x:v>候选意图</x:v>
      </x:c>
      <x:c r="C4" s="24" t="str">
        <x:v>联合上下文</x:v>
      </x:c>
      <x:c r="D4" s="24" t="str">
        <x:v>记忆类型</x:v>
      </x:c>
      <x:c r="E4" s="24" t="str">
        <x:v>检索键</x:v>
      </x:c>
      <x:c r="F4" s="24" t="str">
        <x:v>主要风险</x:v>
      </x:c>
      <x:c r="G4" s="24" t="str">
        <x:v>系统响应</x:v>
      </x:c>
      <x:c r="H4" s="24" t="str">
        <x:v>理论依据</x:v>
      </x:c>
    </x:row>
    <x:row r="5">
      <x:c r="A5" s="25" t="str">
        <x:v>Select / hover</x:v>
      </x:c>
      <x:c r="B5" s="25" t="str">
        <x:v>对象或部件是当前关注目标</x:v>
      </x:c>
      <x:c r="C5" s="25" t="str">
        <x:v>语义部件、邻接、可供性、先前选择</x:v>
      </x:c>
      <x:c r="D5" s="25" t="str">
        <x:v>工作记忆 + 情节</x:v>
      </x:c>
      <x:c r="E5" s="25" t="str">
        <x:v>object/part id；stage；recency</x:v>
      </x:c>
      <x:c r="F5" s="25" t="str">
        <x:v>中：选中不等于要修改</x:v>
      </x:c>
      <x:c r="G5" s="25" t="str">
        <x:v>显示当前 scope，并允许扩/缩范围</x:v>
      </x:c>
      <x:c r="H5" s="25" t="str">
        <x:v>Selection is deictic focus</x:v>
      </x:c>
    </x:row>
    <x:row r="6">
      <x:c r="A6" s="25" t="str">
        <x:v>Brush / lasso</x:v>
      </x:c>
      <x:c r="B6" s="25" t="str">
        <x:v>局部工作区、边界或语义焦点</x:v>
      </x:c>
      <x:c r="C6" s="25" t="str">
        <x:v>覆盖率、边界、部件分割、刷速、重复</x:v>
      </x:c>
      <x:c r="D6" s="25" t="str">
        <x:v>情节</x:v>
      </x:c>
      <x:c r="E6" s="25" t="str">
        <x:v>spatial overlap；part semantics</x:v>
      </x:c>
      <x:c r="F6" s="25" t="str">
        <x:v>高：替换/精修/标注多义</x:v>
      </x:c>
      <x:c r="G6" s="25" t="str">
        <x:v>输出多个 operation-family 预览</x:v>
      </x:c>
      <x:c r="H6" s="25" t="str">
        <x:v>Teddy; sketch surveys</x:v>
      </x:c>
    </x:row>
    <x:row r="7">
      <x:c r="A7" s="25" t="str">
        <x:v>Drag vector</x:v>
      </x:c>
      <x:c r="B7" s="25" t="str">
        <x:v>移动、缩放、拉伸、姿态或表达性变化</x:v>
      </x:c>
      <x:c r="C7" s="25" t="str">
        <x:v>屏幕向量、物体轴、视角、约束、手柄、幅度</x:v>
      </x:c>
      <x:c r="D7" s="25" t="str">
        <x:v>情节 + 程序</x:v>
      </x:c>
      <x:c r="E7" s="25" t="str">
        <x:v>trajectory similarity；reference frame</x:v>
      </x:c>
      <x:c r="F7" s="25" t="str">
        <x:v>高：2D→3D 深度/轴歧义</x:v>
      </x:c>
      <x:c r="G7" s="25" t="str">
        <x:v>约束化预览；必要时选轴</x:v>
      </x:c>
      <x:c r="H7" s="25" t="str">
        <x:v>van Emmerik; Reisman</x:v>
      </x:c>
    </x:row>
    <x:row r="8">
      <x:c r="A8" s="25" t="str">
        <x:v>Repeated micro-adjustment</x:v>
      </x:c>
      <x:c r="B8" s="25" t="str">
        <x:v>精修、寻找阈值或系统误解</x:v>
      </x:c>
      <x:c r="C8" s="25" t="str">
        <x:v>往返、幅度衰减、undo、停顿</x:v>
      </x:c>
      <x:c r="D8" s="25" t="str">
        <x:v>情节</x:v>
      </x:c>
      <x:c r="E8" s="25" t="str">
        <x:v>temporal pattern；same target</x:v>
      </x:c>
      <x:c r="F8" s="25" t="str">
        <x:v>中：可能是认知探测</x:v>
      </x:c>
      <x:c r="G8" s="25" t="str">
        <x:v>降低 agent 主动性，保留连续控制</x:v>
      </x:c>
      <x:c r="H8" s="25" t="str">
        <x:v>Epistemic action</x:v>
      </x:c>
    </x:row>
    <x:row r="9">
      <x:c r="A9" s="25" t="str">
        <x:v>Compare / accept / reject</x:v>
      </x:c>
      <x:c r="B9" s="25" t="str">
        <x:v>偏好、方向承诺或反例</x:v>
      </x:c>
      <x:c r="C9" s="25" t="str">
        <x:v>候选差异、决策时间、后续回退</x:v>
      </x:c>
      <x:c r="D9" s="25" t="str">
        <x:v>情节→语义偏好</x:v>
      </x:c>
      <x:c r="E9" s="25" t="str">
        <x:v>similar past alternatives；stage</x:v>
      </x:c>
      <x:c r="F9" s="25" t="str">
        <x:v>中：一次选择未必稳定</x:v>
      </x:c>
      <x:c r="G9" s="25" t="str">
        <x:v>局部更新；重复后才固化长期偏好</x:v>
      </x:c>
      <x:c r="H9" s="25" t="str">
        <x:v>CST; co-creation</x:v>
      </x:c>
    </x:row>
    <x:row r="10">
      <x:c r="A10" s="25" t="str">
        <x:v>Undo / restore</x:v>
      </x:c>
      <x:c r="B10" s="25" t="str">
        <x:v>结果不合意、范围错误或探索结束</x:v>
      </x:c>
      <x:c r="C10" s="25" t="str">
        <x:v>撤销链、撤销速度、是否继续同方向</x:v>
      </x:c>
      <x:c r="D10" s="25" t="str">
        <x:v>情节 + 程序失败</x:v>
      </x:c>
      <x:c r="E10" s="25" t="str">
        <x:v>edit provenance；failure similarity</x:v>
      </x:c>
      <x:c r="F10" s="25" t="str">
        <x:v>高：原因不可直接观测</x:v>
      </x:c>
      <x:c r="G10" s="25" t="str">
        <x:v>询问/推断原因但不永久归因</x:v>
      </x:c>
      <x:c r="H10" s="25" t="str">
        <x:v>Interactive ML</x:v>
      </x:c>
    </x:row>
    <x:row r="11">
      <x:c r="A11" s="25" t="str">
        <x:v>Camera navigation</x:v>
      </x:c>
      <x:c r="B11" s="25" t="str">
        <x:v>观察、检查遮挡或比较视角</x:v>
      </x:c>
      <x:c r="C11" s="25" t="str">
        <x:v>相机状态、对象是否固定、当前模式</x:v>
      </x:c>
      <x:c r="D11" s="25" t="str">
        <x:v>工作记忆</x:v>
      </x:c>
      <x:c r="E11" s="25" t="str">
        <x:v>viewpoint；visibility</x:v>
      </x:c>
      <x:c r="F11" s="25" t="str">
        <x:v>高：不得当作对象操作</x:v>
      </x:c>
      <x:c r="G11" s="25" t="str">
        <x:v>硬规则隔离 navigation 与 edit</x:v>
      </x:c>
      <x:c r="H11" s="25" t="str">
        <x:v>Bowman taxonomy</x:v>
      </x:c>
    </x:row>
    <x:row r="12">
      <x:c r="A12" s="25" t="str">
        <x:v>Tool / mode</x:v>
      </x:c>
      <x:c r="B12" s="25" t="str">
        <x:v>限制可行操作族</x:v>
      </x:c>
      <x:c r="C12" s="25" t="str">
        <x:v>active tool、gizmo、selection mode</x:v>
      </x:c>
      <x:c r="D12" s="25" t="str">
        <x:v>程序</x:v>
      </x:c>
      <x:c r="E12" s="25" t="str">
        <x:v>tool-operation compatibility</x:v>
      </x:c>
      <x:c r="F12" s="25" t="str">
        <x:v>低到中</x:v>
      </x:c>
      <x:c r="G12" s="25" t="str">
        <x:v>作为强先验但允许例外</x:v>
      </x:c>
      <x:c r="H12" s="25" t="str">
        <x:v>3D UI taxonomy</x:v>
      </x:c>
    </x:row>
    <x:row r="13">
      <x:c r="A13" s="25" t="str">
        <x:v>Geometry / constraints</x:v>
      </x:c>
      <x:c r="B13" s="25" t="str">
        <x:v>可行且结构合理的改变</x:v>
      </x:c>
      <x:c r="C13" s="25" t="str">
        <x:v>对称、接触、对齐、拓扑、接口</x:v>
      </x:c>
      <x:c r="D13" s="25" t="str">
        <x:v>语义 + 程序</x:v>
      </x:c>
      <x:c r="E13" s="25" t="str">
        <x:v>constraint graph；part relation</x:v>
      </x:c>
      <x:c r="F13" s="25" t="str">
        <x:v>高：错误会破坏结构</x:v>
      </x:c>
      <x:c r="G13" s="25" t="str">
        <x:v>默认保留；破坏需确认</x:v>
      </x:c>
      <x:c r="H13" s="25" t="str">
        <x:v>iWIRES; CAD intent</x:v>
      </x:c>
    </x:row>
    <x:row r="14">
      <x:c r="A14" s="25" t="str">
        <x:v>Design stage / commitment</x:v>
      </x:c>
      <x:c r="B14" s="25" t="str">
        <x:v>发散范围与保真度</x:v>
      </x:c>
      <x:c r="C14" s="25" t="str">
        <x:v>已接受结构、编辑历史、候选收敛</x:v>
      </x:c>
      <x:c r="D14" s="25" t="str">
        <x:v>语义状态</x:v>
      </x:c>
      <x:c r="E14" s="25" t="str">
        <x:v>stage match；commitment strength</x:v>
      </x:c>
      <x:c r="F14" s="25" t="str">
        <x:v>高：阶段误判会过度发散</x:v>
      </x:c>
      <x:c r="G14" s="25" t="str">
        <x:v>阶段可见、可手动修正</x:v>
      </x:c>
      <x:c r="H14" s="25" t="str">
        <x:v>CST; staged divergence</x:v>
      </x:c>
    </x:row>
    <x:row r="15">
      <x:c r="A15" s="25" t="str">
        <x:v>Past episodes / preferences</x:v>
      </x:c>
      <x:c r="B15" s="25" t="str">
        <x:v>个性化意图先验</x:v>
      </x:c>
      <x:c r="C15" s="25" t="str">
        <x:v>相似对象/部件/阶段及用户反馈</x:v>
      </x:c>
      <x:c r="D15" s="25" t="str">
        <x:v>情节/语义/程序分层</x:v>
      </x:c>
      <x:c r="E15" s="25" t="str">
        <x:v>relevance+recency+importance+stage</x:v>
      </x:c>
      <x:c r="F15" s="25" t="str">
        <x:v>高：陈旧/冲突记忆</x:v>
      </x:c>
      <x:c r="G15" s="25" t="str">
        <x:v>显示来源；衰减；当前证据优先</x:v>
      </x:c>
      <x:c r="H15" s="25" t="str">
        <x:v>Generative Agents; MemGPT</x:v>
      </x:c>
    </x:row>
    <x:row r="16">
      <x:c r="A16" s="17"/>
      <x:c r="B16" s="17"/>
      <x:c r="C16" s="17"/>
      <x:c r="D16" s="17"/>
      <x:c r="E16" s="17"/>
      <x:c r="F16" s="17"/>
      <x:c r="G16" s="17"/>
      <x:c r="H16" s="17"/>
    </x:row>
    <x:row r="17">
      <x:c r="A17" s="17"/>
      <x:c r="B17" s="17"/>
      <x:c r="C17" s="17"/>
      <x:c r="D17" s="17"/>
      <x:c r="E17" s="17"/>
      <x:c r="F17" s="17"/>
      <x:c r="G17" s="17"/>
      <x:c r="H17" s="17"/>
    </x:row>
    <x:row r="18">
      <x:c r="A18" s="17"/>
      <x:c r="B18" s="17"/>
      <x:c r="C18" s="17"/>
      <x:c r="D18" s="17"/>
      <x:c r="E18" s="17"/>
      <x:c r="F18" s="17"/>
      <x:c r="G18" s="17"/>
      <x:c r="H18" s="17"/>
    </x:row>
    <x:row r="19">
      <x:c r="A19" s="17"/>
      <x:c r="B19" s="17"/>
      <x:c r="C19" s="17"/>
      <x:c r="D19" s="17"/>
      <x:c r="E19" s="17"/>
      <x:c r="F19" s="17"/>
      <x:c r="G19" s="17"/>
      <x:c r="H19" s="17"/>
    </x:row>
    <x:row r="20">
      <x:c r="A20" s="17"/>
      <x:c r="B20" s="17"/>
      <x:c r="C20" s="17"/>
      <x:c r="D20" s="17"/>
      <x:c r="E20" s="17"/>
      <x:c r="F20" s="17"/>
      <x:c r="G20" s="17"/>
      <x:c r="H20" s="17"/>
    </x:row>
    <x:row r="21">
      <x:c r="A21" s="17"/>
      <x:c r="B21" s="17"/>
      <x:c r="C21" s="17"/>
      <x:c r="D21" s="17"/>
      <x:c r="E21" s="17"/>
      <x:c r="F21" s="17"/>
      <x:c r="G21" s="17"/>
      <x:c r="H21" s="17"/>
    </x:row>
    <x:row r="22">
      <x:c r="A22" s="17"/>
      <x:c r="B22" s="17"/>
      <x:c r="C22" s="17"/>
      <x:c r="D22" s="17"/>
      <x:c r="E22" s="17"/>
      <x:c r="F22" s="17"/>
      <x:c r="G22" s="17"/>
      <x:c r="H22" s="17"/>
    </x:row>
    <x:row r="23">
      <x:c r="A23" s="17"/>
      <x:c r="B23" s="17"/>
      <x:c r="C23" s="17"/>
      <x:c r="D23" s="17"/>
      <x:c r="E23" s="17"/>
      <x:c r="F23" s="17"/>
      <x:c r="G23" s="17"/>
      <x:c r="H23" s="17"/>
    </x:row>
    <x:row r="24">
      <x:c r="A24" s="17"/>
      <x:c r="B24" s="17"/>
      <x:c r="C24" s="17"/>
      <x:c r="D24" s="17"/>
      <x:c r="E24" s="17"/>
      <x:c r="F24" s="17"/>
      <x:c r="G24" s="17"/>
      <x:c r="H24" s="17"/>
    </x:row>
    <x:row r="25">
      <x:c r="A25" s="17"/>
      <x:c r="B25" s="17"/>
      <x:c r="C25" s="17"/>
      <x:c r="D25" s="17"/>
      <x:c r="E25" s="17"/>
      <x:c r="F25" s="17"/>
      <x:c r="G25" s="17"/>
      <x:c r="H25" s="17"/>
    </x:row>
    <x:row r="26">
      <x:c r="A26" s="17"/>
      <x:c r="B26" s="17"/>
      <x:c r="C26" s="17"/>
      <x:c r="D26" s="17"/>
      <x:c r="E26" s="17"/>
      <x:c r="F26" s="17"/>
      <x:c r="G26" s="17"/>
      <x:c r="H26" s="17"/>
    </x:row>
    <x:row r="27">
      <x:c r="A27" s="17"/>
      <x:c r="B27" s="17"/>
      <x:c r="C27" s="17"/>
      <x:c r="D27" s="17"/>
      <x:c r="E27" s="17"/>
      <x:c r="F27" s="17"/>
      <x:c r="G27" s="17"/>
      <x:c r="H27" s="17"/>
    </x:row>
    <x:row r="28">
      <x:c r="A28" s="17"/>
      <x:c r="B28" s="17"/>
      <x:c r="C28" s="17"/>
      <x:c r="D28" s="17"/>
      <x:c r="E28" s="17"/>
      <x:c r="F28" s="17"/>
      <x:c r="G28" s="17"/>
      <x:c r="H28" s="17"/>
    </x:row>
    <x:row r="29">
      <x:c r="A29" s="17"/>
      <x:c r="B29" s="17"/>
      <x:c r="C29" s="17"/>
      <x:c r="D29" s="17"/>
      <x:c r="E29" s="17"/>
      <x:c r="F29" s="17"/>
      <x:c r="G29" s="17"/>
      <x:c r="H29" s="17"/>
    </x:row>
    <x:row r="30">
      <x:c r="A30" s="17"/>
      <x:c r="B30" s="17"/>
      <x:c r="C30" s="17"/>
      <x:c r="D30" s="17"/>
      <x:c r="E30" s="17"/>
      <x:c r="F30" s="17"/>
      <x:c r="G30" s="17"/>
      <x:c r="H30" s="17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8a60cb7c4b4745e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45" hidden="0" customWidth="1"/>
    <x:col min="3" max="3" width="55" hidden="0" customWidth="1"/>
    <x:col min="4" max="4" width="28" hidden="0" customWidth="1"/>
    <x:col min="5" max="5" width="35" hidden="0" customWidth="1"/>
    <x:col min="6" max="6" width="12" hidden="0" customWidth="1"/>
    <x:col min="7" max="7" width="52" hidden="0" customWidth="1"/>
  </x:cols>
  <x:sheetData>
    <x:row r="1" ht="30" customHeight="1">
      <x:c r="A1" s="3" t="str">
        <x:v>人机接管 / Authority Transfer 边界条件</x:v>
      </x:c>
    </x:row>
    <x:row r="2" ht="30" customHeight="1">
      <x:c r="A2" s="7" t="str">
        <x:v>阈值为待实验校准的设计假设，不是既定事实。原则：最小必要权限、可见理由、可逆性和随时返还控制。</x:v>
      </x:c>
    </x:row>
    <x:row r="4" ht="30" customHeight="1">
      <x:c r="A4" s="24" t="str">
        <x:v>边界变量</x:v>
      </x:c>
      <x:c r="B4" s="24" t="str">
        <x:v>触发条件</x:v>
      </x:c>
      <x:c r="C4" s="24" t="str">
        <x:v>允许的 Agent 行为</x:v>
      </x:c>
      <x:c r="D4" s="24" t="str">
        <x:v>权限/接管级别</x:v>
      </x:c>
      <x:c r="E4" s="24" t="str">
        <x:v>理论来源</x:v>
      </x:c>
      <x:c r="F4" s="24" t="str">
        <x:v>风险</x:v>
      </x:c>
      <x:c r="G4" s="24" t="str">
        <x:v>实现备注</x:v>
      </x:c>
    </x:row>
    <x:row r="5">
      <x:c r="A5" s="25" t="str">
        <x:v>意图置信度/熵</x:v>
      </x:c>
      <x:c r="B5" s="25" t="str">
        <x:v>低或多个假设接近</x:v>
      </x:c>
      <x:c r="C5" s="25" t="str">
        <x:v>只观察、提问、展示对比候选</x:v>
      </x:c>
      <x:c r="D5" s="25" t="str">
        <x:v>不执行</x:v>
      </x:c>
      <x:c r="E5" s="25" t="str">
        <x:v>Bayesian intent inference</x:v>
      </x:c>
      <x:c r="F5" s="25" t="str">
        <x:v>高</x:v>
      </x:c>
      <x:c r="G5" s="25" t="str">
        <x:v>用校准曲线而非裸 softmax</x:v>
      </x:c>
    </x:row>
    <x:row r="6">
      <x:c r="A6" s="25" t="str">
        <x:v>可逆性</x:v>
      </x:c>
      <x:c r="B6" s="25" t="str">
        <x:v>完全可撤销且局部</x:v>
      </x:c>
      <x:c r="C6" s="25" t="str">
        <x:v>可自动生成并预览；用户允许时应用</x:v>
      </x:c>
      <x:c r="D6" s="25" t="str">
        <x:v>预览/局部执行</x:v>
      </x:c>
      <x:c r="E6" s="25" t="str">
        <x:v>Mixed initiative; direct manipulation</x:v>
      </x:c>
      <x:c r="F6" s="25" t="str">
        <x:v>中</x:v>
      </x:c>
      <x:c r="G6" s="25" t="str">
        <x:v>撤销必须真实恢复几何、语义和记忆</x:v>
      </x:c>
    </x:row>
    <x:row r="7">
      <x:c r="A7" s="25" t="str">
        <x:v>影响范围</x:v>
      </x:c>
      <x:c r="B7" s="25" t="str">
        <x:v>跨部件、全局比例、拓扑或已接受结构</x:v>
      </x:c>
      <x:c r="C7" s="25" t="str">
        <x:v>解释影响并请求确认</x:v>
      </x:c>
      <x:c r="D7" s="25" t="str">
        <x:v>显式确认</x:v>
      </x:c>
      <x:c r="E7" s="25" t="str">
        <x:v>Variable autonomy</x:v>
      </x:c>
      <x:c r="F7" s="25" t="str">
        <x:v>高</x:v>
      </x:c>
      <x:c r="G7" s="25" t="str">
        <x:v>blast radius 比置信度更优先</x:v>
      </x:c>
    </x:row>
    <x:row r="8">
      <x:c r="A8" s="25" t="str">
        <x:v>设计承诺</x:v>
      </x:c>
      <x:c r="B8" s="25" t="str">
        <x:v>已选择/反复保留/进入精修</x:v>
      </x:c>
      <x:c r="C8" s="25" t="str">
        <x:v>锁定已承诺结构；只开放选定部分</x:v>
      </x:c>
      <x:c r="D8" s="25" t="str">
        <x:v>人主导</x:v>
      </x:c>
      <x:c r="E8" s="25" t="str">
        <x:v>Creativity support</x:v>
      </x:c>
      <x:c r="F8" s="25" t="str">
        <x:v>高</x:v>
      </x:c>
      <x:c r="G8" s="25" t="str">
        <x:v>允许用户显式重新打开设计空间</x:v>
      </x:c>
    </x:row>
    <x:row r="9">
      <x:c r="A9" s="25" t="str">
        <x:v>结构约束</x:v>
      </x:c>
      <x:c r="B9" s="25" t="str">
        <x:v>可能破坏对称、接触、接口或拓扑</x:v>
      </x:c>
      <x:c r="C9" s="25" t="str">
        <x:v>提供保约束版本与破约束版本</x:v>
      </x:c>
      <x:c r="D9" s="25" t="str">
        <x:v>确认后破约束</x:v>
      </x:c>
      <x:c r="E9" s="25" t="str">
        <x:v>Structure-aware editing</x:v>
      </x:c>
      <x:c r="F9" s="25" t="str">
        <x:v>高</x:v>
      </x:c>
      <x:c r="G9" s="25" t="str">
        <x:v>约束不是永恒真理，但破坏必须可见</x:v>
      </x:c>
    </x:row>
    <x:row r="10">
      <x:c r="A10" s="25" t="str">
        <x:v>模型分布外/解释失败</x:v>
      </x:c>
      <x:c r="B10" s="25" t="str">
        <x:v>新工具、异常轨迹、上下文冲突</x:v>
      </x:c>
      <x:c r="C10" s="25" t="str">
        <x:v>降级到建议/手动；记录未知</x:v>
      </x:c>
      <x:c r="D10" s="25" t="str">
        <x:v>人接管</x:v>
      </x:c>
      <x:c r="E10" s="25" t="str">
        <x:v>Human-AI uncertainty</x:v>
      </x:c>
      <x:c r="F10" s="25" t="str">
        <x:v>高</x:v>
      </x:c>
      <x:c r="G10" s="25" t="str">
        <x:v>不能解释时不应以高置信度执行</x:v>
      </x:c>
    </x:row>
    <x:row r="11">
      <x:c r="A11" s="25" t="str">
        <x:v>记忆冲突/陈旧</x:v>
      </x:c>
      <x:c r="B11" s="25" t="str">
        <x:v>当前行为与长期偏好冲突</x:v>
      </x:c>
      <x:c r="C11" s="25" t="str">
        <x:v>当前会话优先；显示冲突并允许修正</x:v>
      </x:c>
      <x:c r="D11" s="25" t="str">
        <x:v>暂停长期记忆影响</x:v>
      </x:c>
      <x:c r="E11" s="25" t="str">
        <x:v>Agent memory</x:v>
      </x:c>
      <x:c r="F11" s="25" t="str">
        <x:v>高</x:v>
      </x:c>
      <x:c r="G11" s="25" t="str">
        <x:v>每条记忆保留来源、时间、版本</x:v>
      </x:c>
    </x:row>
    <x:row r="12">
      <x:c r="A12" s="25" t="str">
        <x:v>时间压力</x:v>
      </x:c>
      <x:c r="B12" s="25" t="str">
        <x:v>任务紧迫但错误可恢复</x:v>
      </x:c>
      <x:c r="C12" s="25" t="str">
        <x:v>提高建议/预览速度，不越过确认边界</x:v>
      </x:c>
      <x:c r="D12" s="25" t="str">
        <x:v>动态但受上限约束</x:v>
      </x:c>
      <x:c r="E12" s="25" t="str">
        <x:v>Mixed initiative</x:v>
      </x:c>
      <x:c r="F12" s="25" t="str">
        <x:v>中</x:v>
      </x:c>
      <x:c r="G12" s="25" t="str">
        <x:v>时间压力不授权不可逆结构改动</x:v>
      </x:c>
    </x:row>
    <x:row r="13">
      <x:c r="A13" s="25" t="str">
        <x:v>用户注意/中断成本</x:v>
      </x:c>
      <x:c r="B13" s="25" t="str">
        <x:v>用户在连续精细操作中</x:v>
      </x:c>
      <x:c r="C13" s="25" t="str">
        <x:v>延迟非关键建议；不中断控制流</x:v>
      </x:c>
      <x:c r="D13" s="25" t="str">
        <x:v>等待</x:v>
      </x:c>
      <x:c r="E13" s="25" t="str">
        <x:v>Horvitz</x:v>
      </x:c>
      <x:c r="F13" s="25" t="str">
        <x:v>中</x:v>
      </x:c>
      <x:c r="G13" s="25" t="str">
        <x:v>在自然断点介入</x:v>
      </x:c>
    </x:row>
    <x:row r="14">
      <x:c r="A14" s="25" t="str">
        <x:v>控制冲突</x:v>
      </x:c>
      <x:c r="B14" s="25" t="str">
        <x:v>用户立即反向操作、撤销或抢回 gizmo</x:v>
      </x:c>
      <x:c r="C14" s="25" t="str">
        <x:v>Agent 立刻停止并返还控制</x:v>
      </x:c>
      <x:c r="D14" s="25" t="str">
        <x:v>强制人接管</x:v>
      </x:c>
      <x:c r="E14" s="25" t="str">
        <x:v>Adjustable autonomy</x:v>
      </x:c>
      <x:c r="F14" s="25" t="str">
        <x:v>高</x:v>
      </x:c>
      <x:c r="G14" s="25" t="str">
        <x:v>抢回优先级最高，无辩论式阻塞</x:v>
      </x:c>
    </x:row>
    <x:row r="15">
      <x:c r="A15" s="25" t="str">
        <x:v>Agent 贡献 legibility</x:v>
      </x:c>
      <x:c r="B15" s="25" t="str">
        <x:v>用户无法预测会改变什么</x:v>
      </x:c>
      <x:c r="C15" s="25" t="str">
        <x:v>只给 before/after、scope、保留项解释</x:v>
      </x:c>
      <x:c r="D15" s="25" t="str">
        <x:v>禁止应用</x:v>
      </x:c>
      <x:c r="E15" s="25" t="str">
        <x:v>Legibility</x:v>
      </x:c>
      <x:c r="F15" s="25" t="str">
        <x:v>高</x:v>
      </x:c>
      <x:c r="G15" s="25" t="str">
        <x:v>先让系统意图可读，再谈自动化</x:v>
      </x:c>
    </x:row>
    <x:row r="16">
      <x:c r="A16" s="25" t="str">
        <x:v>重复成功证据</x:v>
      </x:c>
      <x:c r="B16" s="25" t="str">
        <x:v>同类场景多次接受且无纠正</x:v>
      </x:c>
      <x:c r="C16" s="25" t="str">
        <x:v>可逐步提高局部可逆自动化</x:v>
      </x:c>
      <x:c r="D16" s="25" t="str">
        <x:v>可学习升级</x:v>
      </x:c>
      <x:c r="E16" s="25" t="str">
        <x:v>SARI; IML</x:v>
      </x:c>
      <x:c r="F16" s="25" t="str">
        <x:v>中</x:v>
      </x:c>
      <x:c r="G16" s="25" t="str">
        <x:v>升级需可撤销、可重置、可审计</x:v>
      </x:c>
    </x:row>
    <x:row r="17">
      <x:c r="A17" s="17"/>
      <x:c r="B17" s="17"/>
      <x:c r="C17" s="17"/>
      <x:c r="D17" s="17"/>
      <x:c r="E17" s="17"/>
      <x:c r="F17" s="17"/>
      <x:c r="G17" s="17"/>
    </x:row>
    <x:row r="18">
      <x:c r="A18" s="17"/>
      <x:c r="B18" s="17"/>
      <x:c r="C18" s="17"/>
      <x:c r="D18" s="17"/>
      <x:c r="E18" s="17"/>
      <x:c r="F18" s="17"/>
      <x:c r="G18" s="17"/>
    </x:row>
    <x:row r="19">
      <x:c r="A19" s="27" t="str">
        <x:v>推荐权限阶梯</x:v>
      </x:c>
      <x:c r="B19" s="17"/>
      <x:c r="C19" s="17"/>
      <x:c r="D19" s="17"/>
      <x:c r="E19" s="17"/>
      <x:c r="F19" s="17"/>
      <x:c r="G19" s="17"/>
    </x:row>
    <x:row r="20">
      <x:c r="A20" s="17" t="str">
        <x:v>L0 Observe</x:v>
      </x:c>
      <x:c r="B20" s="17" t="str">
        <x:v>只记录信号和状态</x:v>
      </x:c>
      <x:c r="C20" s="17" t="str">
        <x:v>无外显干预</x:v>
      </x:c>
      <x:c r="D20" s="17" t="str">
        <x:v>默认起点</x:v>
      </x:c>
      <x:c r="E20" s="17" t="str">
        <x:v>任何情境</x:v>
      </x:c>
      <x:c r="F20" s="17" t="str"/>
      <x:c r="G20" s="17"/>
    </x:row>
    <x:row r="21">
      <x:c r="A21" s="17" t="str">
        <x:v>L1 Infer</x:v>
      </x:c>
      <x:c r="B21" s="17" t="str">
        <x:v>形成并显示多假设</x:v>
      </x:c>
      <x:c r="C21" s="17" t="str">
        <x:v>用户可修正</x:v>
      </x:c>
      <x:c r="D21" s="17" t="str">
        <x:v>低置信度/高歧义</x:v>
      </x:c>
      <x:c r="E21" s="17" t="str">
        <x:v>不改变模型</x:v>
      </x:c>
      <x:c r="F21" s="17" t="str"/>
      <x:c r="G21" s="17"/>
    </x:row>
    <x:row r="22">
      <x:c r="A22" s="17" t="str">
        <x:v>L2 Suggest</x:v>
      </x:c>
      <x:c r="B22" s="17" t="str">
        <x:v>提出操作/检索结果</x:v>
      </x:c>
      <x:c r="C22" s="17" t="str">
        <x:v>不生成最终改动</x:v>
      </x:c>
      <x:c r="D22" s="17" t="str">
        <x:v>中等置信度</x:v>
      </x:c>
      <x:c r="E22" s="17" t="str">
        <x:v>用户忙碌时延迟</x:v>
      </x:c>
      <x:c r="F22" s="17" t="str"/>
      <x:c r="G22" s="17"/>
    </x:row>
    <x:row r="23">
      <x:c r="A23" s="17" t="str">
        <x:v>L3 Preview</x:v>
      </x:c>
      <x:c r="B23" s="17" t="str">
        <x:v>生成可逆候选/ghost preview</x:v>
      </x:c>
      <x:c r="C23" s="17" t="str">
        <x:v>不写入已承诺模型</x:v>
      </x:c>
      <x:c r="D23" s="17" t="str">
        <x:v>中高置信度</x:v>
      </x:c>
      <x:c r="E23" s="17" t="str">
        <x:v>推荐默认 Agent 主动级</x:v>
      </x:c>
      <x:c r="F23" s="17" t="str"/>
      <x:c r="G23" s="17"/>
    </x:row>
    <x:row r="24">
      <x:c r="A24" s="17" t="str">
        <x:v>L4 Apply local</x:v>
      </x:c>
      <x:c r="B24" s="17" t="str">
        <x:v>执行局部、可逆、低 blast-radius 操作</x:v>
      </x:c>
      <x:c r="C24" s="17" t="str">
        <x:v>完整 undo + 日志</x:v>
      </x:c>
      <x:c r="D24" s="17" t="str">
        <x:v>高置信度且有重复成功证据</x:v>
      </x:c>
      <x:c r="E24" s="17" t="str">
        <x:v>用户可全局关闭</x:v>
      </x:c>
      <x:c r="F24" s="17" t="str"/>
      <x:c r="G24" s="17"/>
    </x:row>
    <x:row r="25">
      <x:c r="A25" s="17" t="str">
        <x:v>L5 Structural apply</x:v>
      </x:c>
      <x:c r="B25" s="17" t="str">
        <x:v>全局/拓扑/已承诺结构修改</x:v>
      </x:c>
      <x:c r="C25" s="17" t="str">
        <x:v>必须显式确认</x:v>
      </x:c>
      <x:c r="D25" s="17" t="str">
        <x:v>无论模型置信度</x:v>
      </x:c>
      <x:c r="E25" s="17" t="str">
        <x:v>最高风险</x:v>
      </x:c>
      <x:c r="F25" s="17" t="str"/>
      <x:c r="G25" s="17"/>
    </x:row>
    <x:row r="26">
      <x:c r="A26" s="17"/>
      <x:c r="B26" s="17"/>
      <x:c r="C26" s="17"/>
      <x:c r="D26" s="17"/>
      <x:c r="E26" s="17"/>
      <x:c r="F26" s="17"/>
      <x:c r="G26" s="17"/>
    </x:row>
    <x:row r="27">
      <x:c r="A27" s="17"/>
      <x:c r="B27" s="17"/>
      <x:c r="C27" s="17"/>
      <x:c r="D27" s="17"/>
      <x:c r="E27" s="17"/>
      <x:c r="F27" s="17"/>
      <x:c r="G27" s="17"/>
    </x:row>
    <x:row r="28">
      <x:c r="A28" s="17"/>
      <x:c r="B28" s="17"/>
      <x:c r="C28" s="17"/>
      <x:c r="D28" s="17"/>
      <x:c r="E28" s="17"/>
      <x:c r="F28" s="17"/>
      <x:c r="G28" s="17"/>
    </x:row>
    <x:row r="29">
      <x:c r="A29" s="17"/>
      <x:c r="B29" s="17"/>
      <x:c r="C29" s="17"/>
      <x:c r="D29" s="17"/>
      <x:c r="E29" s="17"/>
      <x:c r="F29" s="17"/>
      <x:c r="G29" s="17"/>
    </x:row>
    <x:row r="30">
      <x:c r="A30" s="17"/>
      <x:c r="B30" s="17"/>
      <x:c r="C30" s="17"/>
      <x:c r="D30" s="17"/>
      <x:c r="E30" s="17"/>
      <x:c r="F30" s="17"/>
      <x:c r="G30" s="17"/>
    </x:row>
  </x:sheetData>
  <x:mergeCells>
    <x:mergeCell ref="A1:H1"/>
    <x:mergeCell ref="A2:H2"/>
    <x:mergeCell ref="A19:H19"/>
  </x:mergeCells>
  <x:pageMargins left="0.7" right="0.7" top="0.75" bottom="0.75" header="0.3" footer="0.3"/>
  <x:tableParts count="1">
    <x:tablePart xmlns:r="http://schemas.openxmlformats.org/officeDocument/2006/relationships" r:id="R73ea66b735d8449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52" hidden="0" customWidth="1"/>
    <x:col min="3" max="3" width="62" hidden="0" customWidth="1"/>
    <x:col min="4" max="4" width="36" hidden="0" customWidth="1"/>
    <x:col min="5" max="5" width="28" hidden="0" customWidth="1"/>
  </x:cols>
  <x:sheetData>
    <x:row r="1" ht="30" customHeight="1">
      <x:c r="A1" s="3" t="str">
        <x:v>DC1：从三维认知心智模型解释直觉型交互信号</x:v>
      </x:c>
    </x:row>
    <x:row r="2" ht="30" customHeight="1">
      <x:c r="A2" s="7" t="str">
        <x:v>可直接转写进论文的 design requirements / hypotheses 草案。</x:v>
      </x:c>
    </x:row>
    <x:row r="4" ht="30" customHeight="1">
      <x:c r="A4" s="24" t="str">
        <x:v>编号</x:v>
      </x:c>
      <x:c r="B4" s="24" t="str">
        <x:v>要求/假设</x:v>
      </x:c>
      <x:c r="C4" s="24" t="str">
        <x:v>操作化</x:v>
      </x:c>
      <x:c r="D4" s="24" t="str">
        <x:v>理论来源</x:v>
      </x:c>
      <x:c r="E4" s="24" t="str">
        <x:v>验证位置</x:v>
      </x:c>
    </x:row>
    <x:row r="5">
      <x:c r="A5" s="25" t="str">
        <x:v>DR1</x:v>
      </x:c>
      <x:c r="B5" s="25" t="str">
        <x:v>将意图表示为可修订的概率假设，而不是固定命令</x:v>
      </x:c>
      <x:c r="C5" s="25" t="str">
        <x:v>每个假设含 target、operation family、scope、preserve constraints、confidence、evidence</x:v>
      </x:c>
      <x:c r="D5" s="25" t="str">
        <x:v>Baker; Jain &amp; Argall</x:v>
      </x:c>
      <x:c r="E5" s="25" t="str">
        <x:v>核心架构</x:v>
      </x:c>
    </x:row>
    <x:row r="6">
      <x:c r="A6" s="25" t="str">
        <x:v>DR2</x:v>
      </x:c>
      <x:c r="B6" s="25" t="str">
        <x:v>用对象/部件语义和 3D 参考系解释动作</x:v>
      </x:c>
      <x:c r="C6" s="25" t="str">
        <x:v>同时编码 screen/world/object/local frame 与 active constraints</x:v>
      </x:c>
      <x:c r="D6" s="25" t="str">
        <x:v>van Emmerik; Bowman; Reisman</x:v>
      </x:c>
      <x:c r="E6" s="25" t="str">
        <x:v>交互理解</x:v>
      </x:c>
    </x:row>
    <x:row r="7">
      <x:c r="A7" s="25" t="str">
        <x:v>DR3</x:v>
      </x:c>
      <x:c r="B7" s="25" t="str">
        <x:v>区分 epistemic exploration 与 pragmatic commitment</x:v>
      </x:c>
      <x:c r="C7" s="25" t="str">
        <x:v>从重复、停顿、比较、撤销和幅度变化估计承诺状态</x:v>
      </x:c>
      <x:c r="D7" s="25" t="str">
        <x:v>Kirsh &amp; Maglio</x:v>
      </x:c>
      <x:c r="E7" s="25" t="str">
        <x:v>避免过早执行</x:v>
      </x:c>
    </x:row>
    <x:row r="8">
      <x:c r="A8" s="25" t="str">
        <x:v>DR4</x:v>
      </x:c>
      <x:c r="B8" s="25" t="str">
        <x:v>检索相似情节必须匹配对象、部件、阶段与意图，而非只做文本相似</x:v>
      </x:c>
      <x:c r="C8" s="25" t="str">
        <x:v>hybrid score = semantic relevance + stage + recency + importance + provenance</x:v>
      </x:c>
      <x:c r="D8" s="25" t="str">
        <x:v>Generative Agents; memory survey</x:v>
      </x:c>
      <x:c r="E8" s="25" t="str">
        <x:v>记忆检索</x:v>
      </x:c>
    </x:row>
    <x:row r="9">
      <x:c r="A9" s="25" t="str">
        <x:v>DR5</x:v>
      </x:c>
      <x:c r="B9" s="25" t="str">
        <x:v>分离 episodic / semantic / procedural memory</x:v>
      </x:c>
      <x:c r="C9" s="25" t="str">
        <x:v>情节保存发生过什么；语义保存稳定偏好；程序保存验证过的策略</x:v>
      </x:c>
      <x:c r="D9" s="25" t="str">
        <x:v>Memory Matters; MemGPT</x:v>
      </x:c>
      <x:c r="E9" s="25" t="str">
        <x:v>记忆架构</x:v>
      </x:c>
    </x:row>
    <x:row r="10">
      <x:c r="A10" s="25" t="str">
        <x:v>DR6</x:v>
      </x:c>
      <x:c r="B10" s="25" t="str">
        <x:v>让系统意图 legible</x:v>
      </x:c>
      <x:c r="C10" s="25" t="str">
        <x:v>执行前显示改变范围、保留项、约束、理由和候选差异</x:v>
      </x:c>
      <x:c r="D10" s="25" t="str">
        <x:v>Dragan; Amershi</x:v>
      </x:c>
      <x:c r="E10" s="25" t="str">
        <x:v>可理解与纠错</x:v>
      </x:c>
    </x:row>
    <x:row r="11">
      <x:c r="A11" s="25" t="str">
        <x:v>DR7</x:v>
      </x:c>
      <x:c r="B11" s="25" t="str">
        <x:v>按功能分配自动化，不做全局二元接管</x:v>
      </x:c>
      <x:c r="C11" s="25" t="str">
        <x:v>信号采集与分析可高自动；方案选择和结构应用由人把关</x:v>
      </x:c>
      <x:c r="D11" s="25" t="str">
        <x:v>Parasuraman; adjustable autonomy</x:v>
      </x:c>
      <x:c r="E11" s="25" t="str">
        <x:v>接管边界</x:v>
      </x:c>
    </x:row>
    <x:row r="12">
      <x:c r="A12" s="25" t="str">
        <x:v>DR8</x:v>
      </x:c>
      <x:c r="B12" s="25" t="str">
        <x:v>Agent 主动性由置信度 × 可逆性 × 影响范围 × 打扰成本共同决定</x:v>
      </x:c>
      <x:c r="C12" s="25" t="str">
        <x:v>低置信度提问；中等预览；高置信局部可逆执行；结构改动确认</x:v>
      </x:c>
      <x:c r="D12" s="25" t="str">
        <x:v>Horvitz; Lee &amp; See</x:v>
      </x:c>
      <x:c r="E12" s="25" t="str">
        <x:v>主动策略</x:v>
      </x:c>
    </x:row>
    <x:row r="13">
      <x:c r="A13" s="25" t="str">
        <x:v>DR9</x:v>
      </x:c>
      <x:c r="B13" s="25" t="str">
        <x:v>把 accept/reject/undo/correction 作为带来源的学习信号</x:v>
      </x:c>
      <x:c r="C13" s="25" t="str">
        <x:v>一次反馈只更新情节；跨情节稳定后再更新长期偏好/程序</x:v>
      </x:c>
      <x:c r="D13" s="25" t="str">
        <x:v>Interactive ML; SARI</x:v>
      </x:c>
      <x:c r="E13" s="25" t="str">
        <x:v>在线学习</x:v>
      </x:c>
    </x:row>
    <x:row r="14">
      <x:c r="A14" s="25" t="str">
        <x:v>DR10</x:v>
      </x:c>
      <x:c r="B14" s="25" t="str">
        <x:v>维护并尊重设计承诺，同时允许显式重新打开局部空间</x:v>
      </x:c>
      <x:c r="C14" s="25" t="str">
        <x:v>accepted structure 转为 guardrail；selected part 可 reopen</x:v>
      </x:c>
      <x:c r="D14" s="25" t="str">
        <x:v>CST; COFI; staged divergence</x:v>
      </x:c>
      <x:c r="E14" s="25" t="str">
        <x:v>创造性与控制</x:v>
      </x:c>
    </x:row>
    <x:row r="15">
      <x:c r="A15" s="25" t="str">
        <x:v>DR11</x:v>
      </x:c>
      <x:c r="B15" s="25" t="str">
        <x:v>把教程、VLM推断和创作者确认作为不同证据层保存</x:v>
      </x:c>
      <x:c r="C15" s="25" t="str">
        <x:v>intent_source = tutorial narration / inferred / task ground truth / stimulated recall；保留模型与人工编辑版本</x:v>
      </x:c>
      <x:c r="D15" s="25" t="str">
        <x:v>Interaction Analysis; ACTA; stimulated recall</x:v>
      </x:c>
      <x:c r="E15" s="25" t="str">
        <x:v>意图编码</x:v>
      </x:c>
    </x:row>
    <x:row r="16">
      <x:c r="A16" s="25" t="str">
        <x:v>DR12</x:v>
      </x:c>
      <x:c r="B16" s="25" t="str">
        <x:v>VLM只做弱预标注并通过不确定性驱动人工复核</x:v>
      </x:c>
      <x:c r="C16" s="25" t="str">
        <x:v>VLM生成边界、观察信号、Top-k意图与反证；高风险、罕见和分歧case进入盲法人工审核</x:v>
      </x:c>
      <x:c r="D16" s="25" t="str">
        <x:v>Video Annotator; VideoCoT</x:v>
      </x:c>
      <x:c r="E16" s="25" t="str">
        <x:v>数据构建</x:v>
      </x:c>
    </x:row>
    <x:row r="17">
      <x:c r="A17" s="25" t="str">
        <x:v>DR13</x:v>
      </x:c>
      <x:c r="B17" s="25" t="str">
        <x:v>把episode边界可靠性与意图语义可靠性分开评估</x:v>
      </x:c>
      <x:c r="C17" s="25" t="str">
        <x:v>边界用容忍窗口F1/segmentation similarity；类别用α/κ；多标签用逐标签α与Jaccard；latent intent保留分歧</x:v>
      </x:c>
      <x:c r="D17" s="25" t="str">
        <x:v>Artstein &amp; Poesio; Fournier &amp; Inkpen; McDonald et al.</x:v>
      </x:c>
      <x:c r="E17" s="25" t="str">
        <x:v>标注质控</x:v>
      </x:c>
    </x:row>
    <x:row r="18">
      <x:c r="A18" s="25" t="str">
        <x:v>DR14</x:v>
      </x:c>
      <x:c r="B18" s="25" t="str">
        <x:v>案例检索必须优化当前决策效用而非表面相似度</x:v>
      </x:c>
      <x:c r="C18" s="25" t="str">
        <x:v>硬过滤风险/约束/来源；混合匹配语义、部位、阶段、frame、轨迹和结果；同时返回支持、近失、失败和替代意图案例</x:v>
      </x:c>
      <x:c r="D18" s="25" t="str">
        <x:v>Aamodt &amp; Plaza; Cunningham; Miller</x:v>
      </x:c>
      <x:c r="E18" s="25" t="str">
        <x:v>案例检索</x:v>
      </x:c>
    </x:row>
    <x:row r="19">
      <x:c r="A19" s="25" t="str">
        <x:v>DR15</x:v>
      </x:c>
      <x:c r="B19" s="25" t="str">
        <x:v>权限必须表示为可审计的功能向量与状态转移，而非全局自动化等级</x:v>
      </x:c>
      <x:c r="C19" s="25" t="str">
        <x:v>authority=[observe,infer,retrieve,generate,select,apply,remember]；每次转移记录initiator、trigger、scope、reason和reclaim</x:v>
      </x:c>
      <x:c r="D19" s="25" t="str">
        <x:v>Abbink; Flemisch; Chiou et al.</x:v>
      </x:c>
      <x:c r="E19" s="25" t="str">
        <x:v>接管机制</x:v>
      </x:c>
    </x:row>
    <x:row r="20">
      <x:c r="A20" s="25" t="str">
        <x:v>DR16</x:v>
      </x:c>
      <x:c r="B20" s="25" t="str">
        <x:v>Intent Hypothesis Graph必须同时表示用户目标假设、用户可能的世界/工具信念和证据缺失</x:v>
      </x:c>
      <x:c r="C20" s="25" t="str">
        <x:v>节点含observation/context/goal/target/effect/frame/constraint/evidence/outcome/repair/provenance；边含supports/contradicts/refines/supersedes/preserves/violates</x:v>
      </x:c>
      <x:c r="D20" s="25" t="str">
        <x:v>Baker et al.; Ramírez &amp; Geffner; Pereira et al.</x:v>
      </x:c>
      <x:c r="E20" s="25" t="str">
        <x:v>中间表示</x:v>
      </x:c>
    </x:row>
    <x:row r="21">
      <x:c r="A21" s="25" t="str">
        <x:v>H1</x:v>
      </x:c>
      <x:c r="B21" s="25" t="str">
        <x:v>联合上下文模型优于单事件模型</x:v>
      </x:c>
      <x:c r="C21" s="25" t="str">
        <x:v>比较 action-only vs action+geometry+stage+history 的 top-k 与校准</x:v>
      </x:c>
      <x:c r="D21" s="25" t="str">
        <x:v>理论矩阵</x:v>
      </x:c>
      <x:c r="E21" s="25" t="str">
        <x:v>技术评估</x:v>
      </x:c>
    </x:row>
    <x:row r="22">
      <x:c r="A22" s="25" t="str">
        <x:v>H2</x:v>
      </x:c>
      <x:c r="B22" s="25" t="str">
        <x:v>多假设预览比 top-1 自动应用减少错误并提高控制感</x:v>
      </x:c>
      <x:c r="C22" s="25" t="str">
        <x:v>测修正率、控制感、任务时间和探索广度</x:v>
      </x:c>
      <x:c r="D22" s="25" t="str">
        <x:v>Mixed initiative</x:v>
      </x:c>
      <x:c r="E22" s="25" t="str">
        <x:v>用户研究</x:v>
      </x:c>
    </x:row>
    <x:row r="23">
      <x:c r="A23" s="25" t="str">
        <x:v>H3</x:v>
      </x:c>
      <x:c r="B23" s="25" t="str">
        <x:v>类型化记忆比扁平历史提高相关检索并减少过时偏好干扰</x:v>
      </x:c>
      <x:c r="C23" s="25" t="str">
        <x:v>离线检索评测 + 长程任务</x:v>
      </x:c>
      <x:c r="D23" s="25" t="str">
        <x:v>Agent memory</x:v>
      </x:c>
      <x:c r="E23" s="25" t="str">
        <x:v>技术评估</x:v>
      </x:c>
    </x:row>
    <x:row r="24">
      <x:c r="A24" s="25" t="str">
        <x:v>H4</x:v>
      </x:c>
      <x:c r="B24" s="25" t="str">
        <x:v>阶段/承诺感知的主动策略比固定主动策略提高 agency 且不降低产出质量</x:v>
      </x:c>
      <x:c r="C24" s="25" t="str">
        <x:v>三条件：prompt-only / fixed initiative / adaptive initiative</x:v>
      </x:c>
      <x:c r="D24" s="25" t="str">
        <x:v>CST + autonomy</x:v>
      </x:c>
      <x:c r="E24" s="25" t="str">
        <x:v>用户研究</x:v>
      </x:c>
    </x:row>
    <x:row r="25">
      <x:c r="A25" s="17"/>
      <x:c r="B25" s="17"/>
      <x:c r="C25" s="17"/>
      <x:c r="D25" s="17"/>
      <x:c r="E25" s="17"/>
    </x:row>
    <x:row r="26">
      <x:c r="A26" s="17"/>
      <x:c r="B26" s="17"/>
      <x:c r="C26" s="17"/>
      <x:c r="D26" s="17"/>
      <x:c r="E26" s="17"/>
    </x:row>
    <x:row r="27">
      <x:c r="A27" s="17"/>
      <x:c r="B27" s="17"/>
      <x:c r="C27" s="17"/>
      <x:c r="D27" s="17"/>
      <x:c r="E27" s="17"/>
    </x:row>
    <x:row r="28">
      <x:c r="A28" s="17"/>
      <x:c r="B28" s="17"/>
      <x:c r="C28" s="17"/>
      <x:c r="D28" s="17"/>
      <x:c r="E28" s="17"/>
    </x:row>
    <x:row r="29">
      <x:c r="A29" s="17"/>
      <x:c r="B29" s="17"/>
      <x:c r="C29" s="17"/>
      <x:c r="D29" s="17"/>
      <x:c r="E29" s="17"/>
    </x:row>
    <x:row r="30">
      <x:c r="A30" s="17"/>
      <x:c r="B30" s="17"/>
      <x:c r="C30" s="17"/>
      <x:c r="D30" s="17"/>
      <x:c r="E30" s="17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30be5ab3dae6496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55" hidden="0" customWidth="1"/>
    <x:col min="3" max="3" width="58" hidden="0" customWidth="1"/>
    <x:col min="4" max="4" width="55" hidden="0" customWidth="1"/>
    <x:col min="5" max="5" width="55" hidden="0" customWidth="1"/>
    <x:col min="6" max="6" width="55" hidden="0" customWidth="1"/>
    <x:col min="7" max="7" width="40" hidden="0" customWidth="1"/>
  </x:cols>
  <x:sheetData>
    <x:row r="1" ht="30" customHeight="1">
      <x:c r="A1" s="3" t="str">
        <x:v>跨文献关键 Insights</x:v>
      </x:c>
    </x:row>
    <x:row r="2" ht="30" customHeight="1">
      <x:c r="A2" s="7" t="str">
        <x:v>不是逐篇摘要：每条都包含理论张力、计算机制、可证伪预测和对 FlowStudio 的具体影响。</x:v>
      </x:c>
    </x:row>
    <x:row r="4" ht="30" customHeight="1">
      <x:c r="A4" s="24" t="str">
        <x:v>ID</x:v>
      </x:c>
      <x:c r="B4" s="24" t="str">
        <x:v>Insight</x:v>
      </x:c>
      <x:c r="C4" s="24" t="str">
        <x:v>理论张力/证据</x:v>
      </x:c>
      <x:c r="D4" s="24" t="str">
        <x:v>计算机制</x:v>
      </x:c>
      <x:c r="E4" s="24" t="str">
        <x:v>可证伪预测</x:v>
      </x:c>
      <x:c r="F4" s="24" t="str">
        <x:v>设计/风险含义</x:v>
      </x:c>
      <x:c r="G4" s="24" t="str">
        <x:v>关键文献</x:v>
      </x:c>
    </x:row>
    <x:row r="5">
      <x:c r="A5" s="25" t="str">
        <x:v>IN1</x:v>
      </x:c>
      <x:c r="B5" s="25" t="str">
        <x:v>意图不是隐藏在动作之前的固定标签，而是在操控—反馈—修复循环中逐步形成。</x:v>
      </x:c>
      <x:c r="C5" s="25" t="str">
        <x:v>传统 goal recognition 假定先有目标；distributed cognition、epistemic action 与共创研究强调意图可被行动塑造。</x:v>
      </x:c>
      <x:c r="D5" s="25" t="str">
        <x:v>维护 evolving intent state；允许假设分裂、合并和撤回。</x:v>
      </x:c>
      <x:c r="E5" s="25" t="str">
        <x:v>序列/反馈模型将在设计中后期显著优于单事件分类；早期优势主要体现在歧义校准。</x:v>
      </x:c>
      <x:c r="F5" s="25" t="str">
        <x:v>若系统把第一下 drag 固化为目标，会压缩探索并增加撤销。</x:v>
      </x:c>
      <x:c r="G5" s="25" t="str">
        <x:v>Hutchins; Kirsh &amp; Maglio; Hollan et al.; COFI</x:v>
      </x:c>
    </x:row>
    <x:row r="6">
      <x:c r="A6" s="25" t="str">
        <x:v>IN2</x:v>
      </x:c>
      <x:c r="B6" s="25" t="str">
        <x:v>3D 意图是层级的，参考系也是潜变量；局部运动置信度不能替代高层目标置信度。</x:v>
      </x:c>
      <x:c r="C6" s="25" t="str">
        <x:v>同一屏幕轨迹可对应 world/object/local frame 下的移动、变形或姿态；goal-schema 研究支持多层目标。</x:v>
      </x:c>
      <x:c r="D6" s="25" t="str">
        <x:v>联合推断 project→stage→edit→motor 与 frame/constraint。</x:v>
      </x:c>
      <x:c r="E6" s="25" t="str">
        <x:v>分层模型在跨对象、跨阶段和视角变化时更稳健；只在固定任务上 flat classifier 可能相当。</x:v>
      </x:c>
      <x:c r="F6" s="25" t="str">
        <x:v>接管权限取所有层级中最薄弱的一层，而不是 top-1 motor confidence。</x:v>
      </x:c>
      <x:c r="G6" s="25" t="str">
        <x:v>Bowman; van Emmerik; Reisman; hierarchical goal recognition</x:v>
      </x:c>
    </x:row>
    <x:row r="7">
      <x:c r="A7" s="25" t="str">
        <x:v>IN3</x:v>
      </x:c>
      <x:c r="B7" s="25" t="str">
        <x:v>探索性动作和提交性动作需要两个独立变量：intent content 与 commitment strength。</x:v>
      </x:c>
      <x:c r="C7" s="25" t="str">
        <x:v>epistemic action 可能与最终操作方向相同，但其功能是获取信息；CST 研究强调早期模糊性。</x:v>
      </x:c>
      <x:c r="D7" s="25" t="str">
        <x:v>belief over intent × belief over commitment；commitment 从接受、重复保留、阶段收敛估计。</x:v>
      </x:c>
      <x:c r="E7" s="25" t="str">
        <x:v>显式建模 commitment 会降低误提交，但可能增加确认成本。</x:v>
      </x:c>
      <x:c r="F7" s="25" t="str">
        <x:v>高 intent confidence + 低 commitment 仍只应预览。</x:v>
      </x:c>
      <x:c r="G7" s="25" t="str">
        <x:v>Kirsh &amp; Maglio; sketching reviews; creativity support</x:v>
      </x:c>
    </x:row>
    <x:row r="8">
      <x:c r="A8" s="25" t="str">
        <x:v>IN4</x:v>
      </x:c>
      <x:c r="B8" s="25" t="str">
        <x:v>修复是最高价值的监督信号，但不能直接等同为反向偏好。</x:v>
      </x:c>
      <x:c r="C8" s="25" t="str">
        <x:v>undo、counter-drag、reselect 既可能否定目标，也可能否定范围、幅度、参考系或结果质量。</x:v>
      </x:c>
      <x:c r="D8" s="25" t="str">
        <x:v>repair diagnosis：target/scope/operation/frame/constraint/outcome 六类原因后验。</x:v>
      </x:c>
      <x:c r="E8" s="25" t="str">
        <x:v>原因分解比把 undo 当负标签更能提升后续个性化。</x:v>
      </x:c>
      <x:c r="F8" s="25" t="str">
        <x:v>检测到 repair 时清空当前执行权限，并阻止该 episode 写入稳定偏好。</x:v>
      </x:c>
      <x:c r="G8" s="25" t="str">
        <x:v>Grounding; multimodal repair; Interactive ML</x:v>
      </x:c>
    </x:row>
    <x:row r="9">
      <x:c r="A9" s="25" t="str">
        <x:v>IN5</x:v>
      </x:c>
      <x:c r="B9" s="25" t="str">
        <x:v>Agent memory 不只是回忆模块，它改变意图先验，因此会制造确认偏差。</x:v>
      </x:c>
      <x:c r="C9" s="25" t="str">
        <x:v>相似历史被检索后，系统更容易重复旧解释；陈旧偏好可压过当前新方向。</x:v>
      </x:c>
      <x:c r="D9" s="25" t="str">
        <x:v>contrastive retrieval：同时取支持、反对和失败案例；显示 provenance/age。</x:v>
      </x:c>
      <x:c r="E9" s="25" t="str">
        <x:v>反例检索会降低短期 top-1 confidence，但改善校准和用户改向能力。</x:v>
      </x:c>
      <x:c r="F9" s="25" t="str">
        <x:v>记忆冲突时降级到 suggest/preview；当前显式证据优先。</x:v>
      </x:c>
      <x:c r="G9" s="25" t="str">
        <x:v>Generative Agents; RAG; MemoryBank; memory surveys</x:v>
      </x:c>
    </x:row>
    <x:row r="10">
      <x:c r="A10" s="25" t="str">
        <x:v>IN6</x:v>
      </x:c>
      <x:c r="B10" s="25" t="str">
        <x:v>应分离 commitment memory、preference memory 与 skill memory。</x:v>
      </x:c>
      <x:c r="C10" s="25" t="str">
        <x:v>已接受结构是本项目承诺；风格选择可能是可变偏好；成功操作策略是程序知识，三者寿命和权限不同。</x:v>
      </x:c>
      <x:c r="D10" s="25" t="str">
        <x:v>三类写入门槛、衰减、作用域和撤销机制。</x:v>
      </x:c>
      <x:c r="E10" s="25" t="str">
        <x:v>扁平长期记忆更容易产生跨项目污染和错误自动化。</x:v>
      </x:c>
      <x:c r="F10" s="25" t="str">
        <x:v>commitment 默认不衰减但项目内可重开；preference 衰减；skill 需跨案例验证。</x:v>
      </x:c>
      <x:c r="G10" s="25" t="str">
        <x:v>SARI; AI as Social Glue; MemGPT; Reflexion</x:v>
      </x:c>
    </x:row>
    <x:row r="11">
      <x:c r="A11" s="25" t="str">
        <x:v>IN7</x:v>
      </x:c>
      <x:c r="B11" s="25" t="str">
        <x:v>接管边界是功能特定且不对称的：Agent 获得权限应慢，用户夺回权限应瞬时。</x:v>
      </x:c>
      <x:c r="C11" s="25" t="str">
        <x:v>levels of automation 区分感知、分析、选择、执行；adjustable autonomy 强调权限转移和控制冲突。</x:v>
      </x:c>
      <x:c r="D11" s="25" t="str">
        <x:v>独立 authority vector [observe,infer,retrieve,generate,select,apply,remember]。</x:v>
      </x:c>
      <x:c r="E11" s="25" t="str">
        <x:v>功能级权限比单一 autonomy level 减少冲突并保持情况感知。</x:v>
      </x:c>
      <x:c r="F11" s="25" t="str">
        <x:v>任何 counter-action/undo 立即将 apply 权限归零；升级需重复成功证据。</x:v>
      </x:c>
      <x:c r="G11" s="25" t="str">
        <x:v>Parasuraman; Endsley &amp; Kaber; adjustable autonomy</x:v>
      </x:c>
    </x:row>
    <x:row r="12">
      <x:c r="A12" s="25" t="str">
        <x:v>IN8</x:v>
      </x:c>
      <x:c r="B12" s="25" t="str">
        <x:v>Legibility 必须是双向的：Agent 读懂人，也要让人读懂 Agent。</x:v>
      </x:c>
      <x:c r="C12" s="25" t="str">
        <x:v>intent inference 文献多关注机器理解用户；legible motion 和 HAI guidelines 要求系统意图可读。</x:v>
      </x:c>
      <x:c r="D12" s="25" t="str">
        <x:v>before/after + scope + preserve + evidence + confidence + memory source。</x:v>
      </x:c>
      <x:c r="E12" s="25" t="str">
        <x:v>双向可读性会增加少量交互成本，但缩短错误后的 repair time。</x:v>
      </x:c>
      <x:c r="F12" s="25" t="str">
        <x:v>无法解释影响范围时禁止 apply，即使内部置信度高。</x:v>
      </x:c>
      <x:c r="G12" s="25" t="str">
        <x:v>Dragan; Amershi; DirectGPT; AI Chains</x:v>
      </x:c>
    </x:row>
    <x:row r="13">
      <x:c r="A13" s="25" t="str">
        <x:v>IN9</x:v>
      </x:c>
      <x:c r="B13" s="25" t="str">
        <x:v>混合主动性的关键变量不仅是“主动程度”，还有介入节奏和自然断点。</x:v>
      </x:c>
      <x:c r="C13" s="25" t="str">
        <x:v>共同创作需要 turn-taking；主动助手研究显示相关性相同但时机不同会改变信任与 agency。</x:v>
      </x:c>
      <x:c r="D13" s="25" t="str">
        <x:v>initiative scheduler 识别 pause、candidate decision、stage transition 等 breakpoint。</x:v>
      </x:c>
      <x:c r="E13" s="25" t="str">
        <x:v>breakpoint-triggered initiative 比实时连续介入更能保持 flow 和 ownership。</x:v>
      </x:c>
      <x:c r="F13" s="25" t="str">
        <x:v>高频精细操控期间只被动记录；比较/停顿阶段可主动提供候选。</x:v>
      </x:c>
      <x:c r="G13" s="25" t="str">
        <x:v>Horvitz; COFI; proactive assistants; proactive co-creation</x:v>
      </x:c>
    </x:row>
    <x:row r="14">
      <x:c r="A14" s="25" t="str">
        <x:v>IN10</x:v>
      </x:c>
      <x:c r="B14" s="25" t="str">
        <x:v>最优 Agent 动作可能不是完成任务，而是用低成本候选最大化信息增益。</x:v>
      </x:c>
      <x:c r="C14" s="25" t="str">
        <x:v>shared autonomy 的 information gathering 与 CST 的多候选探索可以统一。</x:v>
      </x:c>
      <x:c r="D14" s="25" t="str">
        <x:v>U(m)=task_gain + λ·information_gain − risk − interruption − agency_loss − irreversibility。</x:v>
      </x:c>
      <x:c r="E14" s="25" t="str">
        <x:v>高歧义时，contrastive preview 将比 clarification question 获得更自然的设计反馈。</x:v>
      </x:c>
      <x:c r="F14" s="25" t="str">
        <x:v>只有低成本、可逆的 probe 可由 Agent 主动发起。</x:v>
      </x:c>
      <x:c r="G14" s="25" t="str">
        <x:v>Balanced Information Gathering; mixed initiative; CST</x:v>
      </x:c>
    </x:row>
    <x:row r="15">
      <x:c r="A15" s="25" t="str">
        <x:v>IN11</x:v>
      </x:c>
      <x:c r="B15" s="25" t="str">
        <x:v>准确率不是 DC1 的首要终点；校准、修复负担和承诺保护更接近真实价值。</x:v>
      </x:c>
      <x:c r="C15" s="25" t="str">
        <x:v>错误 top-1 可被轻松修复时危害小；高置信结构性误解危害大。</x:v>
      </x:c>
      <x:c r="D15" s="25" t="str">
        <x:v>风险加权评估：ECE/Brier + repair steps + commitment violations + agency。</x:v>
      </x:c>
      <x:c r="E15" s="25" t="str">
        <x:v>校准更好的较低准确率模型可能带来更高用户控制和创作质量。</x:v>
      </x:c>
      <x:c r="F15" s="25" t="str">
        <x:v>技术评估必须按 blast radius 和 commitment 加权错误。</x:v>
      </x:c>
      <x:c r="G15" s="25" t="str">
        <x:v>Jain &amp; Argall; Lee &amp; See; HAI guidelines</x:v>
      </x:c>
    </x:row>
    <x:row r="16">
      <x:c r="A16" s="25" t="str">
        <x:v>IN12</x:v>
      </x:c>
      <x:c r="B16" s="25" t="str">
        <x:v>设计空间应把“重新打开”作为一等操作，而不是把历史偏好永久化。</x:v>
      </x:c>
      <x:c r="C16" s="25" t="str">
        <x:v>共创和发散研究显示创作者在全局收敛后仍会局部重新发散。</x:v>
      </x:c>
      <x:c r="D16" s="25" t="str">
        <x:v>reopen(part, constraints, memory_scope) 显式修改承诺边界与检索范围。</x:v>
      </x:c>
      <x:c r="E16" s="25" t="str">
        <x:v>显式 reopen 能避免系统把探索误判为用户不一致。</x:v>
      </x:c>
      <x:c r="F16" s="25" t="str">
        <x:v>reopen 只解除选定范围，不自动遗忘其他承诺。</x:v>
      </x:c>
      <x:c r="G16" s="25" t="str">
        <x:v>CST; staged divergence; typed memory</x:v>
      </x:c>
    </x:row>
    <x:row r="17">
      <x:c r="A17" s="25" t="str">
        <x:v>IN13</x:v>
      </x:c>
      <x:c r="B17" s="25" t="str">
        <x:v>意图标签需要证据分级：教程提供可公开表达的操作—目标关系，真实会话提供自然歧义，stimulated recall 提供参与者解释，受控任务提供已知目标。</x:v>
      </x:c>
      <x:c r="C17" s="25" t="str">
        <x:v>任何单一来源都不能同时兼顾规模、生态有效性与latent-intent效度；VLM还能引入系统性幻觉和粒度噪声。</x:v>
      </x:c>
      <x:c r="D17" s="25" t="str">
        <x:v>case.provenance = {source, intent_source, evidence_strength, vlm_version, human_edits, validation_status}；检索和评估按证据层过滤。</x:v>
      </x:c>
      <x:c r="E17" s="25" t="str">
        <x:v>分层证据与主动复核将降低表面数据量，但显著减少约束漏报、虚构证据和错误权限升级。</x:v>
      </x:c>
      <x:c r="F17" s="25" t="str">
        <x:v>只有creator-confirmed或controlled-ground-truth案例可用于评估高层意图和接管边界；tutorial/VLM-only案例只用于候选生成。</x:v>
      </x:c>
      <x:c r="G17" s="25" t="str">
        <x:v>Jordan &amp; Henderson; Militello &amp; Hutton; Calderhead; Paskins et al.; Video Annotator; VideoCoT</x:v>
      </x:c>
    </x:row>
    <x:row r="18">
      <x:c r="A18" s="25" t="str">
        <x:v>IN14</x:v>
      </x:c>
      <x:c r="B18" s="25" t="str">
        <x:v>可靠性必须按表示层计算，而不是给整套意图编码一个κ。</x:v>
      </x:c>
      <x:c r="C18" s="25" t="str">
        <x:v>事件边界、可观察信号、层级目标、多标签约束、序数承诺和latent rationale具有不同数据结构；低一致性既可能是codebook问题，也可能是真实歧义。</x:v>
      </x:c>
      <x:c r="D18" s="25" t="str">
        <x:v>quality = {boundary_agreement, observable_alpha, labelwise_alpha, constraint_recall, alternative_intent_coverage, adjudication_log}；保留原始双编码和分歧。</x:v>
      </x:c>
      <x:c r="E18" s="25" t="str">
        <x:v>分层质控会揭示：低层事件通常可稳定标注，而高层创作目标更适合作为候选分布；强制单标签可能提升表面一致性却降低生态效度。</x:v>
      </x:c>
      <x:c r="F18" s="25" t="str">
        <x:v>仅高一致性观察字段可直接进入检索过滤；低一致性意图字段进入Top-k和询问策略，不能驱动自动接管。</x:v>
      </x:c>
      <x:c r="G18" s="25" t="str">
        <x:v>McDonald et al.; Hayes &amp; Krippendorff; Artstein &amp; Poesio; O'Connor &amp; Joffe; Fournier &amp; Inkpen; Sasmita &amp; Swallow</x:v>
      </x:c>
    </x:row>
    <x:row r="19">
      <x:c r="A19" s="25" t="str">
        <x:v>IN15</x:v>
      </x:c>
      <x:c r="B19" s="25" t="str">
        <x:v>案例的相似度、可复用性、解释价值和授权价值是四个不同变量。</x:v>
      </x:c>
      <x:c r="C19" s="25" t="str">
        <x:v>CBR要求retrieve后仍需reuse/revise/retain；向量上相似的案例可能frame不同、约束冲突或结局失败，而失败/近失案例反而最能解释当前歧义。</x:v>
      </x:c>
      <x:c r="D19" s="25" t="str">
        <x:v>先hard_filter(source_quality, risk, constraint_compatibility)，再hybrid_score；返回support + near_miss + failed_repair + alternative_intent，最后由LLM比较差异并更新先验。</x:v>
      </x:c>
      <x:c r="E19" s="25" t="str">
        <x:v>对比检索可能降低即时top-1置信度和增加少量延迟，但应改善校准、约束召回和错误后的修复负担。</x:v>
      </x:c>
      <x:c r="F19" s="25" t="str">
        <x:v>任何历史case都不能直接授权执行；权限仍由当前commitment、risk、reversibility与用户反馈决定。</x:v>
      </x:c>
      <x:c r="G19" s="25" t="str">
        <x:v>Aamodt &amp; Plaza; de Mántaras et al.; Cunningham; Smyth; Miller; Keane &amp; Kenny</x:v>
      </x:c>
    </x:row>
    <x:row r="20">
      <x:c r="A20" s="25" t="str">
        <x:v>IN16</x:v>
      </x:c>
      <x:c r="B20" s="25" t="str">
        <x:v>控制权转移需要滞回与不对称性：Agent升级应慢且逐级，用户降级/抢回应立即且可跨级。</x:v>
      </x:c>
      <x:c r="C20" s="25" t="str">
        <x:v>shared-control与variable-autonomy研究表明切换本身会产生协调成本和控制冲突；频繁来回切换会破坏可预测性与责任对应。</x:v>
      </x:c>
      <x:c r="D20" s="25" t="str">
        <x:v>authority_transition = f(current_level, initiator, intent_confidence, commitment, risk, reversibility, availability, recent_repairs)；设置cooldown和升级证据门槛；reclaim事件直接清零apply/select。</x:v>
      </x:c>
      <x:c r="E20" s="25" t="str">
        <x:v>滞回会稍微延迟自动化收益，但应降低切换次数、冲突、惊讶和高风险误执行。</x:v>
      </x:c>
      <x:c r="F20" s="25" t="str">
        <x:v>高层目标、方案选择和动作应用分别授权；用户反向操作、undo或grab tool优先于任何Agent协商。</x:v>
      </x:c>
      <x:c r="G20" s="25" t="str">
        <x:v>Chiou et al.; Abbink et al.; Flemisch et al.; O'Neill et al.; Valero-Gomez et al.</x:v>
      </x:c>
    </x:row>
    <x:row r="21">
      <x:c r="A21" s="25" t="str">
        <x:v>IN17</x:v>
      </x:c>
      <x:c r="B21" s="25" t="str">
        <x:v>Intent Hypothesis Graph应区分‘用户想要什么’与‘用户认为当前世界是什么样’，并显式保留unknown mass。</x:v>
      </x:c>
      <x:c r="C21" s="25" t="str">
        <x:v>逆向规划通常假定观察者模型和行动模型；真实3D界面存在隐藏modifier、遮挡、模式误解、工具映射变化和不完整日志，集中posterior可能只是错误模型下的假确定。</x:v>
      </x:c>
      <x:c r="D21" s="25" t="str">
        <x:v>每个hypothesis关联goal belief、world/tool belief、observation coverage和model_fit；posterior之外保留unknown/other；timing与case retrieval只改变likelihood。</x:v>
      </x:c>
      <x:c r="E21" s="25" t="str">
        <x:v>加入belief/missingness会降低部分样本置信度，但应显著减少reference-frame误解和OOD高置信错误。</x:v>
      </x:c>
      <x:c r="F21" s="25" t="str">
        <x:v>model mismatch、关键证据不可见或unknown mass高时只能observe/suggest/preview，不能apply或写稳定偏好。</x:v>
      </x:c>
      <x:c r="G21" s="25" t="str">
        <x:v>Baker et al.; Ramírez &amp; Geffner; Jain &amp; Argall; Pereira et al.; Sohrabi et al.; Goal Recognition with Timing</x:v>
      </x:c>
    </x:row>
    <x:row r="22">
      <x:c r="A22" s="17"/>
      <x:c r="B22" s="17"/>
      <x:c r="C22" s="17"/>
      <x:c r="D22" s="17"/>
      <x:c r="E22" s="17"/>
      <x:c r="F22" s="17"/>
      <x:c r="G22" s="17"/>
    </x:row>
    <x:row r="23">
      <x:c r="A23" s="17"/>
      <x:c r="B23" s="17"/>
      <x:c r="C23" s="17"/>
      <x:c r="D23" s="17"/>
      <x:c r="E23" s="17"/>
      <x:c r="F23" s="17"/>
      <x:c r="G23" s="17"/>
    </x:row>
    <x:row r="24">
      <x:c r="A24" s="17"/>
      <x:c r="B24" s="17"/>
      <x:c r="C24" s="17"/>
      <x:c r="D24" s="17"/>
      <x:c r="E24" s="17"/>
      <x:c r="F24" s="17"/>
      <x:c r="G24" s="17"/>
    </x:row>
    <x:row r="25">
      <x:c r="A25" s="17"/>
      <x:c r="B25" s="17"/>
      <x:c r="C25" s="17"/>
      <x:c r="D25" s="17"/>
      <x:c r="E25" s="17"/>
      <x:c r="F25" s="17"/>
      <x:c r="G25" s="17"/>
    </x:row>
    <x:row r="26">
      <x:c r="A26" s="17"/>
      <x:c r="B26" s="17"/>
      <x:c r="C26" s="17"/>
      <x:c r="D26" s="17"/>
      <x:c r="E26" s="17"/>
      <x:c r="F26" s="17"/>
      <x:c r="G26" s="17"/>
    </x:row>
    <x:row r="27">
      <x:c r="A27" s="17"/>
      <x:c r="B27" s="17"/>
      <x:c r="C27" s="17"/>
      <x:c r="D27" s="17"/>
      <x:c r="E27" s="17"/>
      <x:c r="F27" s="17"/>
      <x:c r="G27" s="17"/>
    </x:row>
    <x:row r="28">
      <x:c r="A28" s="17"/>
      <x:c r="B28" s="17"/>
      <x:c r="C28" s="17"/>
      <x:c r="D28" s="17"/>
      <x:c r="E28" s="17"/>
      <x:c r="F28" s="17"/>
      <x:c r="G28" s="17"/>
    </x:row>
    <x:row r="29">
      <x:c r="A29" s="17"/>
      <x:c r="B29" s="17"/>
      <x:c r="C29" s="17"/>
      <x:c r="D29" s="17"/>
      <x:c r="E29" s="17"/>
      <x:c r="F29" s="17"/>
      <x:c r="G29" s="17"/>
    </x:row>
    <x:row r="30">
      <x:c r="A30" s="17"/>
      <x:c r="B30" s="17"/>
      <x:c r="C30" s="17"/>
      <x:c r="D30" s="17"/>
      <x:c r="E30" s="17"/>
      <x:c r="F30" s="17"/>
      <x:c r="G30" s="17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f573a183821f4166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52" hidden="0" customWidth="1"/>
    <x:col min="3" max="3" width="62" hidden="0" customWidth="1"/>
    <x:col min="4" max="4" width="42" hidden="0" customWidth="1"/>
    <x:col min="5" max="5" width="52" hidden="0" customWidth="1"/>
  </x:cols>
  <x:sheetData>
    <x:row r="1" ht="30" customHeight="1">
      <x:c r="A1" s="3" t="str">
        <x:v>DC1 机制模型：Signals → Hierarchical Intent → Memory → Initiative</x:v>
      </x:c>
    </x:row>
    <x:row r="2" ht="30" customHeight="1">
      <x:c r="A2" s="7" t="str">
        <x:v>推荐把意图解释器实现为闭环 belief-and-authority system，而不是一次 LLM 分类调用。</x:v>
      </x:c>
    </x:row>
    <x:row r="4" ht="30" customHeight="1">
      <x:c r="A4" s="24" t="str">
        <x:v>模块</x:v>
      </x:c>
      <x:c r="B4" s="24" t="str">
        <x:v>职责</x:v>
      </x:c>
      <x:c r="C4" s="24" t="str">
        <x:v>核心表示</x:v>
      </x:c>
      <x:c r="D4" s="24" t="str">
        <x:v>输入/来源</x:v>
      </x:c>
      <x:c r="E4" s="24" t="str">
        <x:v>安全边界</x:v>
      </x:c>
    </x:row>
    <x:row r="5">
      <x:c r="A5" s="25" t="str">
        <x:v>M1 Signal normalization</x:v>
      </x:c>
      <x:c r="B5" s="25" t="str">
        <x:v>把 select/brush/drag/undo/camera/tool/state 转成带时间、目标与 delta 的事件</x:v>
      </x:c>
      <x:c r="C5" s="25" t="str">
        <x:v>event_id, actor, timestamp, modality, target, geometry_delta, view, tool</x:v>
      </x:c>
      <x:c r="D5" s="25" t="str">
        <x:v>原始事件日志</x:v>
      </x:c>
      <x:c r="E5" s="25" t="str">
        <x:v>不做语义结论</x:v>
      </x:c>
    </x:row>
    <x:row r="6">
      <x:c r="A6" s="25" t="str">
        <x:v>M2 Context graph</x:v>
      </x:c>
      <x:c r="B6" s="25" t="str">
        <x:v>维护对象—部件—约束—阶段—候选—承诺关系</x:v>
      </x:c>
      <x:c r="C6" s="25" t="str">
        <x:v>part graph, constraint graph, stage, accepted/reopened scope</x:v>
      </x:c>
      <x:c r="D6" s="25" t="str">
        <x:v>当前场景 + 项目状态</x:v>
      </x:c>
      <x:c r="E6" s="25" t="str">
        <x:v>导航与编辑模式硬隔离</x:v>
      </x:c>
    </x:row>
    <x:row r="7">
      <x:c r="A7" s="25" t="str">
        <x:v>M3 Hierarchical hypothesis</x:v>
      </x:c>
      <x:c r="B7" s="25" t="str">
        <x:v>生成多层意图与参考系假设</x:v>
      </x:c>
      <x:c r="C7" s="25" t="str">
        <x:v>project_goal, stage_goal, edit_goal, operation, frame, scope, confidence</x:v>
      </x:c>
      <x:c r="D7" s="25" t="str">
        <x:v>M1+M2</x:v>
      </x:c>
      <x:c r="E7" s="25" t="str">
        <x:v>保留 top-k 和熵</x:v>
      </x:c>
    </x:row>
    <x:row r="8">
      <x:c r="A8" s="25" t="str">
        <x:v>M4 Contrastive memory retrieval</x:v>
      </x:c>
      <x:c r="B8" s="25" t="str">
        <x:v>每个假设检索支持/反例/失败 episode</x:v>
      </x:c>
      <x:c r="C8" s="25" t="str">
        <x:v>episode, preference, skill, provenance, age, outcome</x:v>
      </x:c>
      <x:c r="D8" s="25" t="str">
        <x:v>typed memories</x:v>
      </x:c>
      <x:c r="E8" s="25" t="str">
        <x:v>当前显式证据权重最高</x:v>
      </x:c>
    </x:row>
    <x:row r="9">
      <x:c r="A9" s="25" t="str">
        <x:v>M5 Belief update</x:v>
      </x:c>
      <x:c r="B9" s="25" t="str">
        <x:v>融合动作似然、结构可行性、记忆和 repair</x:v>
      </x:c>
      <x:c r="C9" s="25" t="str">
        <x:v>posterior hypotheses + commitment strength</x:v>
      </x:c>
      <x:c r="D9" s="25" t="str">
        <x:v>M3+M4</x:v>
      </x:c>
      <x:c r="E9" s="25" t="str">
        <x:v>repair 触发重新解释</x:v>
      </x:c>
    </x:row>
    <x:row r="10">
      <x:c r="A10" s="25" t="str">
        <x:v>M6 Grounding state</x:v>
      </x:c>
      <x:c r="B10" s="25" t="str">
        <x:v>判断人机是否对 target/scope/preserve/action 达到足够共同基础</x:v>
      </x:c>
      <x:c r="C10" s="25" t="str">
        <x:v>grounded fields, unresolved fields, repair count</x:v>
      </x:c>
      <x:c r="D10" s="25" t="str">
        <x:v>preview/correction history</x:v>
      </x:c>
      <x:c r="E10" s="25" t="str">
        <x:v>按风险决定 grounding depth</x:v>
      </x:c>
    </x:row>
    <x:row r="11">
      <x:c r="A11" s="25" t="str">
        <x:v>M7 Initiative arbitration</x:v>
      </x:c>
      <x:c r="B11" s="25" t="str">
        <x:v>计算 observe/ask/suggest/preview/apply 的效用</x:v>
      </x:c>
      <x:c r="C11" s="25" t="str">
        <x:v>task gain, info gain, confidence, risk, reversibility, interruption, agency cost</x:v>
      </x:c>
      <x:c r="D11" s="25" t="str">
        <x:v>M5+M6+authority policy</x:v>
      </x:c>
      <x:c r="E11" s="25" t="str">
        <x:v>最小必要权限</x:v>
      </x:c>
    </x:row>
    <x:row r="12">
      <x:c r="A12" s="25" t="str">
        <x:v>M8 Legible preview</x:v>
      </x:c>
      <x:c r="B12" s="25" t="str">
        <x:v>展示将改变/保留什么以及证据和记忆来源</x:v>
      </x:c>
      <x:c r="C12" s="25" t="str">
        <x:v>before-after, scope, constraints, alternatives, uncertainty</x:v>
      </x:c>
      <x:c r="D12" s="25" t="str">
        <x:v>候选生成器</x:v>
      </x:c>
      <x:c r="E12" s="25" t="str">
        <x:v>无法解释则禁止 apply</x:v>
      </x:c>
    </x:row>
    <x:row r="13">
      <x:c r="A13" s="25" t="str">
        <x:v>M9 Commit / repair</x:v>
      </x:c>
      <x:c r="B13" s="25" t="str">
        <x:v>用户接受、修改、撤销或重开范围</x:v>
      </x:c>
      <x:c r="C13" s="25" t="str">
        <x:v>decision, correction type, reopened scope</x:v>
      </x:c>
      <x:c r="D13" s="25" t="str">
        <x:v>交互反馈</x:v>
      </x:c>
      <x:c r="E13" s="25" t="str">
        <x:v>用户抢回控制立即生效</x:v>
      </x:c>
    </x:row>
    <x:row r="14">
      <x:c r="A14" s="25" t="str">
        <x:v>M10 Governed memory write</x:v>
      </x:c>
      <x:c r="B14" s="25" t="str">
        <x:v>按反馈质量写入 episode/preference/skill/commitment</x:v>
      </x:c>
      <x:c r="C14" s="25" t="str">
        <x:v>type, scope, provenance, confidence, expiry, version</x:v>
      </x:c>
      <x:c r="D14" s="25" t="str">
        <x:v>M9</x:v>
      </x:c>
      <x:c r="E14" s="25" t="str">
        <x:v>一次反馈不升级长期自动化</x:v>
      </x:c>
    </x:row>
    <x:row r="15">
      <x:c r="A15" s="17"/>
      <x:c r="B15" s="17"/>
      <x:c r="C15" s="17"/>
      <x:c r="D15" s="17"/>
      <x:c r="E15" s="17"/>
    </x:row>
    <x:row r="16">
      <x:c r="A16" s="17"/>
      <x:c r="B16" s="17"/>
      <x:c r="C16" s="17"/>
      <x:c r="D16" s="17"/>
      <x:c r="E16" s="17"/>
    </x:row>
    <x:row r="17">
      <x:c r="A17" s="27" t="str">
        <x:v>建议的接管效用函数（待实证校准）</x:v>
      </x:c>
      <x:c r="B17" s="17"/>
      <x:c r="C17" s="17"/>
      <x:c r="D17" s="17"/>
      <x:c r="E17" s="17"/>
    </x:row>
    <x:row r="18">
      <x:c r="A18" s="30" t="str">
        <x:v>U(mode) = E[task gain] + λ·I(intent; user response) − α·error risk − β·interruption cost − γ·agency loss − δ·irreversibility − η·memory conflict.  权限还受硬约束：结构/拓扑/已承诺范围修改必须确认；任何 user reclaim 信号立即撤销 apply 权限。</x:v>
      </x:c>
      <x:c r="B18" s="31"/>
      <x:c r="C18" s="31"/>
      <x:c r="D18" s="31"/>
      <x:c r="E18" s="31"/>
      <x:c r="F18" s="31"/>
      <x:c r="G18" s="31"/>
      <x:c r="H18" s="40"/>
    </x:row>
    <x:row r="19">
      <x:c r="A19" s="34"/>
      <x:c r="B19" s="28"/>
      <x:c r="C19" s="28"/>
      <x:c r="D19" s="28"/>
      <x:c r="E19" s="28"/>
      <x:c r="F19" s="28"/>
      <x:c r="G19" s="28"/>
      <x:c r="H19" s="41"/>
    </x:row>
    <x:row r="20">
      <x:c r="A20" s="36"/>
      <x:c r="B20" s="37"/>
      <x:c r="C20" s="37"/>
      <x:c r="D20" s="37"/>
      <x:c r="E20" s="37"/>
      <x:c r="F20" s="37"/>
      <x:c r="G20" s="37"/>
      <x:c r="H20" s="42"/>
    </x:row>
    <x:row r="21">
      <x:c r="A21" s="17"/>
      <x:c r="B21" s="17"/>
      <x:c r="C21" s="17"/>
      <x:c r="D21" s="17"/>
      <x:c r="E21" s="17"/>
    </x:row>
    <x:row r="22">
      <x:c r="A22" s="17"/>
      <x:c r="B22" s="17"/>
      <x:c r="C22" s="17"/>
      <x:c r="D22" s="17"/>
      <x:c r="E22" s="17"/>
    </x:row>
    <x:row r="23">
      <x:c r="A23" s="17"/>
      <x:c r="B23" s="17"/>
      <x:c r="C23" s="17"/>
      <x:c r="D23" s="17"/>
      <x:c r="E23" s="17"/>
    </x:row>
    <x:row r="24">
      <x:c r="A24" s="17"/>
      <x:c r="B24" s="17"/>
      <x:c r="C24" s="17"/>
      <x:c r="D24" s="17"/>
      <x:c r="E24" s="17"/>
    </x:row>
    <x:row r="25">
      <x:c r="A25" s="17"/>
      <x:c r="B25" s="17"/>
      <x:c r="C25" s="17"/>
      <x:c r="D25" s="17"/>
      <x:c r="E25" s="17"/>
    </x:row>
    <x:row r="26">
      <x:c r="A26" s="17"/>
      <x:c r="B26" s="17"/>
      <x:c r="C26" s="17"/>
      <x:c r="D26" s="17"/>
      <x:c r="E26" s="17"/>
    </x:row>
    <x:row r="27">
      <x:c r="A27" s="17"/>
      <x:c r="B27" s="17"/>
      <x:c r="C27" s="17"/>
      <x:c r="D27" s="17"/>
      <x:c r="E27" s="17"/>
    </x:row>
    <x:row r="28">
      <x:c r="A28" s="17"/>
      <x:c r="B28" s="17"/>
      <x:c r="C28" s="17"/>
      <x:c r="D28" s="17"/>
      <x:c r="E28" s="17"/>
    </x:row>
    <x:row r="29">
      <x:c r="A29" s="17"/>
      <x:c r="B29" s="17"/>
      <x:c r="C29" s="17"/>
      <x:c r="D29" s="17"/>
      <x:c r="E29" s="17"/>
    </x:row>
    <x:row r="30">
      <x:c r="A30" s="17"/>
      <x:c r="B30" s="17"/>
      <x:c r="C30" s="17"/>
      <x:c r="D30" s="17"/>
      <x:c r="E30" s="17"/>
    </x:row>
  </x:sheetData>
  <x:mergeCells>
    <x:mergeCell ref="A1:H1"/>
    <x:mergeCell ref="A2:H2"/>
    <x:mergeCell ref="A17:H17"/>
    <x:mergeCell ref="A18:H20"/>
  </x:mergeCells>
  <x:pageMargins left="0.7" right="0.7" top="0.75" bottom="0.75" header="0.3" footer="0.3"/>
  <x:tableParts count="1">
    <x:tablePart xmlns:r="http://schemas.openxmlformats.org/officeDocument/2006/relationships" r:id="R1be4851aa081482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30" customHeight="1">
      <x:c r="A1" s="3" t="str">
        <x:v>Intent Case Library：检索、对比、修订与保留</x:v>
      </x:c>
    </x:row>
    <x:row r="2" ht="30" customHeight="1">
      <x:c r="A2" s="7" t="str">
        <x:v>案例相似度不是授权。先做风险/约束/来源硬过滤，再混合排序并返回对比集合；LLM只据此更新当前意图先验。</x:v>
      </x:c>
    </x:row>
    <x:row r="4" ht="30" customHeight="1">
      <x:c r="A4" s="24" t="str">
        <x:v>规则</x:v>
      </x:c>
      <x:c r="B4" s="24" t="str">
        <x:v>硬过滤维度</x:v>
      </x:c>
      <x:c r="C4" s="24" t="str">
        <x:v>动作</x:v>
      </x:c>
      <x:c r="D4" s="24" t="str">
        <x:v>触发条件</x:v>
      </x:c>
      <x:c r="E4" s="24" t="str">
        <x:v>备注</x:v>
      </x:c>
    </x:row>
    <x:row r="5">
      <x:c r="A5" s="20" t="str">
        <x:v>F1</x:v>
      </x:c>
      <x:c r="B5" s="20" t="str">
        <x:v>证据质量</x:v>
      </x:c>
      <x:c r="C5" s="20" t="str">
        <x:v>exclude/quarantine</x:v>
      </x:c>
      <x:c r="D5" s="20" t="str">
        <x:v>case_quality=exclude 或来源/标注版本不可追溯</x:v>
      </x:c>
      <x:c r="E5" s="20" t="str">
        <x:v>避免低质量case污染推断</x:v>
      </x:c>
    </x:row>
    <x:row r="6">
      <x:c r="A6" s="20" t="str">
        <x:v>F2</x:v>
      </x:c>
      <x:c r="B6" s="20" t="str">
        <x:v>约束兼容性</x:v>
      </x:c>
      <x:c r="C6" s="20" t="str">
        <x:v>exclude actionable reuse</x:v>
      </x:c>
      <x:c r="D6" s="20" t="str">
        <x:v>历史操作破坏当前明确 preserve constraints</x:v>
      </x:c>
      <x:c r="E6" s="20" t="str">
        <x:v>仍可作为失败/反例解释</x:v>
      </x:c>
    </x:row>
    <x:row r="7">
      <x:c r="A7" s="20" t="str">
        <x:v>F3</x:v>
      </x:c>
      <x:c r="B7" s="20" t="str">
        <x:v>作用域与风险</x:v>
      </x:c>
      <x:c r="C7" s="20" t="str">
        <x:v>exclude apply template</x:v>
      </x:c>
      <x:c r="D7" s="20" t="str">
        <x:v>历史case的blast radius高于当前授权范围</x:v>
      </x:c>
      <x:c r="E7" s="20" t="str">
        <x:v>可保留为需确认案例</x:v>
      </x:c>
    </x:row>
    <x:row r="8">
      <x:c r="A8" s="20" t="str">
        <x:v>F4</x:v>
      </x:c>
      <x:c r="B8" s="20" t="str">
        <x:v>数据泄漏</x:v>
      </x:c>
      <x:c r="C8" s="20" t="str">
        <x:v>exclude evaluation retrieval</x:v>
      </x:c>
      <x:c r="D8" s="20" t="str">
        <x:v>同一创作者/原视频episode进入测试查询的检索库</x:v>
      </x:c>
      <x:c r="E8" s="20" t="str">
        <x:v>按video/creator分组切分</x:v>
      </x:c>
    </x:row>
    <x:row r="9">
      <x:c r="A9" s="20" t="str">
        <x:v>F5</x:v>
      </x:c>
      <x:c r="B9" s="20" t="str">
        <x:v>记忆状态</x:v>
      </x:c>
      <x:c r="C9" s="20" t="str">
        <x:v>down-rank/quarantine</x:v>
      </x:c>
      <x:c r="D9" s="20" t="str">
        <x:v>陈旧、冲突、已撤回或用户要求遗忘</x:v>
      </x:c>
      <x:c r="E9" s="20" t="str">
        <x:v>当前显式证据优先</x:v>
      </x:c>
    </x:row>
    <x:row r="11">
      <x:c r="A11" s="18" t="str">
        <x:v>混合检索权重（初始假设；通过离线检索和用户研究校准）</x:v>
      </x:c>
    </x:row>
    <x:row r="12" ht="30" customHeight="1">
      <x:c r="A12" s="24" t="str">
        <x:v>ID</x:v>
      </x:c>
      <x:c r="B12" s="24" t="str">
        <x:v>评分分量</x:v>
      </x:c>
      <x:c r="C12" s="24" t="str">
        <x:v>初始权重</x:v>
      </x:c>
      <x:c r="D12" s="24" t="str">
        <x:v>实现建议</x:v>
      </x:c>
      <x:c r="E12" s="24" t="str">
        <x:v>边界说明</x:v>
      </x:c>
    </x:row>
    <x:row r="13">
      <x:c r="A13" s="20" t="str">
        <x:v>S1</x:v>
      </x:c>
      <x:c r="B13" s="20" t="str">
        <x:v>语义目标/desired effect</x:v>
      </x:c>
      <x:c r="C13" s="44" t="n">
        <x:v>0.25</x:v>
      </x:c>
      <x:c r="D13" s="20" t="str">
        <x:v>embedding + controlled vocabulary</x:v>
      </x:c>
      <x:c r="E13" s="20" t="str">
        <x:v>区分‘变大’与‘更突出/更稳重’</x:v>
      </x:c>
    </x:row>
    <x:row r="14">
      <x:c r="A14" s="20" t="str">
        <x:v>S2</x:v>
      </x:c>
      <x:c r="B14" s="20" t="str">
        <x:v>target/part/scope</x:v>
      </x:c>
      <x:c r="C14" s="44" t="n">
        <x:v>0.15</x:v>
      </x:c>
      <x:c r="D14" s="20" t="str">
        <x:v>结构化精确/层级匹配</x:v>
      </x:c>
      <x:c r="E14" s="20" t="str">
        <x:v>对象相似但部位不同需降权</x:v>
      </x:c>
    </x:row>
    <x:row r="15">
      <x:c r="A15" s="20" t="str">
        <x:v>S3</x:v>
      </x:c>
      <x:c r="B15" s="20" t="str">
        <x:v>design stage</x:v>
      </x:c>
      <x:c r="C15" s="44" t="n">
        <x:v>0.1</x:v>
      </x:c>
      <x:c r="D15" s="20" t="str">
        <x:v>类别匹配/邻近阶段</x:v>
      </x:c>
      <x:c r="E15" s="20" t="str">
        <x:v>发散探索case不直接迁移到精修</x:v>
      </x:c>
    </x:row>
    <x:row r="16">
      <x:c r="A16" s="20" t="str">
        <x:v>S4</x:v>
      </x:c>
      <x:c r="B16" s="20" t="str">
        <x:v>reference frame</x:v>
      </x:c>
      <x:c r="C16" s="44" t="n">
        <x:v>0.1</x:v>
      </x:c>
      <x:c r="D16" s="20" t="str">
        <x:v>world/local/view/normal/semantic axis</x:v>
      </x:c>
      <x:c r="E16" s="20" t="str">
        <x:v>3D动作解释的关键潜变量</x:v>
      </x:c>
    </x:row>
    <x:row r="17">
      <x:c r="A17" s="20" t="str">
        <x:v>S5</x:v>
      </x:c>
      <x:c r="B17" s="20" t="str">
        <x:v>preserve constraints</x:v>
      </x:c>
      <x:c r="C17" s="44" t="n">
        <x:v>0.15</x:v>
      </x:c>
      <x:c r="D17" s="20" t="str">
        <x:v>集合覆盖+冲突惩罚</x:v>
      </x:c>
      <x:c r="E17" s="20" t="str">
        <x:v>冲突先硬过滤，覆盖不足再降权</x:v>
      </x:c>
    </x:row>
    <x:row r="18">
      <x:c r="A18" s="20" t="str">
        <x:v>S6</x:v>
      </x:c>
      <x:c r="B18" s="20" t="str">
        <x:v>event trajectory</x:v>
      </x:c>
      <x:c r="C18" s="44" t="n">
        <x:v>0.1</x:v>
      </x:c>
      <x:c r="D18" s="20" t="str">
        <x:v>时序/事件序列相似度</x:v>
      </x:c>
      <x:c r="E18" s="20" t="str">
        <x:v>包含停顿、比较、撤销与修复</x:v>
      </x:c>
    </x:row>
    <x:row r="19">
      <x:c r="A19" s="20" t="str">
        <x:v>S7</x:v>
      </x:c>
      <x:c r="B19" s="20" t="str">
        <x:v>outcome/repair</x:v>
      </x:c>
      <x:c r="C19" s="44" t="n">
        <x:v>0.1</x:v>
      </x:c>
      <x:c r="D19" s="20" t="str">
        <x:v>成功、修复原因和用户反馈</x:v>
      </x:c>
      <x:c r="E19" s="20" t="str">
        <x:v>成功模板与失败解释分开使用</x:v>
      </x:c>
    </x:row>
    <x:row r="20">
      <x:c r="A20" s="20" t="str">
        <x:v>S8</x:v>
      </x:c>
      <x:c r="B20" s="20" t="str">
        <x:v>user/recency/provenance</x:v>
      </x:c>
      <x:c r="C20" s="44" t="n">
        <x:v>0.05</x:v>
      </x:c>
      <x:c r="D20" s="20" t="str">
        <x:v>个性化+时间衰减+证据层</x:v>
      </x:c>
      <x:c r="E20" s="20" t="str">
        <x:v>不能压过当前显式意图</x:v>
      </x:c>
    </x:row>
    <x:row r="21">
      <x:c r="A21" s="43" t="str">
        <x:v>权重合计</x:v>
      </x:c>
      <x:c r="B21" s="43" t="str"/>
      <x:c r="C21" s="45" t="n">
        <x:f>SUM(C13:C20)</x:f>
        <x:v>1</x:v>
      </x:c>
    </x:row>
    <x:row r="23">
      <x:c r="A23" s="18" t="str">
        <x:v>每次建议返回的对比案例集合</x:v>
      </x:c>
    </x:row>
    <x:row r="24" ht="30" customHeight="1">
      <x:c r="A24" s="24" t="str">
        <x:v>case_role</x:v>
      </x:c>
      <x:c r="B24" s="24" t="str">
        <x:v>默认数量</x:v>
      </x:c>
      <x:c r="C24" s="24" t="str">
        <x:v>选择条件</x:v>
      </x:c>
      <x:c r="D24" s="24" t="str">
        <x:v>推理用途</x:v>
      </x:c>
      <x:c r="E24" s="24" t="str">
        <x:v>安全规则</x:v>
      </x:c>
    </x:row>
    <x:row r="25">
      <x:c r="A25" s="20" t="str">
        <x:v>Support</x:v>
      </x:c>
      <x:c r="B25" s="20" t="n">
        <x:v>1</x:v>
      </x:c>
      <x:c r="C25" s="20" t="str">
        <x:v>支持当前Top-1且结果被接受</x:v>
      </x:c>
      <x:c r="D25" s="20" t="str">
        <x:v>提供可复用操作与保留约束</x:v>
      </x:c>
      <x:c r="E25" s="20" t="str">
        <x:v>不能独占检索结果</x:v>
      </x:c>
    </x:row>
    <x:row r="26">
      <x:c r="A26" s="20" t="str">
        <x:v>Near miss</x:v>
      </x:c>
      <x:c r="B26" s="20" t="n">
        <x:v>1</x:v>
      </x:c>
      <x:c r="C26" s="20" t="str">
        <x:v>大部分相似但关键frame/scope/constraint不同</x:v>
      </x:c>
      <x:c r="D26" s="20" t="str">
        <x:v>指出决定性差异</x:v>
      </x:c>
      <x:c r="E26" s="20" t="str">
        <x:v>优先用于澄清</x:v>
      </x:c>
    </x:row>
    <x:row r="27">
      <x:c r="A27" s="20" t="str">
        <x:v>Failed/repair</x:v>
      </x:c>
      <x:c r="B27" s="20" t="n">
        <x:v>1</x:v>
      </x:c>
      <x:c r="C27" s="20" t="str">
        <x:v>相似操作导致撤销、参数或约束修复</x:v>
      </x:c>
      <x:c r="D27" s="20" t="str">
        <x:v>预测失败模式</x:v>
      </x:c>
      <x:c r="E27" s="20" t="str">
        <x:v>禁止当成功模板</x:v>
      </x:c>
    </x:row>
    <x:row r="28">
      <x:c r="A28" s="20" t="str">
        <x:v>Alternative intent</x:v>
      </x:c>
      <x:c r="B28" s="20" t="n">
        <x:v>1</x:v>
      </x:c>
      <x:c r="C28" s="20" t="str">
        <x:v>相同可观察信号但最终意图不同</x:v>
      </x:c>
      <x:c r="D28" s="20" t="str">
        <x:v>防止确认偏差并维护Top-k</x:v>
      </x:c>
      <x:c r="E28" s="20" t="str">
        <x:v>候选接近时必须返回</x:v>
      </x:c>
    </x:row>
    <x:row r="29">
      <x:c r="A29" s="20" t="str">
        <x:v>Authority boundary</x:v>
      </x:c>
      <x:c r="B29" s="20" t="n">
        <x:v>0</x:v>
      </x:c>
      <x:c r="C29" s="20" t="str">
        <x:v>相似case发生抢回、拒绝或高风险确认</x:v>
      </x:c>
      <x:c r="D29" s="20" t="str">
        <x:v>决定observe/preview/ask</x:v>
      </x:c>
      <x:c r="E29" s="20" t="str">
        <x:v>高风险查询时强制加入</x:v>
      </x:c>
    </x:row>
    <x:row r="31">
      <x:c r="A31" s="46" t="str">
        <x:v>推荐消融：Dense-only → +结构上下文 → +frame/constraints → +对比集合 → +类型化/个性化记忆</x:v>
      </x:c>
    </x:row>
    <x:row r="32">
      <x:c r="A32" s="17" t="str">
        <x:v>主要指标</x:v>
      </x:c>
      <x:c r="B32" s="17" t="str">
        <x:v>Top-k intent recall；MRR；ECE/Brier</x:v>
      </x:c>
      <x:c r="C32" s="17" t="str">
        <x:v>约束召回/违反率</x:v>
      </x:c>
      <x:c r="D32" s="17" t="str">
        <x:v>严重权限错误率</x:v>
      </x:c>
      <x:c r="E32" s="17" t="str">
        <x:v>修复步数/撤销</x:v>
      </x:c>
      <x:c r="F32" s="17" t="str">
        <x:v>检索延迟</x:v>
      </x:c>
      <x:c r="G32" s="17" t="str">
        <x:v>用户理解/纠错率</x:v>
      </x:c>
      <x:c r="H32" s="17" t="str">
        <x:v>案例覆盖与冗余</x:v>
      </x:c>
    </x:row>
    <x:row r="33">
      <x:c r="A33" s="17" t="str">
        <x:v>必须报告</x:v>
      </x:c>
      <x:c r="B33" s="17" t="str">
        <x:v>按source_type分层</x:v>
      </x:c>
      <x:c r="C33" s="17" t="str">
        <x:v>按task/stage分层</x:v>
      </x:c>
      <x:c r="D33" s="17" t="str">
        <x:v>按风险等级分层</x:v>
      </x:c>
      <x:c r="E33" s="17" t="str">
        <x:v>成功/修复/拒绝分层</x:v>
      </x:c>
      <x:c r="F33" s="17" t="str">
        <x:v>P50/P95</x:v>
      </x:c>
      <x:c r="G33" s="17" t="str">
        <x:v>案例解释是否帮助纠错</x:v>
      </x:c>
      <x:c r="H33" s="17" t="str">
        <x:v>新增case的边际能力</x:v>
      </x:c>
    </x:row>
    <x:row r="34">
      <x:c r="A34" s="17" t="str">
        <x:v>Retention</x:v>
      </x:c>
      <x:c r="B34" s="17" t="str">
        <x:v>只有确认结果进入成功库</x:v>
      </x:c>
      <x:c r="C34" s="17" t="str">
        <x:v>未决case留在歧义库</x:v>
      </x:c>
      <x:c r="D34" s="17" t="str">
        <x:v>失败保留repair cause</x:v>
      </x:c>
      <x:c r="E34" s="17" t="str">
        <x:v>用户撤回可删除个性记忆</x:v>
      </x:c>
      <x:c r="F34" s="17" t="str">
        <x:v>合并冗余case</x:v>
      </x:c>
      <x:c r="G34" s="17" t="str">
        <x:v>记录版本与来源</x:v>
      </x:c>
      <x:c r="H34" s="17" t="str">
        <x:v>定期coverage审计</x:v>
      </x:c>
    </x:row>
    <x:row r="35">
      <x:c r="A35" s="17" t="str">
        <x:v>运行时边界</x:v>
      </x:c>
      <x:c r="B35" s="17" t="str">
        <x:v>retrieval更新prior</x:v>
      </x:c>
      <x:c r="C35" s="17" t="str">
        <x:v>LLM比较差异</x:v>
      </x:c>
      <x:c r="D35" s="17" t="str">
        <x:v>policy独立算authority</x:v>
      </x:c>
      <x:c r="E35" s="17" t="str">
        <x:v>高风险仍需确认</x:v>
      </x:c>
      <x:c r="F35" s="17" t="str">
        <x:v>用户抢回立即停止</x:v>
      </x:c>
      <x:c r="G35" s="17" t="str">
        <x:v>不以旧case反驳当前用户</x:v>
      </x:c>
      <x:c r="H35" s="17" t="str">
        <x:v>不自动固化单次偏好</x:v>
      </x:c>
    </x:row>
  </x:sheetData>
  <x:mergeCells>
    <x:mergeCell ref="A1:H1"/>
    <x:mergeCell ref="A2:H2"/>
    <x:mergeCell ref="A11:H11"/>
    <x:mergeCell ref="A23:H23"/>
    <x:mergeCell ref="A31:H31"/>
  </x:mergeCells>
  <x:pageMargins left="0.7" right="0.7" top="0.75" bottom="0.75" header="0.3" footer="0.3"/>
  <x:tableParts count="3">
    <x:tablePart xmlns:r="http://schemas.openxmlformats.org/officeDocument/2006/relationships" r:id="Rc6e399e6c6344549"/>
    <x:tablePart xmlns:r="http://schemas.openxmlformats.org/officeDocument/2006/relationships" r:id="R12f9191372c849d3"/>
    <x:tablePart xmlns:r="http://schemas.openxmlformats.org/officeDocument/2006/relationships" r:id="R82a80ee44d4b4df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</x:cols>
  <x:sheetData>
    <x:row r="1" ht="30" customHeight="1">
      <x:c r="A1" s="3" t="str">
        <x:v>Authority State Machine：权限向量、转移与人类抢回</x:v>
      </x:c>
    </x:row>
    <x:row r="2" ht="30" customHeight="1">
      <x:c r="A2" s="7" t="str">
        <x:v>Intent Hypothesis Graph回答“用户可能想做什么”；Authority Policy单独回答“Agent现在被允许做多少”。升级慢且逐级，用户抢回立即且可跨级。</x:v>
      </x:c>
    </x:row>
    <x:row r="4" ht="30" customHeight="1">
      <x:c r="A4" s="24" t="str">
        <x:v>权限维度</x:v>
      </x:c>
      <x:c r="B4" s="24" t="str">
        <x:v>能力</x:v>
      </x:c>
      <x:c r="C4" s="24" t="str">
        <x:v>默认</x:v>
      </x:c>
      <x:c r="D4" s="24" t="str">
        <x:v>禁止/降级条件</x:v>
      </x:c>
      <x:c r="E4" s="24" t="str">
        <x:v>安全动作</x:v>
      </x:c>
    </x:row>
    <x:row r="5">
      <x:c r="A5" s="20" t="str">
        <x:v>observe</x:v>
      </x:c>
      <x:c r="B5" s="20" t="str">
        <x:v>读取界面、事件和3D状态</x:v>
      </x:c>
      <x:c r="C5" s="20" t="str">
        <x:v>默认允许</x:v>
      </x:c>
      <x:c r="D5" s="20" t="str">
        <x:v>数据权限/隐私关闭</x:v>
      </x:c>
      <x:c r="E5" s="20" t="str">
        <x:v>停止采集并清除未授权缓存</x:v>
      </x:c>
    </x:row>
    <x:row r="6">
      <x:c r="A6" s="20" t="str">
        <x:v>infer</x:v>
      </x:c>
      <x:c r="B6" s="20" t="str">
        <x:v>形成Top-k意图和commitment假设</x:v>
      </x:c>
      <x:c r="C6" s="20" t="str">
        <x:v>observe有效且schema可用</x:v>
      </x:c>
      <x:c r="D6" s="20" t="str">
        <x:v>OOD/证据冲突</x:v>
      </x:c>
      <x:c r="E6" s="20" t="str">
        <x:v>输出unknown，不伪造结论</x:v>
      </x:c>
    </x:row>
    <x:row r="7">
      <x:c r="A7" s="20" t="str">
        <x:v>retrieve</x:v>
      </x:c>
      <x:c r="B7" s="20" t="str">
        <x:v>访问案例与类型化记忆</x:v>
      </x:c>
      <x:c r="C7" s="20" t="str">
        <x:v>来源可追溯、当前任务允许</x:v>
      </x:c>
      <x:c r="D7" s="20" t="str">
        <x:v>用户关闭记忆/冲突或陈旧</x:v>
      </x:c>
      <x:c r="E7" s="20" t="str">
        <x:v>不调用长期记忆，当前证据优先</x:v>
      </x:c>
    </x:row>
    <x:row r="8">
      <x:c r="A8" s="20" t="str">
        <x:v>generate</x:v>
      </x:c>
      <x:c r="B8" s="20" t="str">
        <x:v>生成候选但不改变主模型</x:v>
      </x:c>
      <x:c r="C8" s="20" t="str">
        <x:v>至少一个合理假设且可安全沙盒</x:v>
      </x:c>
      <x:c r="D8" s="20" t="str">
        <x:v>高风险且无法隔离预览</x:v>
      </x:c>
      <x:c r="E8" s="20" t="str">
        <x:v>仅解释/询问</x:v>
      </x:c>
    </x:row>
    <x:row r="9">
      <x:c r="A9" s="20" t="str">
        <x:v>select</x:v>
      </x:c>
      <x:c r="B9" s="20" t="str">
        <x:v>替用户选择候选</x:v>
      </x:c>
      <x:c r="C9" s="20" t="str">
        <x:v>用户明确授权或重复稳定接受</x:v>
      </x:c>
      <x:c r="D9" s="20" t="str">
        <x:v>候选接近、commitment低、repair</x:v>
      </x:c>
      <x:c r="E9" s="20" t="str">
        <x:v>退回用户选择</x:v>
      </x:c>
    </x:row>
    <x:row r="10">
      <x:c r="A10" s="20" t="str">
        <x:v>apply</x:v>
      </x:c>
      <x:c r="B10" s="20" t="str">
        <x:v>写入当前3D模型</x:v>
      </x:c>
      <x:c r="C10" s="20" t="str">
        <x:v>高置信+高commitment+低风险+可逆+局部</x:v>
      </x:c>
      <x:c r="D10" s="20" t="str">
        <x:v>undo/counter-drag/grab tool/结构风险</x:v>
      </x:c>
      <x:c r="E10" s="20" t="str">
        <x:v>立即归零并返还控制</x:v>
      </x:c>
    </x:row>
    <x:row r="11">
      <x:c r="A11" s="20" t="str">
        <x:v>remember</x:v>
      </x:c>
      <x:c r="B11" s="20" t="str">
        <x:v>写入长期偏好/程序/承诺</x:v>
      </x:c>
      <x:c r="C11" s="20" t="str">
        <x:v>结果确认且满足对应写入门槛</x:v>
      </x:c>
      <x:c r="D11" s="20" t="str">
        <x:v>未决、一次性反馈、撤回、repair未诊断</x:v>
      </x:c>
      <x:c r="E11" s="20" t="str">
        <x:v>只保留带provenance的episode或不写</x:v>
      </x:c>
    </x:row>
    <x:row r="13">
      <x:c r="A13" s="18" t="str">
        <x:v>状态转移规则（所有转移写入 event log：initiator, from, to, trigger, scope, reason, timestamp）</x:v>
      </x:c>
    </x:row>
    <x:row r="14" ht="30" customHeight="1">
      <x:c r="A14" s="24" t="str">
        <x:v>ID</x:v>
      </x:c>
      <x:c r="B14" s="24" t="str">
        <x:v>触发</x:v>
      </x:c>
      <x:c r="C14" s="24" t="str">
        <x:v>目标状态/权限</x:v>
      </x:c>
      <x:c r="D14" s="24" t="str">
        <x:v>发起者</x:v>
      </x:c>
      <x:c r="E14" s="24" t="str">
        <x:v>判定依据</x:v>
      </x:c>
      <x:c r="F14" s="24" t="str">
        <x:v>额外门槛</x:v>
      </x:c>
      <x:c r="G14" s="24" t="str">
        <x:v>硬规则</x:v>
      </x:c>
    </x:row>
    <x:row r="15">
      <x:c r="A15" s="20" t="str">
        <x:v>T0</x:v>
      </x:c>
      <x:c r="B15" s="20" t="str">
        <x:v>session start</x:v>
      </x:c>
      <x:c r="C15" s="20" t="str">
        <x:v>L0 Observe/L1 Infer</x:v>
      </x:c>
      <x:c r="D15" s="20" t="str">
        <x:v>system</x:v>
      </x:c>
      <x:c r="E15" s="20" t="str">
        <x:v>默认最小权限</x:v>
      </x:c>
      <x:c r="F15" s="20" t="str">
        <x:v>无</x:v>
      </x:c>
      <x:c r="G15" s="20" t="str">
        <x:v>不读取长期记忆直到项目/用户许可明确</x:v>
      </x:c>
    </x:row>
    <x:row r="16">
      <x:c r="A16" s="20" t="str">
        <x:v>T1</x:v>
      </x:c>
      <x:c r="B16" s="20" t="str">
        <x:v>证据积累且连续接受</x:v>
      </x:c>
      <x:c r="C16" s="20" t="str">
        <x:v>最多上升一级</x:v>
      </x:c>
      <x:c r="D16" s="20" t="str">
        <x:v>agent proposal + user acceptance</x:v>
      </x:c>
      <x:c r="E16" s="20" t="str">
        <x:v>calibrated confidence高；commitment高；低风险可逆</x:v>
      </x:c>
      <x:c r="F16" s="20" t="str">
        <x:v>≥2个独立成功episode；无近期repair</x:v>
      </x:c>
      <x:c r="G16" s="20" t="str">
        <x:v>有冷却期，禁止一次跳到apply</x:v>
      </x:c>
    </x:row>
    <x:row r="17">
      <x:c r="A17" s="20" t="str">
        <x:v>T2</x:v>
      </x:c>
      <x:c r="B17" s="20" t="str">
        <x:v>用户明确请求某动作</x:v>
      </x:c>
      <x:c r="C17" s="20" t="str">
        <x:v>仅授予请求scope所需权限</x:v>
      </x:c>
      <x:c r="D17" s="20" t="str">
        <x:v>human</x:v>
      </x:c>
      <x:c r="E17" s="20" t="str">
        <x:v>明确target/effect/scope</x:v>
      </x:c>
      <x:c r="F17" s="20" t="str">
        <x:v>仍受结构风险与确认硬边界限制</x:v>
      </x:c>
      <x:c r="G17" s="20" t="str">
        <x:v>请求不等于长期授权</x:v>
      </x:c>
    </x:row>
    <x:row r="18">
      <x:c r="A18" s="20" t="str">
        <x:v>T3</x:v>
      </x:c>
      <x:c r="B18" s="20" t="str">
        <x:v>候选接近或证据缺失</x:v>
      </x:c>
      <x:c r="C18" s="20" t="str">
        <x:v>降至Infer/Suggest/Preview</x:v>
      </x:c>
      <x:c r="D18" s="20" t="str">
        <x:v>system</x:v>
      </x:c>
      <x:c r="E18" s="20" t="str">
        <x:v>ambiguity高或关键field unknown</x:v>
      </x:c>
      <x:c r="F18" s="20" t="str">
        <x:v>显示差异/询问</x:v>
      </x:c>
      <x:c r="G18" s="20" t="str">
        <x:v>不能用历史case填补授权</x:v>
      </x:c>
    </x:row>
    <x:row r="19">
      <x:c r="A19" s="20" t="str">
        <x:v>T4</x:v>
      </x:c>
      <x:c r="B19" s="20" t="str">
        <x:v>约束冲突/高blast radius</x:v>
      </x:c>
      <x:c r="C19" s="20" t="str">
        <x:v>降至Preview/Ask</x:v>
      </x:c>
      <x:c r="D19" s="20" t="str">
        <x:v>system</x:v>
      </x:c>
      <x:c r="E19" s="20" t="str">
        <x:v>preserve冲突、拓扑或已承诺范围</x:v>
      </x:c>
      <x:c r="F19" s="20" t="str">
        <x:v>显示影响并确认</x:v>
      </x:c>
      <x:c r="G19" s="20" t="str">
        <x:v>无论intent confidence多高</x:v>
      </x:c>
    </x:row>
    <x:row r="20">
      <x:c r="A20" s="20" t="str">
        <x:v>T5</x:v>
      </x:c>
      <x:c r="B20" s="20" t="str">
        <x:v>undo/reject/repair</x:v>
      </x:c>
      <x:c r="C20" s="20" t="str">
        <x:v>apply和select立即为0</x:v>
      </x:c>
      <x:c r="D20" s="20" t="str">
        <x:v>human signal</x:v>
      </x:c>
      <x:c r="E20" s="20" t="str">
        <x:v>结果被否定或需修复</x:v>
      </x:c>
      <x:c r="F20" s="20" t="str">
        <x:v>诊断intent/target/frame/parameter/constraint/timing</x:v>
      </x:c>
      <x:c r="G20" s="20" t="str">
        <x:v>暂停长期记忆写入</x:v>
      </x:c>
    </x:row>
    <x:row r="21">
      <x:c r="A21" s="20" t="str">
        <x:v>T6</x:v>
      </x:c>
      <x:c r="B21" s="20" t="str">
        <x:v>counter-drag/grab tool/reclaim</x:v>
      </x:c>
      <x:c r="C21" s="20" t="str">
        <x:v>立即切到Human Control</x:v>
      </x:c>
      <x:c r="D21" s="20" t="str">
        <x:v>human</x:v>
      </x:c>
      <x:c r="E21" s="20" t="str">
        <x:v>用户直接反向输入或抢回工具</x:v>
      </x:c>
      <x:c r="F21" s="20" t="str">
        <x:v>Agent停止、不争辩、不延迟</x:v>
      </x:c>
      <x:c r="G21" s="20" t="str">
        <x:v>最高优先级，可跨级</x:v>
      </x:c>
    </x:row>
    <x:row r="22">
      <x:c r="A22" s="20" t="str">
        <x:v>T7</x:v>
      </x:c>
      <x:c r="B22" s="20" t="str">
        <x:v>用户忙碌/不可用</x:v>
      </x:c>
      <x:c r="C22" s="20" t="str">
        <x:v>保持最后安全状态或降级</x:v>
      </x:c>
      <x:c r="D22" s="20" t="str">
        <x:v>system</x:v>
      </x:c>
      <x:c r="E22" s="20" t="str">
        <x:v>高连续操作、注意负荷高</x:v>
      </x:c>
      <x:c r="F22" s="20" t="str">
        <x:v>延迟非关键主动建议</x:v>
      </x:c>
      <x:c r="G22" s="20" t="str">
        <x:v>不可因无响应自动升级</x:v>
      </x:c>
    </x:row>
    <x:row r="23">
      <x:c r="A23" s="20" t="str">
        <x:v>T8</x:v>
      </x:c>
      <x:c r="B23" s="20" t="str">
        <x:v>新工具/OOD/模型冲突</x:v>
      </x:c>
      <x:c r="C23" s="20" t="str">
        <x:v>降至Observe/Infer</x:v>
      </x:c>
      <x:c r="D23" s="20" t="str">
        <x:v>system</x:v>
      </x:c>
      <x:c r="E23" s="20" t="str">
        <x:v>解释链或能力边界不满足</x:v>
      </x:c>
      <x:c r="F23" s="20" t="str">
        <x:v>标unknown并记录新case候选</x:v>
      </x:c>
      <x:c r="G23" s="20" t="str">
        <x:v>禁止高置信伪装</x:v>
      </x:c>
    </x:row>
    <x:row r="24">
      <x:c r="A24" s="20" t="str">
        <x:v>T9</x:v>
      </x:c>
      <x:c r="B24" s="20" t="str">
        <x:v>确认成功并稳定</x:v>
      </x:c>
      <x:c r="C24" s="20" t="str">
        <x:v>允许写episode；长期记忆按类型门槛</x:v>
      </x:c>
      <x:c r="D24" s="20" t="str">
        <x:v>human outcome</x:v>
      </x:c>
      <x:c r="E24" s="20" t="str">
        <x:v>accept + provenance完整</x:v>
      </x:c>
      <x:c r="F24" s="20" t="str">
        <x:v>preference需跨episode；procedure需重复成功</x:v>
      </x:c>
      <x:c r="G24" s="20" t="str">
        <x:v>commitment项目内保存且可reopen</x:v>
      </x:c>
    </x:row>
    <x:row r="26">
      <x:c r="A26" s="9" t="str">
        <x:v>运行时决策顺序（风险硬边界优先于概率）</x:v>
      </x:c>
    </x:row>
    <x:row r="27">
      <x:c r="A27" s="17" t="str">
        <x:v>1 Hard gates</x:v>
      </x:c>
      <x:c r="B27" s="17" t="str">
        <x:v>privacy/permission</x:v>
      </x:c>
      <x:c r="C27" s="17" t="str">
        <x:v>OOD/capability</x:v>
      </x:c>
      <x:c r="D27" s="17" t="str">
        <x:v>constraint conflict</x:v>
      </x:c>
      <x:c r="E27" s="17" t="str">
        <x:v>blast radius</x:v>
      </x:c>
      <x:c r="F27" s="17" t="str">
        <x:v>commitment protection</x:v>
      </x:c>
      <x:c r="G27" s="17" t="str">
        <x:v>human reclaim</x:v>
      </x:c>
      <x:c r="H27" s="17" t="str">
        <x:v>任一失败即降级</x:v>
      </x:c>
    </x:row>
    <x:row r="28">
      <x:c r="A28" s="17" t="str">
        <x:v>2 Belief</x:v>
      </x:c>
      <x:c r="B28" s="17" t="str">
        <x:v>Top-k intent</x:v>
      </x:c>
      <x:c r="C28" s="17" t="str">
        <x:v>reference frame</x:v>
      </x:c>
      <x:c r="D28" s="17" t="str">
        <x:v>scope</x:v>
      </x:c>
      <x:c r="E28" s="17" t="str">
        <x:v>commitment</x:v>
      </x:c>
      <x:c r="F28" s="17" t="str">
        <x:v>ambiguity</x:v>
      </x:c>
      <x:c r="G28" s="17" t="str">
        <x:v>evidence/counterevidence</x:v>
      </x:c>
      <x:c r="H28" s="17" t="str">
        <x:v>只形成信念</x:v>
      </x:c>
    </x:row>
    <x:row r="29">
      <x:c r="A29" s="17" t="str">
        <x:v>3 Utility</x:v>
      </x:c>
      <x:c r="B29" s="17" t="str">
        <x:v>task gain</x:v>
      </x:c>
      <x:c r="C29" s="17" t="str">
        <x:v>information gain</x:v>
      </x:c>
      <x:c r="D29" s="17" t="str">
        <x:v>reversibility</x:v>
      </x:c>
      <x:c r="E29" s="17" t="str">
        <x:v>interruption cost</x:v>
      </x:c>
      <x:c r="F29" s="17" t="str">
        <x:v>agency cost</x:v>
      </x:c>
      <x:c r="G29" s="17" t="str">
        <x:v>memory conflict</x:v>
      </x:c>
      <x:c r="H29" s="17" t="str">
        <x:v>选最低必要权限</x:v>
      </x:c>
    </x:row>
    <x:row r="30">
      <x:c r="A30" s="17" t="str">
        <x:v>4 Legibility</x:v>
      </x:c>
      <x:c r="B30" s="17" t="str">
        <x:v>before/after</x:v>
      </x:c>
      <x:c r="C30" s="17" t="str">
        <x:v>changed scope</x:v>
      </x:c>
      <x:c r="D30" s="17" t="str">
        <x:v>preserved constraints</x:v>
      </x:c>
      <x:c r="E30" s="17" t="str">
        <x:v>alternatives</x:v>
      </x:c>
      <x:c r="F30" s="17" t="str">
        <x:v>confidence/source</x:v>
      </x:c>
      <x:c r="G30" s="17" t="str">
        <x:v>undo path</x:v>
      </x:c>
      <x:c r="H30" s="17" t="str">
        <x:v>无法说明则不apply</x:v>
      </x:c>
    </x:row>
    <x:row r="31">
      <x:c r="A31" s="17" t="str">
        <x:v>5 Evaluation</x:v>
      </x:c>
      <x:c r="B31" s="17" t="str">
        <x:v>switch count</x:v>
      </x:c>
      <x:c r="C31" s="17" t="str">
        <x:v>control conflict</x:v>
      </x:c>
      <x:c r="D31" s="17" t="str">
        <x:v>reclaim latency</x:v>
      </x:c>
      <x:c r="E31" s="17" t="str">
        <x:v>surprise/violation</x:v>
      </x:c>
      <x:c r="F31" s="17" t="str">
        <x:v>repair burden</x:v>
      </x:c>
      <x:c r="G31" s="17" t="str">
        <x:v>agency/ownership</x:v>
      </x:c>
      <x:c r="H31" s="17" t="str">
        <x:v>加任务性能和负荷</x:v>
      </x:c>
    </x:row>
    <x:row r="33">
      <x:c r="A33" s="49" t="str">
        <x:v>推荐实验条件：Human-initiated adjustable autonomy vs Agent-adaptive autonomy vs Mixed-initiative negotiated autonomy；按任务阶段与风险分层。</x:v>
      </x:c>
    </x:row>
  </x:sheetData>
  <x:mergeCells>
    <x:mergeCell ref="A1:H1"/>
    <x:mergeCell ref="A2:H2"/>
    <x:mergeCell ref="A13:H13"/>
    <x:mergeCell ref="A26:H26"/>
    <x:mergeCell ref="A33:H33"/>
  </x:mergeCells>
  <x:pageMargins left="0.7" right="0.7" top="0.75" bottom="0.75" header="0.3" footer="0.3"/>
  <x:tableParts count="2">
    <x:tablePart xmlns:r="http://schemas.openxmlformats.org/officeDocument/2006/relationships" r:id="R67bf441c869f4ff6"/>
    <x:tablePart xmlns:r="http://schemas.openxmlformats.org/officeDocument/2006/relationships" r:id="R55389f3257464f4f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</x:cols>
  <x:sheetData>
    <x:row r="1" ht="30" customHeight="1">
      <x:c r="A1" s="3" t="str">
        <x:v>Intent Hypothesis Graph：可执行中间表示规范</x:v>
      </x:c>
    </x:row>
    <x:row r="2" ht="30" customHeight="1">
      <x:c r="A2" s="7" t="str">
        <x:v>同时表示观察证据、用户目标假设、用户可能的世界/工具信念、竞争解释、结果和来源；unknown/other是必要状态，不是标注失败。</x:v>
      </x:c>
    </x:row>
    <x:row r="4" ht="30" customHeight="1">
      <x:c r="A4" s="24" t="str">
        <x:v>节点类型</x:v>
      </x:c>
      <x:c r="B4" s="24" t="str">
        <x:v>必需字段</x:v>
      </x:c>
      <x:c r="C4" s="24" t="str">
        <x:v>认识论状态</x:v>
      </x:c>
      <x:c r="D4" s="24" t="str">
        <x:v>更新规则</x:v>
      </x:c>
      <x:c r="E4" s="24" t="str">
        <x:v>例子/边界</x:v>
      </x:c>
    </x:row>
    <x:row r="5">
      <x:c r="A5" s="20" t="str">
        <x:v>ObservationEvent</x:v>
      </x:c>
      <x:c r="B5" s="20" t="str">
        <x:v>event_id,time,actor,modality,target,raw_value</x:v>
      </x:c>
      <x:c r="C5" s="20" t="str">
        <x:v>事实/日志</x:v>
      </x:c>
      <x:c r="D5" s="20" t="str">
        <x:v>append-only</x:v>
      </x:c>
      <x:c r="E5" s="20" t="str">
        <x:v>select/drag/pause/undo/speech/camera</x:v>
      </x:c>
    </x:row>
    <x:row r="6">
      <x:c r="A6" s="20" t="str">
        <x:v>ContextState</x:v>
      </x:c>
      <x:c r="B6" s="20" t="str">
        <x:v>scene_version,tool,mode,view,selection,design_stage</x:v>
      </x:c>
      <x:c r="C6" s="20" t="str">
        <x:v>事实+推断</x:v>
      </x:c>
      <x:c r="D6" s="20" t="str">
        <x:v>每事件更新并版本化</x:v>
      </x:c>
      <x:c r="E6" s="20" t="str">
        <x:v>不能覆盖历史状态</x:v>
      </x:c>
    </x:row>
    <x:row r="7">
      <x:c r="A7" s="20" t="str">
        <x:v>GoalHypothesis</x:v>
      </x:c>
      <x:c r="B7" s="20" t="str">
        <x:v>goal_id,level,description,probability,status</x:v>
      </x:c>
      <x:c r="C7" s="20" t="str">
        <x:v>推断</x:v>
      </x:c>
      <x:c r="D7" s="20" t="str">
        <x:v>normalize; split/merge/supersede</x:v>
      </x:c>
      <x:c r="E7" s="20" t="str">
        <x:v>project→stage→edit→operation→motor</x:v>
      </x:c>
    </x:row>
    <x:row r="8">
      <x:c r="A8" s="20" t="str">
        <x:v>UserBeliefHypothesis</x:v>
      </x:c>
      <x:c r="B8" s="20" t="str">
        <x:v>belief_id,scene/tool/frame belief,probability</x:v>
      </x:c>
      <x:c r="C8" s="20" t="str">
        <x:v>推断</x:v>
      </x:c>
      <x:c r="D8" s="20" t="str">
        <x:v>与goal联合更新</x:v>
      </x:c>
      <x:c r="E8" s="20" t="str">
        <x:v>用户可能误解mode或局部轴</x:v>
      </x:c>
    </x:row>
    <x:row r="9">
      <x:c r="A9" s="20" t="str">
        <x:v>Target</x:v>
      </x:c>
      <x:c r="B9" s="20" t="str">
        <x:v>object_id,semantic_part,scope</x:v>
      </x:c>
      <x:c r="C9" s="20" t="str">
        <x:v>事实+推断</x:v>
      </x:c>
      <x:c r="D9" s="20" t="str">
        <x:v>允许多候选</x:v>
      </x:c>
      <x:c r="E9" s="20" t="str">
        <x:v>object/part/region/scene</x:v>
      </x:c>
    </x:row>
    <x:row r="10">
      <x:c r="A10" s="20" t="str">
        <x:v>DesiredEffect</x:v>
      </x:c>
      <x:c r="B10" s="20" t="str">
        <x:v>semantic effect,visual/function delta</x:v>
      </x:c>
      <x:c r="C10" s="20" t="str">
        <x:v>推断</x:v>
      </x:c>
      <x:c r="D10" s="20" t="str">
        <x:v>由结果修订</x:v>
      </x:c>
      <x:c r="E10" s="20" t="str">
        <x:v>区别于operation family</x:v>
      </x:c>
    </x:row>
    <x:row r="11">
      <x:c r="A11" s="20" t="str">
        <x:v>Operation</x:v>
      </x:c>
      <x:c r="B11" s="20" t="str">
        <x:v>family,parameters,trajectory</x:v>
      </x:c>
      <x:c r="C11" s="20" t="str">
        <x:v>事实+推断</x:v>
      </x:c>
      <x:c r="D11" s="20" t="str">
        <x:v>绑定工具和frame</x:v>
      </x:c>
      <x:c r="E11" s="20" t="str">
        <x:v>translate/deform/generate/compare</x:v>
      </x:c>
    </x:row>
    <x:row r="12">
      <x:c r="A12" s="20" t="str">
        <x:v>ReferenceFrame</x:v>
      </x:c>
      <x:c r="B12" s="20" t="str">
        <x:v>world/local/view/surface_normal/semantic_axis</x:v>
      </x:c>
      <x:c r="C12" s="20" t="str">
        <x:v>推断</x:v>
      </x:c>
      <x:c r="D12" s="20" t="str">
        <x:v>竞争节点</x:v>
      </x:c>
      <x:c r="E12" s="20" t="str">
        <x:v>不能只存最终Top-1</x:v>
      </x:c>
    </x:row>
    <x:row r="13">
      <x:c r="A13" s="20" t="str">
        <x:v>Constraint</x:v>
      </x:c>
      <x:c r="B13" s="20" t="str">
        <x:v>type,target,polarity,confidence,source</x:v>
      </x:c>
      <x:c r="C13" s="20" t="str">
        <x:v>表达/推断</x:v>
      </x:c>
      <x:c r="D13" s="20" t="str">
        <x:v>confirm后才升级为guardrail</x:v>
      </x:c>
      <x:c r="E13" s="20" t="str">
        <x:v>preserve symmetry/topology/identity</x:v>
      </x:c>
    </x:row>
    <x:row r="14">
      <x:c r="A14" s="20" t="str">
        <x:v>Evidence</x:v>
      </x:c>
      <x:c r="B14" s="20" t="str">
        <x:v>evidence_id,time span,source,strength,visibility</x:v>
      </x:c>
      <x:c r="C14" s="20" t="str">
        <x:v>事实+分析</x:v>
      </x:c>
      <x:c r="D14" s="20" t="str">
        <x:v>不可脱离原始记录</x:v>
      </x:c>
      <x:c r="E14" s="20" t="str">
        <x:v>支持或反驳具体hypothesis</x:v>
      </x:c>
    </x:row>
    <x:row r="15">
      <x:c r="A15" s="20" t="str">
        <x:v>CommitmentState</x:v>
      </x:c>
      <x:c r="B15" s="20" t="str">
        <x:v>exploratory/tentative/committed/unknown</x:v>
      </x:c>
      <x:c r="C15" s="20" t="str">
        <x:v>推断+确认</x:v>
      </x:c>
      <x:c r="D15" s="20" t="str">
        <x:v>与goal confidence独立更新</x:v>
      </x:c>
      <x:c r="E15" s="20" t="str">
        <x:v>作用于权限策略</x:v>
      </x:c>
    </x:row>
    <x:row r="16">
      <x:c r="A16" s="20" t="str">
        <x:v>Outcome</x:v>
      </x:c>
      <x:c r="B16" s="20" t="str">
        <x:v>accept/modify/reject/undo/takeover/unresolved</x:v>
      </x:c>
      <x:c r="C16" s="20" t="str">
        <x:v>事实+人工</x:v>
      </x:c>
      <x:c r="D16" s="20" t="str">
        <x:v>episode结束写入</x:v>
      </x:c>
      <x:c r="E16" s="20" t="str">
        <x:v>决定case role</x:v>
      </x:c>
    </x:row>
    <x:row r="17">
      <x:c r="A17" s="20" t="str">
        <x:v>Repair</x:v>
      </x:c>
      <x:c r="B17" s="20" t="str">
        <x:v>intent/target/frame/operation/parameter/scope/constraint/timing/authority</x:v>
      </x:c>
      <x:c r="C17" s="20" t="str">
        <x:v>推断+确认</x:v>
      </x:c>
      <x:c r="D17" s="20" t="str">
        <x:v>诊断后更新</x:v>
      </x:c>
      <x:c r="E17" s="20" t="str">
        <x:v>undo不直接等于intent错误</x:v>
      </x:c>
    </x:row>
    <x:row r="18">
      <x:c r="A18" s="20" t="str">
        <x:v>AuthoritySnapshot</x:v>
      </x:c>
      <x:c r="B18" s="20" t="str">
        <x:v>authority vector,risk,reversibility,initiator</x:v>
      </x:c>
      <x:c r="C18" s="20" t="str">
        <x:v>策略输出</x:v>
      </x:c>
      <x:c r="D18" s="20" t="str">
        <x:v>每次转移记录</x:v>
      </x:c>
      <x:c r="E18" s="20" t="str">
        <x:v>不能反向定义用户意图</x:v>
      </x:c>
    </x:row>
    <x:row r="19">
      <x:c r="A19" s="20" t="str">
        <x:v>Provenance</x:v>
      </x:c>
      <x:c r="B19" s="20" t="str">
        <x:v>source_type,model,prompt,coder,validation,version</x:v>
      </x:c>
      <x:c r="C19" s="20" t="str">
        <x:v>元数据</x:v>
      </x:c>
      <x:c r="D19" s="20" t="str">
        <x:v>append-only</x:v>
      </x:c>
      <x:c r="E19" s="20" t="str">
        <x:v>控制检索和评估资格</x:v>
      </x:c>
    </x:row>
    <x:row r="21">
      <x:c r="A21" s="18" t="str">
        <x:v>核心边类型</x:v>
      </x:c>
    </x:row>
    <x:row r="22" ht="30" customHeight="1">
      <x:c r="A22" s="24" t="str">
        <x:v>边</x:v>
      </x:c>
      <x:c r="B22" s="24" t="str">
        <x:v>连接</x:v>
      </x:c>
      <x:c r="C22" s="24" t="str">
        <x:v>属性</x:v>
      </x:c>
      <x:c r="D22" s="24" t="str">
        <x:v>硬规则</x:v>
      </x:c>
    </x:row>
    <x:row r="23">
      <x:c r="A23" s="20" t="str">
        <x:v>supports / contradicts</x:v>
      </x:c>
      <x:c r="B23" s="20" t="str">
        <x:v>Evidence → Hypothesis</x:v>
      </x:c>
      <x:c r="C23" s="20" t="str">
        <x:v>带weight和source</x:v>
      </x:c>
      <x:c r="D23" s="20" t="str">
        <x:v>必须可追溯到时间段/日志</x:v>
      </x:c>
    </x:row>
    <x:row r="24">
      <x:c r="A24" s="20" t="str">
        <x:v>refines / part_of</x:v>
      </x:c>
      <x:c r="B24" s="20" t="str">
        <x:v>低层Goal → 高层Goal</x:v>
      </x:c>
      <x:c r="C24" s="20" t="str">
        <x:v>形成层级</x:v>
      </x:c>
      <x:c r="D24" s="20" t="str">
        <x:v>低层置信不自动传播为高层置信</x:v>
      </x:c>
    </x:row>
    <x:row r="25">
      <x:c r="A25" s="20" t="str">
        <x:v>supersedes</x:v>
      </x:c>
      <x:c r="B25" s="20" t="str">
        <x:v>新Hypothesis → 旧Hypothesis</x:v>
      </x:c>
      <x:c r="C25" s="20" t="str">
        <x:v>意图修订</x:v>
      </x:c>
      <x:c r="D25" s="20" t="str">
        <x:v>旧节点保留，不物理删除</x:v>
      </x:c>
    </x:row>
    <x:row r="26">
      <x:c r="A26" s="20" t="str">
        <x:v>targets / affects</x:v>
      </x:c>
      <x:c r="B26" s="20" t="str">
        <x:v>Goal或Operation → Target</x:v>
      </x:c>
      <x:c r="C26" s="20" t="str">
        <x:v>定义scope</x:v>
      </x:c>
      <x:c r="D26" s="20" t="str">
        <x:v>目标不确定时允许多条边</x:v>
      </x:c>
    </x:row>
    <x:row r="27">
      <x:c r="A27" s="20" t="str">
        <x:v>uses_frame</x:v>
      </x:c>
      <x:c r="B27" s="20" t="str">
        <x:v>Operation/Goal → ReferenceFrame</x:v>
      </x:c>
      <x:c r="C27" s="20" t="str">
        <x:v>3D解释</x:v>
      </x:c>
      <x:c r="D27" s="20" t="str">
        <x:v>多个frame竞争</x:v>
      </x:c>
    </x:row>
    <x:row r="28">
      <x:c r="A28" s="20" t="str">
        <x:v>preserves / violates</x:v>
      </x:c>
      <x:c r="B28" s="20" t="str">
        <x:v>Operation/Outcome → Constraint</x:v>
      </x:c>
      <x:c r="C28" s="20" t="str">
        <x:v>安全检查</x:v>
      </x:c>
      <x:c r="D28" s="20" t="str">
        <x:v>violates触发preview/confirm</x:v>
      </x:c>
    </x:row>
    <x:row r="29">
      <x:c r="A29" s="20" t="str">
        <x:v>explained_by</x:v>
      </x:c>
      <x:c r="B29" s="20" t="str">
        <x:v>Observation → Goal+UserBelief组合</x:v>
      </x:c>
      <x:c r="C29" s="20" t="str">
        <x:v>逆向规划</x:v>
      </x:c>
      <x:c r="D29" s="20" t="str">
        <x:v>允许不同belief解释同一动作</x:v>
      </x:c>
    </x:row>
    <x:row r="30">
      <x:c r="A30" s="20" t="str">
        <x:v>causes / repairs</x:v>
      </x:c>
      <x:c r="B30" s="20" t="str">
        <x:v>AgentAction/Outcome/Repair链</x:v>
      </x:c>
      <x:c r="C30" s="20" t="str">
        <x:v>失败诊断</x:v>
      </x:c>
      <x:c r="D30" s="20" t="str">
        <x:v>区分意图错与参数错</x:v>
      </x:c>
    </x:row>
    <x:row r="31">
      <x:c r="A31" s="20" t="str">
        <x:v>retrieved_from</x:v>
      </x:c>
      <x:c r="B31" s="20" t="str">
        <x:v>Hypothesis → MemoryCase</x:v>
      </x:c>
      <x:c r="C31" s="20" t="str">
        <x:v>案例证据</x:v>
      </x:c>
      <x:c r="D31" s="20" t="str">
        <x:v>不能变成authority边</x:v>
      </x:c>
    </x:row>
    <x:row r="32">
      <x:c r="A32" s="20" t="str">
        <x:v>validated_by</x:v>
      </x:c>
      <x:c r="B32" s="20" t="str">
        <x:v>Hypothesis → narration/recall/task/outcome</x:v>
      </x:c>
      <x:c r="C32" s="20" t="str">
        <x:v>证据层级</x:v>
      </x:c>
      <x:c r="D32" s="20" t="str">
        <x:v>教程表达与creator确认分开</x:v>
      </x:c>
    </x:row>
    <x:row r="34">
      <x:c r="A34" s="9" t="str">
        <x:v>在线更新顺序</x:v>
      </x:c>
    </x:row>
    <x:row r="35" ht="42" customHeight="1">
      <x:c r="A35" s="17" t="str">
        <x:v>1 Ingest</x:v>
      </x:c>
      <x:c r="B35" s="17" t="str">
        <x:v>追加ObservationEvent</x:v>
      </x:c>
      <x:c r="C35" s="17" t="str">
        <x:v>更新ContextState版本</x:v>
      </x:c>
      <x:c r="D35" s="17" t="str">
        <x:v>记录missing/visibility</x:v>
      </x:c>
      <x:c r="E35" s="17" t="str">
        <x:v>不立即给唯一意图</x:v>
      </x:c>
      <x:c r="F35" s="17" t="str"/>
      <x:c r="G35" s="17" t="str"/>
      <x:c r="H35" s="17" t="str"/>
    </x:row>
    <x:row r="36" ht="42" customHeight="1">
      <x:c r="A36" s="17" t="str">
        <x:v>2 Propose</x:v>
      </x:c>
      <x:c r="B36" s="17" t="str">
        <x:v>由规则/VLM/plan model提出Top-k Goal+UserBelief组合</x:v>
      </x:c>
      <x:c r="C36" s="17" t="str">
        <x:v>加入unknown/other质量</x:v>
      </x:c>
      <x:c r="D36" s="17" t="str">
        <x:v>生成target/effect/frame候选</x:v>
      </x:c>
      <x:c r="E36" s="17" t="str"/>
      <x:c r="F36" s="17" t="str"/>
      <x:c r="G36" s="17" t="str"/>
      <x:c r="H36" s="17" t="str"/>
    </x:row>
    <x:row r="37" ht="42" customHeight="1">
      <x:c r="A37" s="17" t="str">
        <x:v>3 Retrieve</x:v>
      </x:c>
      <x:c r="B37" s="17" t="str">
        <x:v>检索support/near-miss/failed/alternative cases</x:v>
      </x:c>
      <x:c r="C37" s="17" t="str">
        <x:v>只添加Evidence/retrieved_from</x:v>
      </x:c>
      <x:c r="D37" s="17" t="str">
        <x:v>不复制历史authority</x:v>
      </x:c>
      <x:c r="E37" s="17" t="str"/>
      <x:c r="F37" s="17" t="str"/>
      <x:c r="G37" s="17" t="str"/>
      <x:c r="H37" s="17" t="str"/>
    </x:row>
    <x:row r="38" ht="42" customHeight="1">
      <x:c r="A38" s="17" t="str">
        <x:v>4 Update</x:v>
      </x:c>
      <x:c r="B38" s="17" t="str">
        <x:v>posterior ∝ prior × event likelihood × plan fit × case evidence</x:v>
      </x:c>
      <x:c r="C38" s="17" t="str">
        <x:v>constraint conflict单独记录</x:v>
      </x:c>
      <x:c r="D38" s="17" t="str">
        <x:v>model mismatch提高unknown mass</x:v>
      </x:c>
      <x:c r="E38" s="17" t="str"/>
      <x:c r="F38" s="17" t="str"/>
      <x:c r="G38" s="17" t="str"/>
      <x:c r="H38" s="17" t="str"/>
    </x:row>
    <x:row r="39" ht="42" customHeight="1">
      <x:c r="A39" s="17" t="str">
        <x:v>5 Commitment</x:v>
      </x:c>
      <x:c r="B39" s="17" t="str">
        <x:v>根据语言、保留、比较、撤销、阶段独立更新</x:v>
      </x:c>
      <x:c r="C39" s="17" t="str">
        <x:v>不由goal posterior替代</x:v>
      </x:c>
      <x:c r="D39" s="17" t="str"/>
      <x:c r="E39" s="17" t="str"/>
      <x:c r="F39" s="17" t="str"/>
      <x:c r="G39" s="17" t="str"/>
      <x:c r="H39" s="17" t="str"/>
    </x:row>
    <x:row r="40" ht="42" customHeight="1">
      <x:c r="A40" s="17" t="str">
        <x:v>6 Policy</x:v>
      </x:c>
      <x:c r="B40" s="17" t="str">
        <x:v>Authority State Machine读取posterior/unknown/commitment/risk/reversibility</x:v>
      </x:c>
      <x:c r="C40" s="17" t="str">
        <x:v>输出observe/ask/suggest/preview/apply</x:v>
      </x:c>
      <x:c r="D40" s="17" t="str"/>
      <x:c r="E40" s="17" t="str"/>
      <x:c r="F40" s="17" t="str"/>
      <x:c r="G40" s="17" t="str"/>
      <x:c r="H40" s="17" t="str"/>
    </x:row>
    <x:row r="41" ht="42" customHeight="1">
      <x:c r="A41" s="17" t="str">
        <x:v>7 Outcome</x:v>
      </x:c>
      <x:c r="B41" s="17" t="str">
        <x:v>写accept/reject/repair；修订或supersede假设</x:v>
      </x:c>
      <x:c r="C41" s="17" t="str">
        <x:v>按provenance和确认度决定case retention</x:v>
      </x:c>
      <x:c r="D41" s="17" t="str"/>
      <x:c r="E41" s="17" t="str"/>
      <x:c r="F41" s="17" t="str"/>
      <x:c r="G41" s="17" t="str"/>
      <x:c r="H41" s="17" t="str"/>
    </x:row>
    <x:row r="43">
      <x:c r="A43" s="30" t="str">
        <x:v>最低运行时输出：{episode_id, context_version, hypotheses:[{goal, user_belief, target, effect, operation, frame, constraints, p, evidence_ids, counterevidence_ids}], unknown_mass, commitment, ambiguity, model_fit, authority_snapshot, provenance}.  评价时同时报告Top-k、校准、unknown detection、frame错误、约束漏报与权限严重错误。</x:v>
      </x:c>
      <x:c r="B43" s="31"/>
      <x:c r="C43" s="31"/>
      <x:c r="D43" s="31"/>
      <x:c r="E43" s="31"/>
      <x:c r="F43" s="31"/>
      <x:c r="G43" s="31"/>
      <x:c r="H43" s="40"/>
    </x:row>
    <x:row r="44">
      <x:c r="A44" s="34"/>
      <x:c r="B44" s="28"/>
      <x:c r="C44" s="28"/>
      <x:c r="D44" s="28"/>
      <x:c r="E44" s="28"/>
      <x:c r="F44" s="28"/>
      <x:c r="G44" s="28"/>
      <x:c r="H44" s="41"/>
    </x:row>
    <x:row r="45">
      <x:c r="A45" s="36"/>
      <x:c r="B45" s="37"/>
      <x:c r="C45" s="37"/>
      <x:c r="D45" s="37"/>
      <x:c r="E45" s="37"/>
      <x:c r="F45" s="37"/>
      <x:c r="G45" s="37"/>
      <x:c r="H45" s="42"/>
    </x:row>
  </x:sheetData>
  <x:mergeCells>
    <x:mergeCell ref="A1:H1"/>
    <x:mergeCell ref="A2:H2"/>
    <x:mergeCell ref="A21:H21"/>
    <x:mergeCell ref="A34:H34"/>
    <x:mergeCell ref="A43:H45"/>
  </x:mergeCells>
  <x:pageMargins left="0.7" right="0.7" top="0.75" bottom="0.75" header="0.3" footer="0.3"/>
  <x:tableParts count="2">
    <x:tablePart xmlns:r="http://schemas.openxmlformats.org/officeDocument/2006/relationships" r:id="R6c685556c8e641b3"/>
    <x:tablePart xmlns:r="http://schemas.openxmlformats.org/officeDocument/2006/relationships" r:id="R3d6dc8e2b78e4708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48" hidden="0" customWidth="1"/>
    <x:col min="3" max="3" width="9" hidden="0" customWidth="1"/>
    <x:col min="4" max="4" width="28" hidden="0" customWidth="1"/>
    <x:col min="5" max="5" width="25" hidden="0" customWidth="1"/>
    <x:col min="6" max="6" width="32" hidden="0" customWidth="1"/>
    <x:col min="7" max="7" width="11" hidden="0" customWidth="1"/>
    <x:col min="8" max="8" width="12" hidden="0" customWidth="1"/>
    <x:col min="9" max="9" width="13" hidden="0" customWidth="1"/>
    <x:col min="10" max="10" width="13" hidden="0" customWidth="1"/>
    <x:col min="11" max="11" width="14" hidden="0" customWidth="1"/>
    <x:col min="12" max="12" width="25" hidden="0" customWidth="1"/>
    <x:col min="13" max="13" width="32" hidden="0" customWidth="1"/>
    <x:col min="14" max="14" width="15" hidden="0" customWidth="1"/>
    <x:col min="15" max="15" width="30" hidden="0" customWidth="1"/>
  </x:cols>
  <x:sheetData>
    <x:row r="1" ht="30" customHeight="1">
      <x:c r="A1" s="3" t="str">
        <x:v>证据质量与 DC1 适用性审计</x:v>
      </x:c>
    </x:row>
    <x:row r="2" ht="30" customHeight="1">
      <x:c r="A2" s="7" t="str">
        <x:v>评分是用于综述决策的适用性 triage，不是研究偏差风险或效应强度评分。未完成 full-method appraisal 的文献不得单独支撑强因果声称。</x:v>
      </x:c>
    </x:row>
    <x:row r="4">
      <x:c r="A4" s="9" t="str">
        <x:v>评分分量</x:v>
      </x:c>
      <x:c r="B4" s="9" t="str">
        <x:v>量程</x:v>
      </x:c>
      <x:c r="C4" s="9" t="str">
        <x:v>可审计定义</x:v>
      </x:c>
      <x:c r="D4" s="9" t="str"/>
      <x:c r="E4" s="9" t="str">
        <x:v>权重</x:v>
      </x:c>
      <x:c r="F4" s="72" t="str">
        <x:v>审计规则：① Study type 为题录/综合文本的暂定分类，必须由第二评审者核对；② Method appraisal=待完成时，不得将决策效用分解读为研究质量；③ 证据访问当前保守记为1，直到完整方法与结果已复核；④ 强因果、性能或人因声称需另行使用合适的risk-of-bias/checklist。</x:v>
      </x:c>
      <x:c r="G4" s="73"/>
      <x:c r="H4" s="73"/>
      <x:c r="I4" s="73"/>
      <x:c r="J4" s="73"/>
      <x:c r="K4" s="73"/>
      <x:c r="L4" s="73"/>
      <x:c r="M4" s="73"/>
      <x:c r="N4" s="73"/>
      <x:c r="O4" s="74"/>
    </x:row>
    <x:row r="5" ht="34" customHeight="1">
      <x:c r="A5" s="17" t="str">
        <x:v>证据访问</x:v>
      </x:c>
      <x:c r="B5" s="17" t="str">
        <x:v>0–2</x:v>
      </x:c>
      <x:c r="C5" s="17" t="str">
        <x:v>0=仅题录；1=摘要/扩展摘要/作者版；2=完整方法与结果已审查</x:v>
      </x:c>
      <x:c r="D5" s="17" t="str"/>
      <x:c r="E5" s="53" t="n">
        <x:v>0.15</x:v>
      </x:c>
      <x:c r="F5" s="75"/>
      <x:c r="G5" s="76"/>
      <x:c r="H5" s="76"/>
      <x:c r="I5" s="76"/>
      <x:c r="J5" s="76"/>
      <x:c r="K5" s="76"/>
      <x:c r="L5" s="76"/>
      <x:c r="M5" s="76"/>
      <x:c r="N5" s="76"/>
      <x:c r="O5" s="77"/>
    </x:row>
    <x:row r="6" ht="34" customHeight="1">
      <x:c r="A6" s="17" t="str">
        <x:v>元数据完整</x:v>
      </x:c>
      <x:c r="B6" s="17" t="str">
        <x:v>0–2</x:v>
      </x:c>
      <x:c r="C6" s="17" t="str">
        <x:v>DOI/URL、年份、作者、出处等可追溯字段完整度</x:v>
      </x:c>
      <x:c r="D6" s="17" t="str"/>
      <x:c r="E6" s="53" t="n">
        <x:v>0.1</x:v>
      </x:c>
      <x:c r="F6" s="75"/>
      <x:c r="G6" s="76"/>
      <x:c r="H6" s="76"/>
      <x:c r="I6" s="76"/>
      <x:c r="J6" s="76"/>
      <x:c r="K6" s="76"/>
      <x:c r="L6" s="76"/>
      <x:c r="M6" s="76"/>
      <x:c r="N6" s="76"/>
      <x:c r="O6" s="77"/>
    </x:row>
    <x:row r="7" ht="34" customHeight="1">
      <x:c r="A7" s="17" t="str">
        <x:v>DC1 直接性</x:v>
      </x:c>
      <x:c r="B7" s="17" t="str">
        <x:v>1–3</x:v>
      </x:c>
      <x:c r="C7" s="17" t="str">
        <x:v>3=直接解释3D操作/意图/参考系；2=支撑记忆/共创/权限/编码；1=背景</x:v>
      </x:c>
      <x:c r="D7" s="17" t="str"/>
      <x:c r="E7" s="53" t="n">
        <x:v>0.3</x:v>
      </x:c>
      <x:c r="F7" s="75"/>
      <x:c r="G7" s="76"/>
      <x:c r="H7" s="76"/>
      <x:c r="I7" s="76"/>
      <x:c r="J7" s="76"/>
      <x:c r="K7" s="76"/>
      <x:c r="L7" s="76"/>
      <x:c r="M7" s="76"/>
      <x:c r="N7" s="76"/>
      <x:c r="O7" s="77"/>
    </x:row>
    <x:row r="8" ht="34" customHeight="1">
      <x:c r="A8" s="17" t="str">
        <x:v>可迁移性</x:v>
      </x:c>
      <x:c r="B8" s="17" t="str">
        <x:v>1–3</x:v>
      </x:c>
      <x:c r="C8" s="17" t="str">
        <x:v>3=可直接转为交互机制；2=需跨领域映射；1=窄场景</x:v>
      </x:c>
      <x:c r="D8" s="17" t="str"/>
      <x:c r="E8" s="53" t="n">
        <x:v>0.2</x:v>
      </x:c>
      <x:c r="F8" s="75"/>
      <x:c r="G8" s="76"/>
      <x:c r="H8" s="76"/>
      <x:c r="I8" s="76"/>
      <x:c r="J8" s="76"/>
      <x:c r="K8" s="76"/>
      <x:c r="L8" s="76"/>
      <x:c r="M8" s="76"/>
      <x:c r="N8" s="76"/>
      <x:c r="O8" s="77"/>
    </x:row>
    <x:row r="9" ht="34" customHeight="1">
      <x:c r="A9" s="17" t="str">
        <x:v>实现效用</x:v>
      </x:c>
      <x:c r="B9" s="17" t="str">
        <x:v>1–3</x:v>
      </x:c>
      <x:c r="C9" s="17" t="str">
        <x:v>3=明确字段/策略/边界；2=提供原则；1=仅定位论点</x:v>
      </x:c>
      <x:c r="D9" s="17" t="str"/>
      <x:c r="E9" s="53" t="n">
        <x:v>0.25</x:v>
      </x:c>
      <x:c r="F9" s="78"/>
      <x:c r="G9" s="79"/>
      <x:c r="H9" s="79"/>
      <x:c r="I9" s="79"/>
      <x:c r="J9" s="79"/>
      <x:c r="K9" s="79"/>
      <x:c r="L9" s="79"/>
      <x:c r="M9" s="79"/>
      <x:c r="N9" s="79"/>
      <x:c r="O9" s="80"/>
    </x:row>
    <x:row r="12" ht="30" customHeight="1">
      <x:c r="A12" s="24" t="str">
        <x:v>ID</x:v>
      </x:c>
      <x:c r="B12" s="24" t="str">
        <x:v>题名</x:v>
      </x:c>
      <x:c r="C12" s="24" t="str">
        <x:v>年份</x:v>
      </x:c>
      <x:c r="D12" s="24" t="str">
        <x:v>证据角色</x:v>
      </x:c>
      <x:c r="E12" s="24" t="str">
        <x:v>研究类型（暂定）</x:v>
      </x:c>
      <x:c r="F12" s="24" t="str">
        <x:v>访问层级</x:v>
      </x:c>
      <x:c r="G12" s="24" t="str">
        <x:v>访问0-2</x:v>
      </x:c>
      <x:c r="H12" s="24" t="str">
        <x:v>元数据0-2</x:v>
      </x:c>
      <x:c r="I12" s="24" t="str">
        <x:v>DC1直接1-3</x:v>
      </x:c>
      <x:c r="J12" s="24" t="str">
        <x:v>可迁移1-3</x:v>
      </x:c>
      <x:c r="K12" s="24" t="str">
        <x:v>实现效用1-3</x:v>
      </x:c>
      <x:c r="L12" s="24" t="str">
        <x:v>方法评估</x:v>
      </x:c>
      <x:c r="M12" s="24" t="str">
        <x:v>允许的声称</x:v>
      </x:c>
      <x:c r="N12" s="24" t="str">
        <x:v>决策效用0-3</x:v>
      </x:c>
      <x:c r="O12" s="24" t="str">
        <x:v>QA标记</x:v>
      </x:c>
    </x:row>
    <x:row r="13">
      <x:c r="A13" s="20" t="str">
        <x:v>I01</x:v>
      </x:c>
      <x:c r="B13" s="25" t="str">
        <x:v>Direct manipulation: a step beyond programming languages</x:v>
      </x:c>
      <x:c r="C13" s="25" t="n">
        <x:v>1983</x:v>
      </x:c>
      <x:c r="D13" s="25" t="str">
        <x:v>3D cognition / action theory</x:v>
      </x:c>
      <x:c r="E13" s="25" t="str">
        <x:v>Design / system paper</x:v>
      </x:c>
      <x:c r="F13" s="25" t="str">
        <x:v>Abstract / extended abstract / author copy verified</x:v>
      </x:c>
      <x:c r="G13" s="25" t="n">
        <x:v>1</x:v>
      </x:c>
      <x:c r="H13" s="25" t="n">
        <x:v>1</x:v>
      </x:c>
      <x:c r="I13" s="25" t="n">
        <x:v>3</x:v>
      </x:c>
      <x:c r="J13" s="25" t="n">
        <x:v>3</x:v>
      </x:c>
      <x:c r="K13" s="25" t="n">
        <x:v>3</x:v>
      </x:c>
      <x:c r="L13" s="25" t="str">
        <x:v>Pending full-method appraisal</x:v>
      </x:c>
      <x:c r="M13" s="25" t="str">
        <x:v>系统机制/设计实例</x:v>
      </x:c>
      <x:c r="N13" s="82" t="n">
        <x:f>ROUND((G13/2*$E$5+H13/2*$E$6+I13/3*$E$7+J13/3*$E$8+K13/3*$E$9)*3,2)</x:f>
        <x:v>2.63</x:v>
      </x:c>
      <x:c r="O13" s="25" t="str">
        <x:v>Second-reviewer verification required</x:v>
      </x:c>
    </x:row>
    <x:row r="14">
      <x:c r="A14" s="20" t="str">
        <x:v>I02</x:v>
      </x:c>
      <x:c r="B14" s="25" t="str">
        <x:v>Direct Manipulation Interfaces</x:v>
      </x:c>
      <x:c r="C14" s="25" t="n">
        <x:v>1985</x:v>
      </x:c>
      <x:c r="D14" s="25" t="str">
        <x:v>3D cognition / action theory</x:v>
      </x:c>
      <x:c r="E14" s="25" t="str">
        <x:v>Design / system paper</x:v>
      </x:c>
      <x:c r="F14" s="25" t="str">
        <x:v>Abstract / extended abstract / author copy verified</x:v>
      </x:c>
      <x:c r="G14" s="25" t="n">
        <x:v>1</x:v>
      </x:c>
      <x:c r="H14" s="25" t="n">
        <x:v>1</x:v>
      </x:c>
      <x:c r="I14" s="25" t="n">
        <x:v>3</x:v>
      </x:c>
      <x:c r="J14" s="25" t="n">
        <x:v>3</x:v>
      </x:c>
      <x:c r="K14" s="25" t="n">
        <x:v>3</x:v>
      </x:c>
      <x:c r="L14" s="25" t="str">
        <x:v>Pending full-method appraisal</x:v>
      </x:c>
      <x:c r="M14" s="25" t="str">
        <x:v>系统机制/设计实例</x:v>
      </x:c>
      <x:c r="N14" s="82" t="n">
        <x:f>ROUND((G14/2*$E$5+H14/2*$E$6+I14/3*$E$7+J14/3*$E$8+K14/3*$E$9)*3,2)</x:f>
        <x:v>2.63</x:v>
      </x:c>
      <x:c r="O14" s="25" t="str">
        <x:v>Second-reviewer verification required</x:v>
      </x:c>
    </x:row>
    <x:row r="15">
      <x:c r="A15" s="20" t="str">
        <x:v>I03</x:v>
      </x:c>
      <x:c r="B15" s="25" t="str">
        <x:v>On distinguishing epistemic from pragmatic action</x:v>
      </x:c>
      <x:c r="C15" s="25" t="n">
        <x:v>1994</x:v>
      </x:c>
      <x:c r="D15" s="25" t="str">
        <x:v>3D cognition / action theory</x:v>
      </x:c>
      <x:c r="E15" s="25" t="str">
        <x:v>Design / system paper</x:v>
      </x:c>
      <x:c r="F15" s="25" t="str">
        <x:v>Abstract / extended abstract / author copy verified</x:v>
      </x:c>
      <x:c r="G15" s="25" t="n">
        <x:v>1</x:v>
      </x:c>
      <x:c r="H15" s="25" t="n">
        <x:v>1</x:v>
      </x:c>
      <x:c r="I15" s="25" t="n">
        <x:v>3</x:v>
      </x:c>
      <x:c r="J15" s="25" t="n">
        <x:v>3</x:v>
      </x:c>
      <x:c r="K15" s="25" t="n">
        <x:v>3</x:v>
      </x:c>
      <x:c r="L15" s="25" t="str">
        <x:v>Pending full-method appraisal</x:v>
      </x:c>
      <x:c r="M15" s="25" t="str">
        <x:v>系统机制/设计实例</x:v>
      </x:c>
      <x:c r="N15" s="82" t="n">
        <x:f>ROUND((G15/2*$E$5+H15/2*$E$6+I15/3*$E$7+J15/3*$E$8+K15/3*$E$9)*3,2)</x:f>
        <x:v>2.63</x:v>
      </x:c>
      <x:c r="O15" s="25" t="str">
        <x:v>Second-reviewer verification required</x:v>
      </x:c>
    </x:row>
    <x:row r="16">
      <x:c r="A16" s="20" t="str">
        <x:v>I04</x:v>
      </x:c>
      <x:c r="B16" s="25" t="str">
        <x:v>Action understanding as inverse planning</x:v>
      </x:c>
      <x:c r="C16" s="25" t="n">
        <x:v>2009</x:v>
      </x:c>
      <x:c r="D16" s="25" t="str">
        <x:v>Intent inference mechanism</x:v>
      </x:c>
      <x:c r="E16" s="25" t="str">
        <x:v>Computational / technical</x:v>
      </x:c>
      <x:c r="F16" s="25" t="str">
        <x:v>Abstract / extended abstract / author copy verified</x:v>
      </x:c>
      <x:c r="G16" s="25" t="n">
        <x:v>1</x:v>
      </x:c>
      <x:c r="H16" s="25" t="n">
        <x:v>1</x:v>
      </x:c>
      <x:c r="I16" s="25" t="n">
        <x:v>3</x:v>
      </x:c>
      <x:c r="J16" s="25" t="n">
        <x:v>3</x:v>
      </x:c>
      <x:c r="K16" s="25" t="n">
        <x:v>3</x:v>
      </x:c>
      <x:c r="L16" s="25" t="str">
        <x:v>Pending full-method appraisal</x:v>
      </x:c>
      <x:c r="M16" s="25" t="str">
        <x:v>计算可行性/假设结构</x:v>
      </x:c>
      <x:c r="N16" s="82" t="n">
        <x:f>ROUND((G16/2*$E$5+H16/2*$E$6+I16/3*$E$7+J16/3*$E$8+K16/3*$E$9)*3,2)</x:f>
        <x:v>2.63</x:v>
      </x:c>
      <x:c r="O16" s="25" t="str">
        <x:v>Second-reviewer verification required</x:v>
      </x:c>
    </x:row>
    <x:row r="17">
      <x:c r="A17" s="20" t="str">
        <x:v>I05</x:v>
      </x:c>
      <x:c r="B17" s="25" t="str">
        <x:v>Legibility and Predictability of Robot Motion</x:v>
      </x:c>
      <x:c r="C17" s="25" t="n">
        <x:v>2013</x:v>
      </x:c>
      <x:c r="D17" s="25" t="str">
        <x:v>Intent inference mechanism</x:v>
      </x:c>
      <x:c r="E17" s="25" t="str">
        <x:v>Design / system paper</x:v>
      </x:c>
      <x:c r="F17" s="25" t="str">
        <x:v>Abstract / extended abstract / author copy verified</x:v>
      </x:c>
      <x:c r="G17" s="25" t="n">
        <x:v>1</x:v>
      </x:c>
      <x:c r="H17" s="25" t="n">
        <x:v>1</x:v>
      </x:c>
      <x:c r="I17" s="25" t="n">
        <x:v>3</x:v>
      </x:c>
      <x:c r="J17" s="25" t="n">
        <x:v>3</x:v>
      </x:c>
      <x:c r="K17" s="25" t="n">
        <x:v>3</x:v>
      </x:c>
      <x:c r="L17" s="25" t="str">
        <x:v>Pending full-method appraisal</x:v>
      </x:c>
      <x:c r="M17" s="25" t="str">
        <x:v>系统机制/设计实例</x:v>
      </x:c>
      <x:c r="N17" s="82" t="n">
        <x:f>ROUND((G17/2*$E$5+H17/2*$E$6+I17/3*$E$7+J17/3*$E$8+K17/3*$E$9)*3,2)</x:f>
        <x:v>2.63</x:v>
      </x:c>
      <x:c r="O17" s="25" t="str">
        <x:v>Second-reviewer verification required</x:v>
      </x:c>
    </x:row>
    <x:row r="18">
      <x:c r="A18" s="20" t="str">
        <x:v>I06</x:v>
      </x:c>
      <x:c r="B18" s="25" t="str">
        <x:v>Principles of Mixed-Initiative User Interfaces</x:v>
      </x:c>
      <x:c r="C18" s="25" t="n">
        <x:v>1999</x:v>
      </x:c>
      <x:c r="D18" s="25" t="str">
        <x:v>Co-creation / initiative</x:v>
      </x:c>
      <x:c r="E18" s="25" t="str">
        <x:v>Theory / framework</x:v>
      </x:c>
      <x:c r="F18" s="25" t="str">
        <x:v>Abstract / extended abstract / author copy verified</x:v>
      </x:c>
      <x:c r="G18" s="25" t="n">
        <x:v>1</x:v>
      </x:c>
      <x:c r="H18" s="25" t="n">
        <x:v>1</x:v>
      </x:c>
      <x:c r="I18" s="25" t="n">
        <x:v>2</x:v>
      </x:c>
      <x:c r="J18" s="25" t="n">
        <x:v>3</x:v>
      </x:c>
      <x:c r="K18" s="25" t="n">
        <x:v>3</x:v>
      </x:c>
      <x:c r="L18" s="25" t="str">
        <x:v>Pending full-method appraisal</x:v>
      </x:c>
      <x:c r="M18" s="25" t="str">
        <x:v>机制/设计理据</x:v>
      </x:c>
      <x:c r="N18" s="82" t="n">
        <x:f>ROUND((G18/2*$E$5+H18/2*$E$6+I18/3*$E$7+J18/3*$E$8+K18/3*$E$9)*3,2)</x:f>
        <x:v>2.32</x:v>
      </x:c>
      <x:c r="O18" s="25" t="str">
        <x:v>Second-reviewer verification required</x:v>
      </x:c>
    </x:row>
    <x:row r="19">
      <x:c r="A19" s="20" t="str">
        <x:v>I07</x:v>
      </x:c>
      <x:c r="B19" s="25" t="str">
        <x:v>A model for types and levels of human interaction with automation</x:v>
      </x:c>
      <x:c r="C19" s="25" t="n">
        <x:v>2000</x:v>
      </x:c>
      <x:c r="D19" s="25" t="str">
        <x:v>Supporting HCI theory</x:v>
      </x:c>
      <x:c r="E19" s="25" t="str">
        <x:v>Theory / framework</x:v>
      </x:c>
      <x:c r="F19" s="25" t="str">
        <x:v>Abstract / extended abstract / author copy verified</x:v>
      </x:c>
      <x:c r="G19" s="25" t="n">
        <x:v>1</x:v>
      </x:c>
      <x:c r="H19" s="25" t="n">
        <x:v>1</x:v>
      </x:c>
      <x:c r="I19" s="25" t="n">
        <x:v>1</x:v>
      </x:c>
      <x:c r="J19" s="25" t="n">
        <x:v>3</x:v>
      </x:c>
      <x:c r="K19" s="25" t="n">
        <x:v>3</x:v>
      </x:c>
      <x:c r="L19" s="25" t="str">
        <x:v>Pending full-method appraisal</x:v>
      </x:c>
      <x:c r="M19" s="25" t="str">
        <x:v>机制/设计理据</x:v>
      </x:c>
      <x:c r="N19" s="82" t="n">
        <x:f>ROUND((G19/2*$E$5+H19/2*$E$6+I19/3*$E$7+J19/3*$E$8+K19/3*$E$9)*3,2)</x:f>
        <x:v>2.03</x:v>
      </x:c>
      <x:c r="O19" s="25" t="str">
        <x:v>Second-reviewer verification required</x:v>
      </x:c>
    </x:row>
    <x:row r="20">
      <x:c r="A20" s="20" t="str">
        <x:v>I08</x:v>
      </x:c>
      <x:c r="B20" s="25" t="str">
        <x:v>Guidelines for Human-AI Interaction</x:v>
      </x:c>
      <x:c r="C20" s="25" t="n">
        <x:v>2019</x:v>
      </x:c>
      <x:c r="D20" s="25" t="str">
        <x:v>Supporting HCI theory</x:v>
      </x:c>
      <x:c r="E20" s="25" t="str">
        <x:v>Theory / framework</x:v>
      </x:c>
      <x:c r="F20" s="25" t="str">
        <x:v>Abstract / extended abstract / author copy verified</x:v>
      </x:c>
      <x:c r="G20" s="25" t="n">
        <x:v>1</x:v>
      </x:c>
      <x:c r="H20" s="25" t="n">
        <x:v>1</x:v>
      </x:c>
      <x:c r="I20" s="25" t="n">
        <x:v>1</x:v>
      </x:c>
      <x:c r="J20" s="25" t="n">
        <x:v>3</x:v>
      </x:c>
      <x:c r="K20" s="25" t="n">
        <x:v>3</x:v>
      </x:c>
      <x:c r="L20" s="25" t="str">
        <x:v>Pending full-method appraisal</x:v>
      </x:c>
      <x:c r="M20" s="25" t="str">
        <x:v>机制/设计理据</x:v>
      </x:c>
      <x:c r="N20" s="82" t="n">
        <x:f>ROUND((G20/2*$E$5+H20/2*$E$6+I20/3*$E$7+J20/3*$E$8+K20/3*$E$9)*3,2)</x:f>
        <x:v>2.03</x:v>
      </x:c>
      <x:c r="O20" s="25" t="str">
        <x:v>Second-reviewer verification required</x:v>
      </x:c>
    </x:row>
    <x:row r="21">
      <x:c r="A21" s="20" t="str">
        <x:v>I09</x:v>
      </x:c>
      <x:c r="B21" s="25" t="str">
        <x:v>Power to the People: The Role of Humans in Interactive Machine Learning</x:v>
      </x:c>
      <x:c r="C21" s="25" t="n">
        <x:v>2014</x:v>
      </x:c>
      <x:c r="D21" s="25" t="str">
        <x:v>Supporting HCI theory</x:v>
      </x:c>
      <x:c r="E21" s="25" t="str">
        <x:v>Design / system paper</x:v>
      </x:c>
      <x:c r="F21" s="25" t="str">
        <x:v>Abstract / extended abstract / author copy verified</x:v>
      </x:c>
      <x:c r="G21" s="25" t="n">
        <x:v>1</x:v>
      </x:c>
      <x:c r="H21" s="25" t="n">
        <x:v>1</x:v>
      </x:c>
      <x:c r="I21" s="25" t="n">
        <x:v>1</x:v>
      </x:c>
      <x:c r="J21" s="25" t="n">
        <x:v>2</x:v>
      </x:c>
      <x:c r="K21" s="25" t="n">
        <x:v>3</x:v>
      </x:c>
      <x:c r="L21" s="25" t="str">
        <x:v>Pending full-method appraisal</x:v>
      </x:c>
      <x:c r="M21" s="25" t="str">
        <x:v>系统机制/设计实例</x:v>
      </x:c>
      <x:c r="N21" s="82" t="n">
        <x:f>ROUND((G21/2*$E$5+H21/2*$E$6+I21/3*$E$7+J21/3*$E$8+K21/3*$E$9)*3,2)</x:f>
        <x:v>1.82</x:v>
      </x:c>
      <x:c r="O21" s="25" t="str">
        <x:v>Second-reviewer verification required</x:v>
      </x:c>
    </x:row>
    <x:row r="22">
      <x:c r="A22" s="20" t="str">
        <x:v>I10</x:v>
      </x:c>
      <x:c r="B22" s="25" t="str">
        <x:v>Re-examining Whether, Why, and How Human-AI Interaction Is Uniquely Difficult to Design</x:v>
      </x:c>
      <x:c r="C22" s="25" t="n">
        <x:v>2020</x:v>
      </x:c>
      <x:c r="D22" s="25" t="str">
        <x:v>Supporting HCI theory</x:v>
      </x:c>
      <x:c r="E22" s="25" t="str">
        <x:v>Computational / technical</x:v>
      </x:c>
      <x:c r="F22" s="25" t="str">
        <x:v>Abstract / extended abstract / author copy verified</x:v>
      </x:c>
      <x:c r="G22" s="25" t="n">
        <x:v>1</x:v>
      </x:c>
      <x:c r="H22" s="25" t="n">
        <x:v>1</x:v>
      </x:c>
      <x:c r="I22" s="25" t="n">
        <x:v>1</x:v>
      </x:c>
      <x:c r="J22" s="25" t="n">
        <x:v>3</x:v>
      </x:c>
      <x:c r="K22" s="25" t="n">
        <x:v>3</x:v>
      </x:c>
      <x:c r="L22" s="25" t="str">
        <x:v>Pending full-method appraisal</x:v>
      </x:c>
      <x:c r="M22" s="25" t="str">
        <x:v>计算可行性/假设结构</x:v>
      </x:c>
      <x:c r="N22" s="82" t="n">
        <x:f>ROUND((G22/2*$E$5+H22/2*$E$6+I22/3*$E$7+J22/3*$E$8+K22/3*$E$9)*3,2)</x:f>
        <x:v>2.03</x:v>
      </x:c>
      <x:c r="O22" s="25" t="str">
        <x:v>Second-reviewer verification required</x:v>
      </x:c>
    </x:row>
    <x:row r="23">
      <x:c r="A23" s="20" t="str">
        <x:v>I11</x:v>
      </x:c>
      <x:c r="B23" s="25" t="str">
        <x:v>Level of automation effects on performance, situation awareness and workload in a dynamic control task</x:v>
      </x:c>
      <x:c r="C23" s="25" t="n">
        <x:v>1999</x:v>
      </x:c>
      <x:c r="D23" s="25" t="str">
        <x:v>Authority / agency boundary</x:v>
      </x:c>
      <x:c r="E23" s="25" t="str">
        <x:v>Empirical evaluation</x:v>
      </x:c>
      <x:c r="F23" s="25" t="str">
        <x:v>Abstract / extended abstract / author copy verified</x:v>
      </x:c>
      <x:c r="G23" s="25" t="n">
        <x:v>1</x:v>
      </x:c>
      <x:c r="H23" s="25" t="n">
        <x:v>1</x:v>
      </x:c>
      <x:c r="I23" s="25" t="n">
        <x:v>2</x:v>
      </x:c>
      <x:c r="J23" s="25" t="n">
        <x:v>2</x:v>
      </x:c>
      <x:c r="K23" s="25" t="n">
        <x:v>3</x:v>
      </x:c>
      <x:c r="L23" s="25" t="str">
        <x:v>Pending full-method appraisal</x:v>
      </x:c>
      <x:c r="M23" s="25" t="str">
        <x:v>经验结果（方法复核后）</x:v>
      </x:c>
      <x:c r="N23" s="82" t="n">
        <x:f>ROUND((G23/2*$E$5+H23/2*$E$6+I23/3*$E$7+J23/3*$E$8+K23/3*$E$9)*3,2)</x:f>
        <x:v>2.13</x:v>
      </x:c>
      <x:c r="O23" s="25" t="str">
        <x:v>Second-reviewer verification required</x:v>
      </x:c>
    </x:row>
    <x:row r="24">
      <x:c r="A24" s="20" t="str">
        <x:v>I12</x:v>
      </x:c>
      <x:c r="B24" s="25" t="str">
        <x:v>Trust in automation: Designing for appropriate reliance</x:v>
      </x:c>
      <x:c r="C24" s="25" t="n">
        <x:v>2004</x:v>
      </x:c>
      <x:c r="D24" s="25" t="str">
        <x:v>Supporting HCI theory</x:v>
      </x:c>
      <x:c r="E24" s="25" t="str">
        <x:v>Design / system paper</x:v>
      </x:c>
      <x:c r="F24" s="25" t="str">
        <x:v>Abstract / extended abstract / author copy verified</x:v>
      </x:c>
      <x:c r="G24" s="25" t="n">
        <x:v>1</x:v>
      </x:c>
      <x:c r="H24" s="25" t="n">
        <x:v>1</x:v>
      </x:c>
      <x:c r="I24" s="25" t="n">
        <x:v>3</x:v>
      </x:c>
      <x:c r="J24" s="25" t="n">
        <x:v>3</x:v>
      </x:c>
      <x:c r="K24" s="25" t="n">
        <x:v>3</x:v>
      </x:c>
      <x:c r="L24" s="25" t="str">
        <x:v>Pending full-method appraisal</x:v>
      </x:c>
      <x:c r="M24" s="25" t="str">
        <x:v>系统机制/设计实例</x:v>
      </x:c>
      <x:c r="N24" s="82" t="n">
        <x:f>ROUND((G24/2*$E$5+H24/2*$E$6+I24/3*$E$7+J24/3*$E$8+K24/3*$E$9)*3,2)</x:f>
        <x:v>2.63</x:v>
      </x:c>
      <x:c r="O24" s="25" t="str">
        <x:v>Second-reviewer verification required</x:v>
      </x:c>
    </x:row>
    <x:row r="25">
      <x:c r="A25" s="20" t="str">
        <x:v>I13</x:v>
      </x:c>
      <x:c r="B25" s="25" t="str">
        <x:v>Probabilistic Human Intent Recognition for Shared Autonomy in Assistive Robotics</x:v>
      </x:c>
      <x:c r="C25" s="25" t="n">
        <x:v>2019</x:v>
      </x:c>
      <x:c r="D25" s="25" t="str">
        <x:v>Intent inference mechanism</x:v>
      </x:c>
      <x:c r="E25" s="25" t="str">
        <x:v>Computational / technical</x:v>
      </x:c>
      <x:c r="F25" s="25" t="str">
        <x:v>Abstract / extended abstract / author copy verified</x:v>
      </x:c>
      <x:c r="G25" s="25" t="n">
        <x:v>1</x:v>
      </x:c>
      <x:c r="H25" s="25" t="n">
        <x:v>2</x:v>
      </x:c>
      <x:c r="I25" s="25" t="n">
        <x:v>3</x:v>
      </x:c>
      <x:c r="J25" s="25" t="n">
        <x:v>3</x:v>
      </x:c>
      <x:c r="K25" s="25" t="n">
        <x:v>3</x:v>
      </x:c>
      <x:c r="L25" s="25" t="str">
        <x:v>Pending full-method appraisal</x:v>
      </x:c>
      <x:c r="M25" s="25" t="str">
        <x:v>计算可行性/假设结构</x:v>
      </x:c>
      <x:c r="N25" s="82" t="n">
        <x:f>ROUND((G25/2*$E$5+H25/2*$E$6+I25/3*$E$7+J25/3*$E$8+K25/3*$E$9)*3,2)</x:f>
        <x:v>2.78</x:v>
      </x:c>
      <x:c r="O25" s="25" t="str">
        <x:v>Second-reviewer verification required</x:v>
      </x:c>
    </x:row>
    <x:row r="26">
      <x:c r="A26" s="20" t="str">
        <x:v>I14</x:v>
      </x:c>
      <x:c r="B26" s="25" t="str">
        <x:v>Shared Autonomy via Hindsight Optimization</x:v>
      </x:c>
      <x:c r="C26" s="25" t="n">
        <x:v>2015</x:v>
      </x:c>
      <x:c r="D26" s="25" t="str">
        <x:v>Intent inference mechanism</x:v>
      </x:c>
      <x:c r="E26" s="25" t="str">
        <x:v>Design / system paper</x:v>
      </x:c>
      <x:c r="F26" s="25" t="str">
        <x:v>Abstract / extended abstract / author copy verified</x:v>
      </x:c>
      <x:c r="G26" s="25" t="n">
        <x:v>1</x:v>
      </x:c>
      <x:c r="H26" s="25" t="n">
        <x:v>1</x:v>
      </x:c>
      <x:c r="I26" s="25" t="n">
        <x:v>3</x:v>
      </x:c>
      <x:c r="J26" s="25" t="n">
        <x:v>3</x:v>
      </x:c>
      <x:c r="K26" s="25" t="n">
        <x:v>3</x:v>
      </x:c>
      <x:c r="L26" s="25" t="str">
        <x:v>Pending full-method appraisal</x:v>
      </x:c>
      <x:c r="M26" s="25" t="str">
        <x:v>系统机制/设计实例</x:v>
      </x:c>
      <x:c r="N26" s="82" t="n">
        <x:f>ROUND((G26/2*$E$5+H26/2*$E$6+I26/3*$E$7+J26/3*$E$8+K26/3*$E$9)*3,2)</x:f>
        <x:v>2.63</x:v>
      </x:c>
      <x:c r="O26" s="25" t="str">
        <x:v>Second-reviewer verification required</x:v>
      </x:c>
    </x:row>
    <x:row r="27">
      <x:c r="A27" s="20" t="str">
        <x:v>I15</x:v>
      </x:c>
      <x:c r="B27" s="25" t="str">
        <x:v>Balanced Information Gathering and Goal-Oriented Actions in Shared Autonomy</x:v>
      </x:c>
      <x:c r="C27" s="25" t="n">
        <x:v>2019</x:v>
      </x:c>
      <x:c r="D27" s="25" t="str">
        <x:v>Intent inference mechanism</x:v>
      </x:c>
      <x:c r="E27" s="25" t="str">
        <x:v>Design / system paper</x:v>
      </x:c>
      <x:c r="F27" s="25" t="str">
        <x:v>Abstract / extended abstract / author copy verified</x:v>
      </x:c>
      <x:c r="G27" s="25" t="n">
        <x:v>1</x:v>
      </x:c>
      <x:c r="H27" s="25" t="n">
        <x:v>2</x:v>
      </x:c>
      <x:c r="I27" s="25" t="n">
        <x:v>3</x:v>
      </x:c>
      <x:c r="J27" s="25" t="n">
        <x:v>3</x:v>
      </x:c>
      <x:c r="K27" s="25" t="n">
        <x:v>3</x:v>
      </x:c>
      <x:c r="L27" s="25" t="str">
        <x:v>Pending full-method appraisal</x:v>
      </x:c>
      <x:c r="M27" s="25" t="str">
        <x:v>系统机制/设计实例</x:v>
      </x:c>
      <x:c r="N27" s="82" t="n">
        <x:f>ROUND((G27/2*$E$5+H27/2*$E$6+I27/3*$E$7+J27/3*$E$8+K27/3*$E$9)*3,2)</x:f>
        <x:v>2.78</x:v>
      </x:c>
      <x:c r="O27" s="25" t="str">
        <x:v>Second-reviewer verification required</x:v>
      </x:c>
    </x:row>
    <x:row r="28">
      <x:c r="A28" s="20" t="str">
        <x:v>I16</x:v>
      </x:c>
      <x:c r="B28" s="25" t="str">
        <x:v>Dimensions of Adjustable Autonomy and Mixed-Initiative Interaction</x:v>
      </x:c>
      <x:c r="C28" s="25" t="n">
        <x:v>2004</x:v>
      </x:c>
      <x:c r="D28" s="25" t="str">
        <x:v>Co-creation / initiative</x:v>
      </x:c>
      <x:c r="E28" s="25" t="str">
        <x:v>Design / system paper</x:v>
      </x:c>
      <x:c r="F28" s="25" t="str">
        <x:v>Abstract / extended abstract / author copy verified</x:v>
      </x:c>
      <x:c r="G28" s="25" t="n">
        <x:v>1</x:v>
      </x:c>
      <x:c r="H28" s="25" t="n">
        <x:v>2</x:v>
      </x:c>
      <x:c r="I28" s="25" t="n">
        <x:v>2</x:v>
      </x:c>
      <x:c r="J28" s="25" t="n">
        <x:v>3</x:v>
      </x:c>
      <x:c r="K28" s="25" t="n">
        <x:v>3</x:v>
      </x:c>
      <x:c r="L28" s="25" t="str">
        <x:v>Pending full-method appraisal</x:v>
      </x:c>
      <x:c r="M28" s="25" t="str">
        <x:v>系统机制/设计实例</x:v>
      </x:c>
      <x:c r="N28" s="82" t="n">
        <x:f>ROUND((G28/2*$E$5+H28/2*$E$6+I28/3*$E$7+J28/3*$E$8+K28/3*$E$9)*3,2)</x:f>
        <x:v>2.47</x:v>
      </x:c>
      <x:c r="O28" s="25" t="str">
        <x:v>Second-reviewer verification required</x:v>
      </x:c>
    </x:row>
    <x:row r="29">
      <x:c r="A29" s="20" t="str">
        <x:v>I17</x:v>
      </x:c>
      <x:c r="B29" s="25" t="str">
        <x:v>A Negotiation-Theoretic Framework for Control Authority Transfer in Mixed-Initiative Robotic Systems</x:v>
      </x:c>
      <x:c r="C29" s="25" t="n">
        <x:v>2022</x:v>
      </x:c>
      <x:c r="D29" s="25" t="str">
        <x:v>Co-creation / initiative</x:v>
      </x:c>
      <x:c r="E29" s="25" t="str">
        <x:v>Theory / framework</x:v>
      </x:c>
      <x:c r="F29" s="25" t="str">
        <x:v>Abstract / extended abstract / author copy verified</x:v>
      </x:c>
      <x:c r="G29" s="25" t="n">
        <x:v>1</x:v>
      </x:c>
      <x:c r="H29" s="25" t="n">
        <x:v>2</x:v>
      </x:c>
      <x:c r="I29" s="25" t="n">
        <x:v>2</x:v>
      </x:c>
      <x:c r="J29" s="25" t="n">
        <x:v>2</x:v>
      </x:c>
      <x:c r="K29" s="25" t="n">
        <x:v>3</x:v>
      </x:c>
      <x:c r="L29" s="25" t="str">
        <x:v>Pending full-method appraisal</x:v>
      </x:c>
      <x:c r="M29" s="25" t="str">
        <x:v>机制/设计理据</x:v>
      </x:c>
      <x:c r="N29" s="82" t="n">
        <x:f>ROUND((G29/2*$E$5+H29/2*$E$6+I29/3*$E$7+J29/3*$E$8+K29/3*$E$9)*3,2)</x:f>
        <x:v>2.28</x:v>
      </x:c>
      <x:c r="O29" s="25" t="str">
        <x:v>Second-reviewer verification required</x:v>
      </x:c>
    </x:row>
    <x:row r="30">
      <x:c r="A30" s="20" t="str">
        <x:v>I18</x:v>
      </x:c>
      <x:c r="B30" s="25" t="str">
        <x:v>A Hierarchical Variable Autonomy Mixed-Initiative Framework for Human-Robot Teaming in Mobile Robotics</x:v>
      </x:c>
      <x:c r="C30" s="25" t="n">
        <x:v>2022</x:v>
      </x:c>
      <x:c r="D30" s="25" t="str">
        <x:v>Co-creation / initiative</x:v>
      </x:c>
      <x:c r="E30" s="25" t="str">
        <x:v>Theory / framework</x:v>
      </x:c>
      <x:c r="F30" s="25" t="str">
        <x:v>Abstract / extended abstract / author copy verified</x:v>
      </x:c>
      <x:c r="G30" s="25" t="n">
        <x:v>1</x:v>
      </x:c>
      <x:c r="H30" s="25" t="n">
        <x:v>2</x:v>
      </x:c>
      <x:c r="I30" s="25" t="n">
        <x:v>2</x:v>
      </x:c>
      <x:c r="J30" s="25" t="n">
        <x:v>2</x:v>
      </x:c>
      <x:c r="K30" s="25" t="n">
        <x:v>3</x:v>
      </x:c>
      <x:c r="L30" s="25" t="str">
        <x:v>Pending full-method appraisal</x:v>
      </x:c>
      <x:c r="M30" s="25" t="str">
        <x:v>机制/设计理据</x:v>
      </x:c>
      <x:c r="N30" s="82" t="n">
        <x:f>ROUND((G30/2*$E$5+H30/2*$E$6+I30/3*$E$7+J30/3*$E$8+K30/3*$E$9)*3,2)</x:f>
        <x:v>2.28</x:v>
      </x:c>
      <x:c r="O30" s="25" t="str">
        <x:v>Second-reviewer verification required</x:v>
      </x:c>
    </x:row>
    <x:row r="31">
      <x:c r="A31" s="20" t="str">
        <x:v>I19</x:v>
      </x:c>
      <x:c r="B31" s="25" t="str">
        <x:v>SARI: Shared Autonomy across Repeated Interaction</x:v>
      </x:c>
      <x:c r="C31" s="25" t="n">
        <x:v>2024</x:v>
      </x:c>
      <x:c r="D31" s="25" t="str">
        <x:v>Authority / agency boundary</x:v>
      </x:c>
      <x:c r="E31" s="25" t="str">
        <x:v>Design / system paper</x:v>
      </x:c>
      <x:c r="F31" s="25" t="str">
        <x:v>Abstract / extended abstract / author copy verified</x:v>
      </x:c>
      <x:c r="G31" s="25" t="n">
        <x:v>1</x:v>
      </x:c>
      <x:c r="H31" s="25" t="n">
        <x:v>2</x:v>
      </x:c>
      <x:c r="I31" s="25" t="n">
        <x:v>2</x:v>
      </x:c>
      <x:c r="J31" s="25" t="n">
        <x:v>3</x:v>
      </x:c>
      <x:c r="K31" s="25" t="n">
        <x:v>3</x:v>
      </x:c>
      <x:c r="L31" s="25" t="str">
        <x:v>Pending full-method appraisal</x:v>
      </x:c>
      <x:c r="M31" s="25" t="str">
        <x:v>系统机制/设计实例</x:v>
      </x:c>
      <x:c r="N31" s="82" t="n">
        <x:f>ROUND((G31/2*$E$5+H31/2*$E$6+I31/3*$E$7+J31/3*$E$8+K31/3*$E$9)*3,2)</x:f>
        <x:v>2.47</x:v>
      </x:c>
      <x:c r="O31" s="25" t="str">
        <x:v>Second-reviewer verification required</x:v>
      </x:c>
    </x:row>
    <x:row r="32">
      <x:c r="A32" s="20" t="str">
        <x:v>I20</x:v>
      </x:c>
      <x:c r="B32" s="25" t="str">
        <x:v>Mixed-Initiative Creative Interfaces</x:v>
      </x:c>
      <x:c r="C32" s="25" t="n">
        <x:v>2017</x:v>
      </x:c>
      <x:c r="D32" s="25" t="str">
        <x:v>Co-creation / initiative</x:v>
      </x:c>
      <x:c r="E32" s="25" t="str">
        <x:v>Design / system paper</x:v>
      </x:c>
      <x:c r="F32" s="25" t="str">
        <x:v>Abstract / extended abstract / author copy verified</x:v>
      </x:c>
      <x:c r="G32" s="25" t="n">
        <x:v>1</x:v>
      </x:c>
      <x:c r="H32" s="25" t="n">
        <x:v>1</x:v>
      </x:c>
      <x:c r="I32" s="25" t="n">
        <x:v>2</x:v>
      </x:c>
      <x:c r="J32" s="25" t="n">
        <x:v>3</x:v>
      </x:c>
      <x:c r="K32" s="25" t="n">
        <x:v>3</x:v>
      </x:c>
      <x:c r="L32" s="25" t="str">
        <x:v>Pending full-method appraisal</x:v>
      </x:c>
      <x:c r="M32" s="25" t="str">
        <x:v>系统机制/设计实例</x:v>
      </x:c>
      <x:c r="N32" s="82" t="n">
        <x:f>ROUND((G32/2*$E$5+H32/2*$E$6+I32/3*$E$7+J32/3*$E$8+K32/3*$E$9)*3,2)</x:f>
        <x:v>2.32</x:v>
      </x:c>
      <x:c r="O32" s="25" t="str">
        <x:v>Second-reviewer verification required</x:v>
      </x:c>
    </x:row>
    <x:row r="33">
      <x:c r="A33" s="20" t="str">
        <x:v>I21</x:v>
      </x:c>
      <x:c r="B33" s="25" t="str">
        <x:v>Mapping the Landscape of Creativity Support Tools in HCI</x:v>
      </x:c>
      <x:c r="C33" s="25" t="n">
        <x:v>2019</x:v>
      </x:c>
      <x:c r="D33" s="25" t="str">
        <x:v>Co-creation / initiative</x:v>
      </x:c>
      <x:c r="E33" s="25" t="str">
        <x:v>Empirical evaluation</x:v>
      </x:c>
      <x:c r="F33" s="25" t="str">
        <x:v>Abstract / extended abstract / author copy verified</x:v>
      </x:c>
      <x:c r="G33" s="25" t="n">
        <x:v>1</x:v>
      </x:c>
      <x:c r="H33" s="25" t="n">
        <x:v>1</x:v>
      </x:c>
      <x:c r="I33" s="25" t="n">
        <x:v>3</x:v>
      </x:c>
      <x:c r="J33" s="25" t="n">
        <x:v>3</x:v>
      </x:c>
      <x:c r="K33" s="25" t="n">
        <x:v>3</x:v>
      </x:c>
      <x:c r="L33" s="25" t="str">
        <x:v>Pending full-method appraisal</x:v>
      </x:c>
      <x:c r="M33" s="25" t="str">
        <x:v>经验结果（方法复核后）</x:v>
      </x:c>
      <x:c r="N33" s="82" t="n">
        <x:f>ROUND((G33/2*$E$5+H33/2*$E$6+I33/3*$E$7+J33/3*$E$8+K33/3*$E$9)*3,2)</x:f>
        <x:v>2.63</x:v>
      </x:c>
      <x:c r="O33" s="25" t="str">
        <x:v>Second-reviewer verification required</x:v>
      </x:c>
    </x:row>
    <x:row r="34">
      <x:c r="A34" s="20" t="str">
        <x:v>I22</x:v>
      </x:c>
      <x:c r="B34" s="25" t="str">
        <x:v>Towards a procedural content generation framework for game development</x:v>
      </x:c>
      <x:c r="C34" s="25" t="n">
        <x:v>2014</x:v>
      </x:c>
      <x:c r="D34" s="25" t="str">
        <x:v>Co-creation / initiative</x:v>
      </x:c>
      <x:c r="E34" s="25" t="str">
        <x:v>Empirical evaluation</x:v>
      </x:c>
      <x:c r="F34" s="25" t="str">
        <x:v>Abstract / extended abstract / author copy verified</x:v>
      </x:c>
      <x:c r="G34" s="25" t="n">
        <x:v>1</x:v>
      </x:c>
      <x:c r="H34" s="25" t="n">
        <x:v>1</x:v>
      </x:c>
      <x:c r="I34" s="25" t="n">
        <x:v>2</x:v>
      </x:c>
      <x:c r="J34" s="25" t="n">
        <x:v>2</x:v>
      </x:c>
      <x:c r="K34" s="25" t="n">
        <x:v>3</x:v>
      </x:c>
      <x:c r="L34" s="25" t="str">
        <x:v>Pending full-method appraisal</x:v>
      </x:c>
      <x:c r="M34" s="25" t="str">
        <x:v>经验结果（方法复核后）</x:v>
      </x:c>
      <x:c r="N34" s="82" t="n">
        <x:f>ROUND((G34/2*$E$5+H34/2*$E$6+I34/3*$E$7+J34/3*$E$8+K34/3*$E$9)*3,2)</x:f>
        <x:v>2.13</x:v>
      </x:c>
      <x:c r="O34" s="25" t="str">
        <x:v>Second-reviewer verification required</x:v>
      </x:c>
    </x:row>
    <x:row r="35">
      <x:c r="A35" s="20" t="str">
        <x:v>I23</x:v>
      </x:c>
      <x:c r="B35" s="25" t="str">
        <x:v>Designing Creative AI Partners with COFI: A Framework for Modeling Interaction in Human-AI Co-Creative Systems</x:v>
      </x:c>
      <x:c r="C35" s="25" t="n">
        <x:v>2023</x:v>
      </x:c>
      <x:c r="D35" s="25" t="str">
        <x:v>Co-creation / initiative</x:v>
      </x:c>
      <x:c r="E35" s="25" t="str">
        <x:v>Theory / framework</x:v>
      </x:c>
      <x:c r="F35" s="25" t="str">
        <x:v>Abstract / extended abstract / author copy verified</x:v>
      </x:c>
      <x:c r="G35" s="25" t="n">
        <x:v>1</x:v>
      </x:c>
      <x:c r="H35" s="25" t="n">
        <x:v>1</x:v>
      </x:c>
      <x:c r="I35" s="25" t="n">
        <x:v>2</x:v>
      </x:c>
      <x:c r="J35" s="25" t="n">
        <x:v>3</x:v>
      </x:c>
      <x:c r="K35" s="25" t="n">
        <x:v>3</x:v>
      </x:c>
      <x:c r="L35" s="25" t="str">
        <x:v>Pending full-method appraisal</x:v>
      </x:c>
      <x:c r="M35" s="25" t="str">
        <x:v>机制/设计理据</x:v>
      </x:c>
      <x:c r="N35" s="82" t="n">
        <x:f>ROUND((G35/2*$E$5+H35/2*$E$6+I35/3*$E$7+J35/3*$E$8+K35/3*$E$9)*3,2)</x:f>
        <x:v>2.32</x:v>
      </x:c>
      <x:c r="O35" s="25" t="str">
        <x:v>Second-reviewer verification required</x:v>
      </x:c>
    </x:row>
    <x:row r="36">
      <x:c r="A36" s="20" t="str">
        <x:v>I24</x:v>
      </x:c>
      <x:c r="B36" s="25" t="str">
        <x:v>Drawing Apprentice: An Enactive Co-Creative Agent for Artistic Collaboration</x:v>
      </x:c>
      <x:c r="C36" s="25" t="n">
        <x:v>2015</x:v>
      </x:c>
      <x:c r="D36" s="25" t="str">
        <x:v>Co-creation / initiative</x:v>
      </x:c>
      <x:c r="E36" s="25" t="str">
        <x:v>Empirical evaluation</x:v>
      </x:c>
      <x:c r="F36" s="25" t="str">
        <x:v>Abstract / extended abstract / author copy verified</x:v>
      </x:c>
      <x:c r="G36" s="25" t="n">
        <x:v>1</x:v>
      </x:c>
      <x:c r="H36" s="25" t="n">
        <x:v>1</x:v>
      </x:c>
      <x:c r="I36" s="25" t="n">
        <x:v>2</x:v>
      </x:c>
      <x:c r="J36" s="25" t="n">
        <x:v>3</x:v>
      </x:c>
      <x:c r="K36" s="25" t="n">
        <x:v>3</x:v>
      </x:c>
      <x:c r="L36" s="25" t="str">
        <x:v>Pending full-method appraisal</x:v>
      </x:c>
      <x:c r="M36" s="25" t="str">
        <x:v>经验结果（方法复核后）</x:v>
      </x:c>
      <x:c r="N36" s="82" t="n">
        <x:f>ROUND((G36/2*$E$5+H36/2*$E$6+I36/3*$E$7+J36/3*$E$8+K36/3*$E$9)*3,2)</x:f>
        <x:v>2.32</x:v>
      </x:c>
      <x:c r="O36" s="25" t="str">
        <x:v>Second-reviewer verification required</x:v>
      </x:c>
    </x:row>
    <x:row r="37">
      <x:c r="A37" s="20" t="str">
        <x:v>I25</x:v>
      </x:c>
      <x:c r="B37" s="25" t="str">
        <x:v>Novice-AI Music Co-Creation via AI-Steering Tools for Deep Generative Models</x:v>
      </x:c>
      <x:c r="C37" s="25" t="n">
        <x:v>2020</x:v>
      </x:c>
      <x:c r="D37" s="25" t="str">
        <x:v>Co-creation / initiative</x:v>
      </x:c>
      <x:c r="E37" s="25" t="str">
        <x:v>Design / system paper</x:v>
      </x:c>
      <x:c r="F37" s="25" t="str">
        <x:v>Abstract / extended abstract / author copy verified</x:v>
      </x:c>
      <x:c r="G37" s="25" t="n">
        <x:v>1</x:v>
      </x:c>
      <x:c r="H37" s="25" t="n">
        <x:v>1</x:v>
      </x:c>
      <x:c r="I37" s="25" t="n">
        <x:v>3</x:v>
      </x:c>
      <x:c r="J37" s="25" t="n">
        <x:v>3</x:v>
      </x:c>
      <x:c r="K37" s="25" t="n">
        <x:v>3</x:v>
      </x:c>
      <x:c r="L37" s="25" t="str">
        <x:v>Pending full-method appraisal</x:v>
      </x:c>
      <x:c r="M37" s="25" t="str">
        <x:v>系统机制/设计实例</x:v>
      </x:c>
      <x:c r="N37" s="82" t="n">
        <x:f>ROUND((G37/2*$E$5+H37/2*$E$6+I37/3*$E$7+J37/3*$E$8+K37/3*$E$9)*3,2)</x:f>
        <x:v>2.63</x:v>
      </x:c>
      <x:c r="O37" s="25" t="str">
        <x:v>Second-reviewer verification required</x:v>
      </x:c>
    </x:row>
    <x:row r="38">
      <x:c r="A38" s="20" t="str">
        <x:v>I26</x:v>
      </x:c>
      <x:c r="B38" s="25" t="str">
        <x:v>AI as Social Glue: Uncovering the Roles of Deep Generative AI during Social Music Composition</x:v>
      </x:c>
      <x:c r="C38" s="25" t="n">
        <x:v>2021</x:v>
      </x:c>
      <x:c r="D38" s="25" t="str">
        <x:v>Co-creation / initiative</x:v>
      </x:c>
      <x:c r="E38" s="25" t="str">
        <x:v>Design / system paper</x:v>
      </x:c>
      <x:c r="F38" s="25" t="str">
        <x:v>Abstract / extended abstract / author copy verified</x:v>
      </x:c>
      <x:c r="G38" s="25" t="n">
        <x:v>1</x:v>
      </x:c>
      <x:c r="H38" s="25" t="n">
        <x:v>1</x:v>
      </x:c>
      <x:c r="I38" s="25" t="n">
        <x:v>2</x:v>
      </x:c>
      <x:c r="J38" s="25" t="n">
        <x:v>3</x:v>
      </x:c>
      <x:c r="K38" s="25" t="n">
        <x:v>3</x:v>
      </x:c>
      <x:c r="L38" s="25" t="str">
        <x:v>Pending full-method appraisal</x:v>
      </x:c>
      <x:c r="M38" s="25" t="str">
        <x:v>系统机制/设计实例</x:v>
      </x:c>
      <x:c r="N38" s="82" t="n">
        <x:f>ROUND((G38/2*$E$5+H38/2*$E$6+I38/3*$E$7+J38/3*$E$8+K38/3*$E$9)*3,2)</x:f>
        <x:v>2.32</x:v>
      </x:c>
      <x:c r="O38" s="25" t="str">
        <x:v>Second-reviewer verification required</x:v>
      </x:c>
    </x:row>
    <x:row r="39">
      <x:c r="A39" s="20" t="str">
        <x:v>I27</x:v>
      </x:c>
      <x:c r="B39" s="25" t="str">
        <x:v>DirectGPT: A Direct Manipulation Interface to Interact with Large Language Models</x:v>
      </x:c>
      <x:c r="C39" s="25" t="n">
        <x:v>2024</x:v>
      </x:c>
      <x:c r="D39" s="25" t="str">
        <x:v>3D cognition / action theory</x:v>
      </x:c>
      <x:c r="E39" s="25" t="str">
        <x:v>Design / system paper</x:v>
      </x:c>
      <x:c r="F39" s="25" t="str">
        <x:v>Abstract / extended abstract / author copy verified</x:v>
      </x:c>
      <x:c r="G39" s="25" t="n">
        <x:v>1</x:v>
      </x:c>
      <x:c r="H39" s="25" t="n">
        <x:v>1</x:v>
      </x:c>
      <x:c r="I39" s="25" t="n">
        <x:v>3</x:v>
      </x:c>
      <x:c r="J39" s="25" t="n">
        <x:v>3</x:v>
      </x:c>
      <x:c r="K39" s="25" t="n">
        <x:v>3</x:v>
      </x:c>
      <x:c r="L39" s="25" t="str">
        <x:v>Pending full-method appraisal</x:v>
      </x:c>
      <x:c r="M39" s="25" t="str">
        <x:v>系统机制/设计实例</x:v>
      </x:c>
      <x:c r="N39" s="82" t="n">
        <x:f>ROUND((G39/2*$E$5+H39/2*$E$6+I39/3*$E$7+J39/3*$E$8+K39/3*$E$9)*3,2)</x:f>
        <x:v>2.63</x:v>
      </x:c>
      <x:c r="O39" s="25" t="str">
        <x:v>Second-reviewer verification required</x:v>
      </x:c>
    </x:row>
    <x:row r="40">
      <x:c r="A40" s="20" t="str">
        <x:v>I28</x:v>
      </x:c>
      <x:c r="B40" s="25" t="str">
        <x:v>Generative Agents: Interactive Simulacra of Human Behavior</x:v>
      </x:c>
      <x:c r="C40" s="25" t="n">
        <x:v>2023</x:v>
      </x:c>
      <x:c r="D40" s="25" t="str">
        <x:v>Memory / case retrieval</x:v>
      </x:c>
      <x:c r="E40" s="25" t="str">
        <x:v>Design / system paper</x:v>
      </x:c>
      <x:c r="F40" s="25" t="str">
        <x:v>Abstract / extended abstract / author copy verified</x:v>
      </x:c>
      <x:c r="G40" s="25" t="n">
        <x:v>1</x:v>
      </x:c>
      <x:c r="H40" s="25" t="n">
        <x:v>1</x:v>
      </x:c>
      <x:c r="I40" s="25" t="n">
        <x:v>2</x:v>
      </x:c>
      <x:c r="J40" s="25" t="n">
        <x:v>3</x:v>
      </x:c>
      <x:c r="K40" s="25" t="n">
        <x:v>3</x:v>
      </x:c>
      <x:c r="L40" s="25" t="str">
        <x:v>Pending full-method appraisal</x:v>
      </x:c>
      <x:c r="M40" s="25" t="str">
        <x:v>系统机制/设计实例</x:v>
      </x:c>
      <x:c r="N40" s="82" t="n">
        <x:f>ROUND((G40/2*$E$5+H40/2*$E$6+I40/3*$E$7+J40/3*$E$8+K40/3*$E$9)*3,2)</x:f>
        <x:v>2.32</x:v>
      </x:c>
      <x:c r="O40" s="25" t="str">
        <x:v>Second-reviewer verification required</x:v>
      </x:c>
    </x:row>
    <x:row r="41">
      <x:c r="A41" s="20" t="str">
        <x:v>I29</x:v>
      </x:c>
      <x:c r="B41" s="25" t="str">
        <x:v>MemGPT: Towards LLMs as Operating Systems</x:v>
      </x:c>
      <x:c r="C41" s="25" t="n">
        <x:v>2023</x:v>
      </x:c>
      <x:c r="D41" s="25" t="str">
        <x:v>Memory / case retrieval</x:v>
      </x:c>
      <x:c r="E41" s="25" t="str">
        <x:v>Design / system paper</x:v>
      </x:c>
      <x:c r="F41" s="25" t="str">
        <x:v>Abstract / extended abstract / author copy verified</x:v>
      </x:c>
      <x:c r="G41" s="25" t="n">
        <x:v>1</x:v>
      </x:c>
      <x:c r="H41" s="25" t="n">
        <x:v>1</x:v>
      </x:c>
      <x:c r="I41" s="25" t="n">
        <x:v>2</x:v>
      </x:c>
      <x:c r="J41" s="25" t="n">
        <x:v>2</x:v>
      </x:c>
      <x:c r="K41" s="25" t="n">
        <x:v>3</x:v>
      </x:c>
      <x:c r="L41" s="25" t="str">
        <x:v>Pending full-method appraisal</x:v>
      </x:c>
      <x:c r="M41" s="25" t="str">
        <x:v>系统机制/设计实例</x:v>
      </x:c>
      <x:c r="N41" s="82" t="n">
        <x:f>ROUND((G41/2*$E$5+H41/2*$E$6+I41/3*$E$7+J41/3*$E$8+K41/3*$E$9)*3,2)</x:f>
        <x:v>2.13</x:v>
      </x:c>
      <x:c r="O41" s="25" t="str">
        <x:v>Second-reviewer verification required</x:v>
      </x:c>
    </x:row>
    <x:row r="42">
      <x:c r="A42" s="20" t="str">
        <x:v>I30</x:v>
      </x:c>
      <x:c r="B42" s="25" t="str">
        <x:v>Cognitive Architectures for Language Agents</x:v>
      </x:c>
      <x:c r="C42" s="25" t="n">
        <x:v>2023</x:v>
      </x:c>
      <x:c r="D42" s="25" t="str">
        <x:v>Memory / case retrieval</x:v>
      </x:c>
      <x:c r="E42" s="25" t="str">
        <x:v>Design / system paper</x:v>
      </x:c>
      <x:c r="F42" s="25" t="str">
        <x:v>Abstract / extended abstract / author copy verified</x:v>
      </x:c>
      <x:c r="G42" s="25" t="n">
        <x:v>1</x:v>
      </x:c>
      <x:c r="H42" s="25" t="n">
        <x:v>2</x:v>
      </x:c>
      <x:c r="I42" s="25" t="n">
        <x:v>2</x:v>
      </x:c>
      <x:c r="J42" s="25" t="n">
        <x:v>2</x:v>
      </x:c>
      <x:c r="K42" s="25" t="n">
        <x:v>3</x:v>
      </x:c>
      <x:c r="L42" s="25" t="str">
        <x:v>Pending full-method appraisal</x:v>
      </x:c>
      <x:c r="M42" s="25" t="str">
        <x:v>系统机制/设计实例</x:v>
      </x:c>
      <x:c r="N42" s="82" t="n">
        <x:f>ROUND((G42/2*$E$5+H42/2*$E$6+I42/3*$E$7+J42/3*$E$8+K42/3*$E$9)*3,2)</x:f>
        <x:v>2.28</x:v>
      </x:c>
      <x:c r="O42" s="25" t="str">
        <x:v>Second-reviewer verification required</x:v>
      </x:c>
    </x:row>
    <x:row r="43">
      <x:c r="A43" s="20" t="str">
        <x:v>I31</x:v>
      </x:c>
      <x:c r="B43" s="25" t="str">
        <x:v>Memory Matters: The Need to Improve Long-Term Memory in LLM-Agents</x:v>
      </x:c>
      <x:c r="C43" s="25" t="n">
        <x:v>2024</x:v>
      </x:c>
      <x:c r="D43" s="25" t="str">
        <x:v>Memory / case retrieval</x:v>
      </x:c>
      <x:c r="E43" s="25" t="str">
        <x:v>Theory / framework</x:v>
      </x:c>
      <x:c r="F43" s="25" t="str">
        <x:v>Abstract / extended abstract / author copy verified</x:v>
      </x:c>
      <x:c r="G43" s="25" t="n">
        <x:v>1</x:v>
      </x:c>
      <x:c r="H43" s="25" t="n">
        <x:v>2</x:v>
      </x:c>
      <x:c r="I43" s="25" t="n">
        <x:v>2</x:v>
      </x:c>
      <x:c r="J43" s="25" t="n">
        <x:v>2</x:v>
      </x:c>
      <x:c r="K43" s="25" t="n">
        <x:v>3</x:v>
      </x:c>
      <x:c r="L43" s="25" t="str">
        <x:v>Pending full-method appraisal</x:v>
      </x:c>
      <x:c r="M43" s="25" t="str">
        <x:v>机制/设计理据</x:v>
      </x:c>
      <x:c r="N43" s="82" t="n">
        <x:f>ROUND((G43/2*$E$5+H43/2*$E$6+I43/3*$E$7+J43/3*$E$8+K43/3*$E$9)*3,2)</x:f>
        <x:v>2.28</x:v>
      </x:c>
      <x:c r="O43" s="25" t="str">
        <x:v>Second-reviewer verification required</x:v>
      </x:c>
    </x:row>
    <x:row r="44">
      <x:c r="A44" s="20" t="str">
        <x:v>I32</x:v>
      </x:c>
      <x:c r="B44" s="25" t="str">
        <x:v>A Survey on the Memory Mechanism of Large Language Model-based Agents</x:v>
      </x:c>
      <x:c r="C44" s="25" t="n">
        <x:v>2025</x:v>
      </x:c>
      <x:c r="D44" s="25" t="str">
        <x:v>Memory / case retrieval</x:v>
      </x:c>
      <x:c r="E44" s="25" t="str">
        <x:v>Review / synthesis</x:v>
      </x:c>
      <x:c r="F44" s="25" t="str">
        <x:v>Abstract / extended abstract / author copy verified</x:v>
      </x:c>
      <x:c r="G44" s="25" t="n">
        <x:v>1</x:v>
      </x:c>
      <x:c r="H44" s="25" t="n">
        <x:v>1</x:v>
      </x:c>
      <x:c r="I44" s="25" t="n">
        <x:v>2</x:v>
      </x:c>
      <x:c r="J44" s="25" t="n">
        <x:v>2</x:v>
      </x:c>
      <x:c r="K44" s="25" t="n">
        <x:v>3</x:v>
      </x:c>
      <x:c r="L44" s="25" t="str">
        <x:v>Pending full-method appraisal</x:v>
      </x:c>
      <x:c r="M44" s="25" t="str">
        <x:v>领域范围/概念地图</x:v>
      </x:c>
      <x:c r="N44" s="82" t="n">
        <x:f>ROUND((G44/2*$E$5+H44/2*$E$6+I44/3*$E$7+J44/3*$E$8+K44/3*$E$9)*3,2)</x:f>
        <x:v>2.13</x:v>
      </x:c>
      <x:c r="O44" s="25" t="str">
        <x:v>Second-reviewer verification required</x:v>
      </x:c>
    </x:row>
    <x:row r="45">
      <x:c r="A45" s="20" t="str">
        <x:v>I33</x:v>
      </x:c>
      <x:c r="B45" s="25" t="str">
        <x:v>An Introduction to 3-D User Interface Design</x:v>
      </x:c>
      <x:c r="C45" s="25" t="n">
        <x:v>2001</x:v>
      </x:c>
      <x:c r="D45" s="25" t="str">
        <x:v>3D cognition / action theory</x:v>
      </x:c>
      <x:c r="E45" s="25" t="str">
        <x:v>Theory / framework</x:v>
      </x:c>
      <x:c r="F45" s="25" t="str">
        <x:v>Abstract / extended abstract / author copy verified</x:v>
      </x:c>
      <x:c r="G45" s="25" t="n">
        <x:v>1</x:v>
      </x:c>
      <x:c r="H45" s="25" t="n">
        <x:v>1</x:v>
      </x:c>
      <x:c r="I45" s="25" t="n">
        <x:v>3</x:v>
      </x:c>
      <x:c r="J45" s="25" t="n">
        <x:v>3</x:v>
      </x:c>
      <x:c r="K45" s="25" t="n">
        <x:v>3</x:v>
      </x:c>
      <x:c r="L45" s="25" t="str">
        <x:v>Pending full-method appraisal</x:v>
      </x:c>
      <x:c r="M45" s="25" t="str">
        <x:v>机制/设计理据</x:v>
      </x:c>
      <x:c r="N45" s="82" t="n">
        <x:f>ROUND((G45/2*$E$5+H45/2*$E$6+I45/3*$E$7+J45/3*$E$8+K45/3*$E$9)*3,2)</x:f>
        <x:v>2.63</x:v>
      </x:c>
      <x:c r="O45" s="25" t="str">
        <x:v>Second-reviewer verification required</x:v>
      </x:c>
    </x:row>
    <x:row r="46">
      <x:c r="A46" s="20" t="str">
        <x:v>I34</x:v>
      </x:c>
      <x:c r="B46" s="25" t="str">
        <x:v>A Direct Manipulation Technique for Specifying 3D Object Transformations with a 2D Input Device</x:v>
      </x:c>
      <x:c r="C46" s="25" t="n">
        <x:v>1990</x:v>
      </x:c>
      <x:c r="D46" s="25" t="str">
        <x:v>3D cognition / action theory</x:v>
      </x:c>
      <x:c r="E46" s="25" t="str">
        <x:v>Design / system paper</x:v>
      </x:c>
      <x:c r="F46" s="25" t="str">
        <x:v>Abstract / extended abstract / author copy verified</x:v>
      </x:c>
      <x:c r="G46" s="25" t="n">
        <x:v>1</x:v>
      </x:c>
      <x:c r="H46" s="25" t="n">
        <x:v>1</x:v>
      </x:c>
      <x:c r="I46" s="25" t="n">
        <x:v>3</x:v>
      </x:c>
      <x:c r="J46" s="25" t="n">
        <x:v>3</x:v>
      </x:c>
      <x:c r="K46" s="25" t="n">
        <x:v>3</x:v>
      </x:c>
      <x:c r="L46" s="25" t="str">
        <x:v>Pending full-method appraisal</x:v>
      </x:c>
      <x:c r="M46" s="25" t="str">
        <x:v>系统机制/设计实例</x:v>
      </x:c>
      <x:c r="N46" s="82" t="n">
        <x:f>ROUND((G46/2*$E$5+H46/2*$E$6+I46/3*$E$7+J46/3*$E$8+K46/3*$E$9)*3,2)</x:f>
        <x:v>2.63</x:v>
      </x:c>
      <x:c r="O46" s="25" t="str">
        <x:v>Second-reviewer verification required</x:v>
      </x:c>
    </x:row>
    <x:row r="47">
      <x:c r="A47" s="20" t="str">
        <x:v>I35</x:v>
      </x:c>
      <x:c r="B47" s="25" t="str">
        <x:v>A screen-space formulation for 2D and 3D direct manipulation</x:v>
      </x:c>
      <x:c r="C47" s="25" t="n">
        <x:v>2009</x:v>
      </x:c>
      <x:c r="D47" s="25" t="str">
        <x:v>3D cognition / action theory</x:v>
      </x:c>
      <x:c r="E47" s="25" t="str">
        <x:v>Design / system paper</x:v>
      </x:c>
      <x:c r="F47" s="25" t="str">
        <x:v>Abstract / extended abstract / author copy verified</x:v>
      </x:c>
      <x:c r="G47" s="25" t="n">
        <x:v>1</x:v>
      </x:c>
      <x:c r="H47" s="25" t="n">
        <x:v>2</x:v>
      </x:c>
      <x:c r="I47" s="25" t="n">
        <x:v>3</x:v>
      </x:c>
      <x:c r="J47" s="25" t="n">
        <x:v>3</x:v>
      </x:c>
      <x:c r="K47" s="25" t="n">
        <x:v>3</x:v>
      </x:c>
      <x:c r="L47" s="25" t="str">
        <x:v>Pending full-method appraisal</x:v>
      </x:c>
      <x:c r="M47" s="25" t="str">
        <x:v>系统机制/设计实例</x:v>
      </x:c>
      <x:c r="N47" s="82" t="n">
        <x:f>ROUND((G47/2*$E$5+H47/2*$E$6+I47/3*$E$7+J47/3*$E$8+K47/3*$E$9)*3,2)</x:f>
        <x:v>2.78</x:v>
      </x:c>
      <x:c r="O47" s="25" t="str">
        <x:v>Second-reviewer verification required</x:v>
      </x:c>
    </x:row>
    <x:row r="48">
      <x:c r="A48" s="20" t="str">
        <x:v>I36</x:v>
      </x:c>
      <x:c r="B48" s="25" t="str">
        <x:v>Teddy: a sketching interface for 3D freeform design</x:v>
      </x:c>
      <x:c r="C48" s="25" t="n">
        <x:v>1999</x:v>
      </x:c>
      <x:c r="D48" s="25" t="str">
        <x:v>3D cognition / action theory</x:v>
      </x:c>
      <x:c r="E48" s="25" t="str">
        <x:v>Design / system paper</x:v>
      </x:c>
      <x:c r="F48" s="25" t="str">
        <x:v>Abstract / extended abstract / author copy verified</x:v>
      </x:c>
      <x:c r="G48" s="25" t="n">
        <x:v>1</x:v>
      </x:c>
      <x:c r="H48" s="25" t="n">
        <x:v>1</x:v>
      </x:c>
      <x:c r="I48" s="25" t="n">
        <x:v>3</x:v>
      </x:c>
      <x:c r="J48" s="25" t="n">
        <x:v>3</x:v>
      </x:c>
      <x:c r="K48" s="25" t="n">
        <x:v>3</x:v>
      </x:c>
      <x:c r="L48" s="25" t="str">
        <x:v>Pending full-method appraisal</x:v>
      </x:c>
      <x:c r="M48" s="25" t="str">
        <x:v>系统机制/设计实例</x:v>
      </x:c>
      <x:c r="N48" s="82" t="n">
        <x:f>ROUND((G48/2*$E$5+H48/2*$E$6+I48/3*$E$7+J48/3*$E$8+K48/3*$E$9)*3,2)</x:f>
        <x:v>2.63</x:v>
      </x:c>
      <x:c r="O48" s="25" t="str">
        <x:v>Second-reviewer verification required</x:v>
      </x:c>
    </x:row>
    <x:row r="49">
      <x:c r="A49" s="20" t="str">
        <x:v>I37</x:v>
      </x:c>
      <x:c r="B49" s="25" t="str">
        <x:v>Modeling by example</x:v>
      </x:c>
      <x:c r="C49" s="25" t="n">
        <x:v>2004</x:v>
      </x:c>
      <x:c r="D49" s="25" t="str">
        <x:v>3D cognition / action theory</x:v>
      </x:c>
      <x:c r="E49" s="25" t="str">
        <x:v>Design / system paper</x:v>
      </x:c>
      <x:c r="F49" s="25" t="str">
        <x:v>Abstract / extended abstract / author copy verified</x:v>
      </x:c>
      <x:c r="G49" s="25" t="n">
        <x:v>1</x:v>
      </x:c>
      <x:c r="H49" s="25" t="n">
        <x:v>1</x:v>
      </x:c>
      <x:c r="I49" s="25" t="n">
        <x:v>3</x:v>
      </x:c>
      <x:c r="J49" s="25" t="n">
        <x:v>3</x:v>
      </x:c>
      <x:c r="K49" s="25" t="n">
        <x:v>3</x:v>
      </x:c>
      <x:c r="L49" s="25" t="str">
        <x:v>Pending full-method appraisal</x:v>
      </x:c>
      <x:c r="M49" s="25" t="str">
        <x:v>系统机制/设计实例</x:v>
      </x:c>
      <x:c r="N49" s="82" t="n">
        <x:f>ROUND((G49/2*$E$5+H49/2*$E$6+I49/3*$E$7+J49/3*$E$8+K49/3*$E$9)*3,2)</x:f>
        <x:v>2.63</x:v>
      </x:c>
      <x:c r="O49" s="25" t="str">
        <x:v>Second-reviewer verification required</x:v>
      </x:c>
    </x:row>
    <x:row r="50">
      <x:c r="A50" s="20" t="str">
        <x:v>I38</x:v>
      </x:c>
      <x:c r="B50" s="25" t="str">
        <x:v>iWIRES: an analyze-and-edit approach to shape manipulation</x:v>
      </x:c>
      <x:c r="C50" s="25" t="n">
        <x:v>2009</x:v>
      </x:c>
      <x:c r="D50" s="25" t="str">
        <x:v>Supporting HCI theory</x:v>
      </x:c>
      <x:c r="E50" s="25" t="str">
        <x:v>Design / system paper</x:v>
      </x:c>
      <x:c r="F50" s="25" t="str">
        <x:v>Abstract / extended abstract / author copy verified</x:v>
      </x:c>
      <x:c r="G50" s="25" t="n">
        <x:v>1</x:v>
      </x:c>
      <x:c r="H50" s="25" t="n">
        <x:v>1</x:v>
      </x:c>
      <x:c r="I50" s="25" t="n">
        <x:v>1</x:v>
      </x:c>
      <x:c r="J50" s="25" t="n">
        <x:v>2</x:v>
      </x:c>
      <x:c r="K50" s="25" t="n">
        <x:v>3</x:v>
      </x:c>
      <x:c r="L50" s="25" t="str">
        <x:v>Pending full-method appraisal</x:v>
      </x:c>
      <x:c r="M50" s="25" t="str">
        <x:v>系统机制/设计实例</x:v>
      </x:c>
      <x:c r="N50" s="82" t="n">
        <x:f>ROUND((G50/2*$E$5+H50/2*$E$6+I50/3*$E$7+J50/3*$E$8+K50/3*$E$9)*3,2)</x:f>
        <x:v>1.82</x:v>
      </x:c>
      <x:c r="O50" s="25" t="str">
        <x:v>Second-reviewer verification required</x:v>
      </x:c>
    </x:row>
    <x:row r="51">
      <x:c r="A51" s="20" t="str">
        <x:v>I39</x:v>
      </x:c>
      <x:c r="B51" s="25" t="str">
        <x:v>Extended 3D annotations as a new mechanism to explicitly communicate geometric design intent and increase CAD model reusability</x:v>
      </x:c>
      <x:c r="C51" s="25" t="n">
        <x:v>2014</x:v>
      </x:c>
      <x:c r="D51" s="25" t="str">
        <x:v>3D cognition / action theory</x:v>
      </x:c>
      <x:c r="E51" s="25" t="str">
        <x:v>Design / system paper</x:v>
      </x:c>
      <x:c r="F51" s="25" t="str">
        <x:v>Abstract / extended abstract / author copy verified</x:v>
      </x:c>
      <x:c r="G51" s="25" t="n">
        <x:v>1</x:v>
      </x:c>
      <x:c r="H51" s="25" t="n">
        <x:v>2</x:v>
      </x:c>
      <x:c r="I51" s="25" t="n">
        <x:v>3</x:v>
      </x:c>
      <x:c r="J51" s="25" t="n">
        <x:v>3</x:v>
      </x:c>
      <x:c r="K51" s="25" t="n">
        <x:v>3</x:v>
      </x:c>
      <x:c r="L51" s="25" t="str">
        <x:v>Pending full-method appraisal</x:v>
      </x:c>
      <x:c r="M51" s="25" t="str">
        <x:v>系统机制/设计实例</x:v>
      </x:c>
      <x:c r="N51" s="82" t="n">
        <x:f>ROUND((G51/2*$E$5+H51/2*$E$6+I51/3*$E$7+J51/3*$E$8+K51/3*$E$9)*3,2)</x:f>
        <x:v>2.78</x:v>
      </x:c>
      <x:c r="O51" s="25" t="str">
        <x:v>Second-reviewer verification required</x:v>
      </x:c>
    </x:row>
    <x:row r="52">
      <x:c r="A52" s="20" t="str">
        <x:v>I40</x:v>
      </x:c>
      <x:c r="B52" s="25" t="str">
        <x:v>A Survey on 3D Virtual Object Manipulation: From the Desktop to Immersive Virtual Environments</x:v>
      </x:c>
      <x:c r="C52" s="25" t="n">
        <x:v>2019</x:v>
      </x:c>
      <x:c r="D52" s="25" t="str">
        <x:v>3D cognition / action theory</x:v>
      </x:c>
      <x:c r="E52" s="25" t="str">
        <x:v>Review / synthesis</x:v>
      </x:c>
      <x:c r="F52" s="25" t="str">
        <x:v>Abstract / extended abstract / author copy verified</x:v>
      </x:c>
      <x:c r="G52" s="25" t="n">
        <x:v>1</x:v>
      </x:c>
      <x:c r="H52" s="25" t="n">
        <x:v>1</x:v>
      </x:c>
      <x:c r="I52" s="25" t="n">
        <x:v>3</x:v>
      </x:c>
      <x:c r="J52" s="25" t="n">
        <x:v>3</x:v>
      </x:c>
      <x:c r="K52" s="25" t="n">
        <x:v>3</x:v>
      </x:c>
      <x:c r="L52" s="25" t="str">
        <x:v>Pending full-method appraisal</x:v>
      </x:c>
      <x:c r="M52" s="25" t="str">
        <x:v>领域范围/概念地图</x:v>
      </x:c>
      <x:c r="N52" s="82" t="n">
        <x:f>ROUND((G52/2*$E$5+H52/2*$E$6+I52/3*$E$7+J52/3*$E$8+K52/3*$E$9)*3,2)</x:f>
        <x:v>2.63</x:v>
      </x:c>
      <x:c r="O52" s="25" t="str">
        <x:v>Second-reviewer verification required</x:v>
      </x:c>
    </x:row>
    <x:row r="53">
      <x:c r="A53" s="20" t="str">
        <x:v>I41</x:v>
      </x:c>
      <x:c r="B53" s="25" t="str">
        <x:v>Sketch-based modeling: A survey</x:v>
      </x:c>
      <x:c r="C53" s="25" t="n">
        <x:v>2009</x:v>
      </x:c>
      <x:c r="D53" s="25" t="str">
        <x:v>Supporting HCI theory</x:v>
      </x:c>
      <x:c r="E53" s="25" t="str">
        <x:v>Review / synthesis</x:v>
      </x:c>
      <x:c r="F53" s="25" t="str">
        <x:v>Abstract / extended abstract / author copy verified</x:v>
      </x:c>
      <x:c r="G53" s="25" t="n">
        <x:v>1</x:v>
      </x:c>
      <x:c r="H53" s="25" t="n">
        <x:v>1</x:v>
      </x:c>
      <x:c r="I53" s="25" t="n">
        <x:v>1</x:v>
      </x:c>
      <x:c r="J53" s="25" t="n">
        <x:v>2</x:v>
      </x:c>
      <x:c r="K53" s="25" t="n">
        <x:v>3</x:v>
      </x:c>
      <x:c r="L53" s="25" t="str">
        <x:v>Pending full-method appraisal</x:v>
      </x:c>
      <x:c r="M53" s="25" t="str">
        <x:v>领域范围/概念地图</x:v>
      </x:c>
      <x:c r="N53" s="82" t="n">
        <x:f>ROUND((G53/2*$E$5+H53/2*$E$6+I53/3*$E$7+J53/3*$E$8+K53/3*$E$9)*3,2)</x:f>
        <x:v>1.82</x:v>
      </x:c>
      <x:c r="O53" s="25" t="str">
        <x:v>Second-reviewer verification required</x:v>
      </x:c>
    </x:row>
    <x:row r="54">
      <x:c r="A54" s="20" t="str">
        <x:v>I42</x:v>
      </x:c>
      <x:c r="B54" s="25" t="str">
        <x:v>Reality-based interaction: a framework for post-WIMP interfaces</x:v>
      </x:c>
      <x:c r="C54" s="25" t="n">
        <x:v>2008</x:v>
      </x:c>
      <x:c r="D54" s="25" t="str">
        <x:v>Supporting HCI theory</x:v>
      </x:c>
      <x:c r="E54" s="25" t="str">
        <x:v>Theory / framework</x:v>
      </x:c>
      <x:c r="F54" s="25" t="str">
        <x:v>Abstract / extended abstract / author copy verified</x:v>
      </x:c>
      <x:c r="G54" s="25" t="n">
        <x:v>1</x:v>
      </x:c>
      <x:c r="H54" s="25" t="n">
        <x:v>1</x:v>
      </x:c>
      <x:c r="I54" s="25" t="n">
        <x:v>3</x:v>
      </x:c>
      <x:c r="J54" s="25" t="n">
        <x:v>3</x:v>
      </x:c>
      <x:c r="K54" s="25" t="n">
        <x:v>3</x:v>
      </x:c>
      <x:c r="L54" s="25" t="str">
        <x:v>Pending full-method appraisal</x:v>
      </x:c>
      <x:c r="M54" s="25" t="str">
        <x:v>机制/设计理据</x:v>
      </x:c>
      <x:c r="N54" s="82" t="n">
        <x:f>ROUND((G54/2*$E$5+H54/2*$E$6+I54/3*$E$7+J54/3*$E$8+K54/3*$E$9)*3,2)</x:f>
        <x:v>2.63</x:v>
      </x:c>
      <x:c r="O54" s="25" t="str">
        <x:v>Second-reviewer verification required</x:v>
      </x:c>
    </x:row>
    <x:row r="55">
      <x:c r="A55" s="20" t="str">
        <x:v>I43</x:v>
      </x:c>
      <x:c r="B55" s="25" t="str">
        <x:v>Distributed cognition: toward a new foundation for human-computer interaction research</x:v>
      </x:c>
      <x:c r="C55" s="25" t="n">
        <x:v>2000</x:v>
      </x:c>
      <x:c r="D55" s="25" t="str">
        <x:v>Supporting HCI theory</x:v>
      </x:c>
      <x:c r="E55" s="25" t="str">
        <x:v>Design / system paper</x:v>
      </x:c>
      <x:c r="F55" s="25" t="str">
        <x:v>Abstract / extended abstract / author copy verified</x:v>
      </x:c>
      <x:c r="G55" s="25" t="n">
        <x:v>1</x:v>
      </x:c>
      <x:c r="H55" s="25" t="n">
        <x:v>1</x:v>
      </x:c>
      <x:c r="I55" s="25" t="n">
        <x:v>3</x:v>
      </x:c>
      <x:c r="J55" s="25" t="n">
        <x:v>3</x:v>
      </x:c>
      <x:c r="K55" s="25" t="n">
        <x:v>3</x:v>
      </x:c>
      <x:c r="L55" s="25" t="str">
        <x:v>Pending full-method appraisal</x:v>
      </x:c>
      <x:c r="M55" s="25" t="str">
        <x:v>系统机制/设计实例</x:v>
      </x:c>
      <x:c r="N55" s="82" t="n">
        <x:f>ROUND((G55/2*$E$5+H55/2*$E$6+I55/3*$E$7+J55/3*$E$8+K55/3*$E$9)*3,2)</x:f>
        <x:v>2.63</x:v>
      </x:c>
      <x:c r="O55" s="25" t="str">
        <x:v>Second-reviewer verification required</x:v>
      </x:c>
    </x:row>
    <x:row r="56">
      <x:c r="A56" s="20" t="str">
        <x:v>I44</x:v>
      </x:c>
      <x:c r="B56" s="25" t="str">
        <x:v>Grounding in Communication</x:v>
      </x:c>
      <x:c r="C56" s="25" t="n">
        <x:v>1991</x:v>
      </x:c>
      <x:c r="D56" s="25" t="str">
        <x:v>Supporting HCI theory</x:v>
      </x:c>
      <x:c r="E56" s="25" t="str">
        <x:v>Design / system paper</x:v>
      </x:c>
      <x:c r="F56" s="25" t="str">
        <x:v>Abstract / extended abstract / author copy verified</x:v>
      </x:c>
      <x:c r="G56" s="25" t="n">
        <x:v>1</x:v>
      </x:c>
      <x:c r="H56" s="25" t="n">
        <x:v>1</x:v>
      </x:c>
      <x:c r="I56" s="25" t="n">
        <x:v>1</x:v>
      </x:c>
      <x:c r="J56" s="25" t="n">
        <x:v>2</x:v>
      </x:c>
      <x:c r="K56" s="25" t="n">
        <x:v>3</x:v>
      </x:c>
      <x:c r="L56" s="25" t="str">
        <x:v>Pending full-method appraisal</x:v>
      </x:c>
      <x:c r="M56" s="25" t="str">
        <x:v>系统机制/设计实例</x:v>
      </x:c>
      <x:c r="N56" s="82" t="n">
        <x:f>ROUND((G56/2*$E$5+H56/2*$E$6+I56/3*$E$7+J56/3*$E$8+K56/3*$E$9)*3,2)</x:f>
        <x:v>1.82</x:v>
      </x:c>
      <x:c r="O56" s="25" t="str">
        <x:v>Second-reviewer verification required</x:v>
      </x:c>
    </x:row>
    <x:row r="57">
      <x:c r="A57" s="20" t="str">
        <x:v>I45</x:v>
      </x:c>
      <x:c r="B57" s="25" t="str">
        <x:v>Multi-Modal Repairs of Conversational Breakdowns in Task-Oriented Dialogs</x:v>
      </x:c>
      <x:c r="C57" s="25" t="n">
        <x:v>2020</x:v>
      </x:c>
      <x:c r="D57" s="25" t="str">
        <x:v>Intent inference mechanism</x:v>
      </x:c>
      <x:c r="E57" s="25" t="str">
        <x:v>Design / system paper</x:v>
      </x:c>
      <x:c r="F57" s="25" t="str">
        <x:v>Abstract / extended abstract / author copy verified</x:v>
      </x:c>
      <x:c r="G57" s="25" t="n">
        <x:v>1</x:v>
      </x:c>
      <x:c r="H57" s="25" t="n">
        <x:v>1</x:v>
      </x:c>
      <x:c r="I57" s="25" t="n">
        <x:v>1</x:v>
      </x:c>
      <x:c r="J57" s="25" t="n">
        <x:v>2</x:v>
      </x:c>
      <x:c r="K57" s="25" t="n">
        <x:v>3</x:v>
      </x:c>
      <x:c r="L57" s="25" t="str">
        <x:v>Pending full-method appraisal</x:v>
      </x:c>
      <x:c r="M57" s="25" t="str">
        <x:v>系统机制/设计实例</x:v>
      </x:c>
      <x:c r="N57" s="82" t="n">
        <x:f>ROUND((G57/2*$E$5+H57/2*$E$6+I57/3*$E$7+J57/3*$E$8+K57/3*$E$9)*3,2)</x:f>
        <x:v>1.82</x:v>
      </x:c>
      <x:c r="O57" s="25" t="str">
        <x:v>Second-reviewer verification required</x:v>
      </x:c>
    </x:row>
    <x:row r="58">
      <x:c r="A58" s="20" t="str">
        <x:v>I46</x:v>
      </x:c>
      <x:c r="B58" s="25" t="str">
        <x:v>Grounding needs</x:v>
      </x:c>
      <x:c r="C58" s="25" t="n">
        <x:v>2005</x:v>
      </x:c>
      <x:c r="D58" s="25" t="str">
        <x:v>Supporting HCI theory</x:v>
      </x:c>
      <x:c r="E58" s="25" t="str">
        <x:v>Design / system paper</x:v>
      </x:c>
      <x:c r="F58" s="25" t="str">
        <x:v>Abstract / extended abstract / author copy verified</x:v>
      </x:c>
      <x:c r="G58" s="25" t="n">
        <x:v>1</x:v>
      </x:c>
      <x:c r="H58" s="25" t="n">
        <x:v>2</x:v>
      </x:c>
      <x:c r="I58" s="25" t="n">
        <x:v>1</x:v>
      </x:c>
      <x:c r="J58" s="25" t="n">
        <x:v>2</x:v>
      </x:c>
      <x:c r="K58" s="25" t="n">
        <x:v>3</x:v>
      </x:c>
      <x:c r="L58" s="25" t="str">
        <x:v>Pending full-method appraisal</x:v>
      </x:c>
      <x:c r="M58" s="25" t="str">
        <x:v>系统机制/设计实例</x:v>
      </x:c>
      <x:c r="N58" s="82" t="n">
        <x:f>ROUND((G58/2*$E$5+H58/2*$E$6+I58/3*$E$7+J58/3*$E$8+K58/3*$E$9)*3,2)</x:f>
        <x:v>1.98</x:v>
      </x:c>
      <x:c r="O58" s="25" t="str">
        <x:v>Second-reviewer verification required</x:v>
      </x:c>
    </x:row>
    <x:row r="59">
      <x:c r="A59" s="20" t="str">
        <x:v>I47</x:v>
      </x:c>
      <x:c r="B59" s="25" t="str">
        <x:v>Learning User Intent from Action Sequences on Interactive Systems</x:v>
      </x:c>
      <x:c r="C59" s="25" t="n">
        <x:v>2017</x:v>
      </x:c>
      <x:c r="D59" s="25" t="str">
        <x:v>Intent inference mechanism</x:v>
      </x:c>
      <x:c r="E59" s="25" t="str">
        <x:v>Design / system paper</x:v>
      </x:c>
      <x:c r="F59" s="25" t="str">
        <x:v>Abstract / extended abstract / author copy verified</x:v>
      </x:c>
      <x:c r="G59" s="25" t="n">
        <x:v>1</x:v>
      </x:c>
      <x:c r="H59" s="25" t="n">
        <x:v>1</x:v>
      </x:c>
      <x:c r="I59" s="25" t="n">
        <x:v>3</x:v>
      </x:c>
      <x:c r="J59" s="25" t="n">
        <x:v>3</x:v>
      </x:c>
      <x:c r="K59" s="25" t="n">
        <x:v>3</x:v>
      </x:c>
      <x:c r="L59" s="25" t="str">
        <x:v>Pending full-method appraisal</x:v>
      </x:c>
      <x:c r="M59" s="25" t="str">
        <x:v>系统机制/设计实例</x:v>
      </x:c>
      <x:c r="N59" s="82" t="n">
        <x:f>ROUND((G59/2*$E$5+H59/2*$E$6+I59/3*$E$7+J59/3*$E$8+K59/3*$E$9)*3,2)</x:f>
        <x:v>2.63</x:v>
      </x:c>
      <x:c r="O59" s="25" t="str">
        <x:v>Second-reviewer verification required</x:v>
      </x:c>
    </x:row>
    <x:row r="60">
      <x:c r="A60" s="20" t="str">
        <x:v>I48</x:v>
      </x:c>
      <x:c r="B60" s="25" t="str">
        <x:v>Fast Hierarchical Goal Schema Recognition</x:v>
      </x:c>
      <x:c r="C60" s="25" t="n">
        <x:v>2006</x:v>
      </x:c>
      <x:c r="D60" s="25" t="str">
        <x:v>Intent inference mechanism</x:v>
      </x:c>
      <x:c r="E60" s="25" t="str">
        <x:v>Computational / technical</x:v>
      </x:c>
      <x:c r="F60" s="25" t="str">
        <x:v>Abstract / extended abstract / author copy verified</x:v>
      </x:c>
      <x:c r="G60" s="25" t="n">
        <x:v>1</x:v>
      </x:c>
      <x:c r="H60" s="25" t="n">
        <x:v>1</x:v>
      </x:c>
      <x:c r="I60" s="25" t="n">
        <x:v>3</x:v>
      </x:c>
      <x:c r="J60" s="25" t="n">
        <x:v>3</x:v>
      </x:c>
      <x:c r="K60" s="25" t="n">
        <x:v>3</x:v>
      </x:c>
      <x:c r="L60" s="25" t="str">
        <x:v>Pending full-method appraisal</x:v>
      </x:c>
      <x:c r="M60" s="25" t="str">
        <x:v>计算可行性/假设结构</x:v>
      </x:c>
      <x:c r="N60" s="82" t="n">
        <x:f>ROUND((G60/2*$E$5+H60/2*$E$6+I60/3*$E$7+J60/3*$E$8+K60/3*$E$9)*3,2)</x:f>
        <x:v>2.63</x:v>
      </x:c>
      <x:c r="O60" s="25" t="str">
        <x:v>Second-reviewer verification required</x:v>
      </x:c>
    </x:row>
    <x:row r="61">
      <x:c r="A61" s="20" t="str">
        <x:v>I49</x:v>
      </x:c>
      <x:c r="B61" s="25" t="str">
        <x:v>Explicating Implicit Interaction</x:v>
      </x:c>
      <x:c r="C61" s="25" t="n">
        <x:v>2019</x:v>
      </x:c>
      <x:c r="D61" s="25" t="str">
        <x:v>Supporting HCI theory</x:v>
      </x:c>
      <x:c r="E61" s="25" t="str">
        <x:v>Design / system paper</x:v>
      </x:c>
      <x:c r="F61" s="25" t="str">
        <x:v>Abstract / extended abstract / author copy verified</x:v>
      </x:c>
      <x:c r="G61" s="25" t="n">
        <x:v>1</x:v>
      </x:c>
      <x:c r="H61" s="25" t="n">
        <x:v>1</x:v>
      </x:c>
      <x:c r="I61" s="25" t="n">
        <x:v>1</x:v>
      </x:c>
      <x:c r="J61" s="25" t="n">
        <x:v>3</x:v>
      </x:c>
      <x:c r="K61" s="25" t="n">
        <x:v>3</x:v>
      </x:c>
      <x:c r="L61" s="25" t="str">
        <x:v>Pending full-method appraisal</x:v>
      </x:c>
      <x:c r="M61" s="25" t="str">
        <x:v>系统机制/设计实例</x:v>
      </x:c>
      <x:c r="N61" s="82" t="n">
        <x:f>ROUND((G61/2*$E$5+H61/2*$E$6+I61/3*$E$7+J61/3*$E$8+K61/3*$E$9)*3,2)</x:f>
        <x:v>2.03</x:v>
      </x:c>
      <x:c r="O61" s="25" t="str">
        <x:v>Second-reviewer verification required</x:v>
      </x:c>
    </x:row>
    <x:row r="62">
      <x:c r="A62" s="20" t="str">
        <x:v>I50</x:v>
      </x:c>
      <x:c r="B62" s="25" t="str">
        <x:v>Designing Human-Agent Collaborations: Commitment, responsiveness, and support</x:v>
      </x:c>
      <x:c r="C62" s="25" t="n">
        <x:v>2022</x:v>
      </x:c>
      <x:c r="D62" s="25" t="str">
        <x:v>Supporting HCI theory</x:v>
      </x:c>
      <x:c r="E62" s="25" t="str">
        <x:v>Design / system paper</x:v>
      </x:c>
      <x:c r="F62" s="25" t="str">
        <x:v>Abstract / extended abstract / author copy verified</x:v>
      </x:c>
      <x:c r="G62" s="25" t="n">
        <x:v>1</x:v>
      </x:c>
      <x:c r="H62" s="25" t="n">
        <x:v>2</x:v>
      </x:c>
      <x:c r="I62" s="25" t="n">
        <x:v>1</x:v>
      </x:c>
      <x:c r="J62" s="25" t="n">
        <x:v>3</x:v>
      </x:c>
      <x:c r="K62" s="25" t="n">
        <x:v>3</x:v>
      </x:c>
      <x:c r="L62" s="25" t="str">
        <x:v>Pending full-method appraisal</x:v>
      </x:c>
      <x:c r="M62" s="25" t="str">
        <x:v>系统机制/设计实例</x:v>
      </x:c>
      <x:c r="N62" s="82" t="n">
        <x:f>ROUND((G62/2*$E$5+H62/2*$E$6+I62/3*$E$7+J62/3*$E$8+K62/3*$E$9)*3,2)</x:f>
        <x:v>2.17</x:v>
      </x:c>
      <x:c r="O62" s="25" t="str">
        <x:v>Second-reviewer verification required</x:v>
      </x:c>
    </x:row>
    <x:row r="63">
      <x:c r="A63" s="20" t="str">
        <x:v>I51</x:v>
      </x:c>
      <x:c r="B63" s="25" t="str">
        <x:v>The Role of Trust in Proactive Conversational Assistants</x:v>
      </x:c>
      <x:c r="C63" s="25" t="n">
        <x:v>2021</x:v>
      </x:c>
      <x:c r="D63" s="25" t="str">
        <x:v>Supporting HCI theory</x:v>
      </x:c>
      <x:c r="E63" s="25" t="str">
        <x:v>Design / system paper</x:v>
      </x:c>
      <x:c r="F63" s="25" t="str">
        <x:v>Abstract / extended abstract / author copy verified</x:v>
      </x:c>
      <x:c r="G63" s="25" t="n">
        <x:v>1</x:v>
      </x:c>
      <x:c r="H63" s="25" t="n">
        <x:v>2</x:v>
      </x:c>
      <x:c r="I63" s="25" t="n">
        <x:v>3</x:v>
      </x:c>
      <x:c r="J63" s="25" t="n">
        <x:v>3</x:v>
      </x:c>
      <x:c r="K63" s="25" t="n">
        <x:v>3</x:v>
      </x:c>
      <x:c r="L63" s="25" t="str">
        <x:v>Pending full-method appraisal</x:v>
      </x:c>
      <x:c r="M63" s="25" t="str">
        <x:v>系统机制/设计实例</x:v>
      </x:c>
      <x:c r="N63" s="82" t="n">
        <x:f>ROUND((G63/2*$E$5+H63/2*$E$6+I63/3*$E$7+J63/3*$E$8+K63/3*$E$9)*3,2)</x:f>
        <x:v>2.78</x:v>
      </x:c>
      <x:c r="O63" s="25" t="str">
        <x:v>Second-reviewer verification required</x:v>
      </x:c>
    </x:row>
    <x:row r="64">
      <x:c r="A64" s="20" t="str">
        <x:v>I52</x:v>
      </x:c>
      <x:c r="B64" s="25" t="str">
        <x:v>Proactive AI as a Catalyst for Creativity? Balancing Human Agency and AI Contribution in Collaborative Story Writing</x:v>
      </x:c>
      <x:c r="C64" s="25" t="n">
        <x:v>2026</x:v>
      </x:c>
      <x:c r="D64" s="25" t="str">
        <x:v>Co-creation / initiative</x:v>
      </x:c>
      <x:c r="E64" s="25" t="str">
        <x:v>Design / system paper</x:v>
      </x:c>
      <x:c r="F64" s="25" t="str">
        <x:v>Abstract / extended abstract / author copy verified</x:v>
      </x:c>
      <x:c r="G64" s="25" t="n">
        <x:v>1</x:v>
      </x:c>
      <x:c r="H64" s="25" t="n">
        <x:v>1</x:v>
      </x:c>
      <x:c r="I64" s="25" t="n">
        <x:v>2</x:v>
      </x:c>
      <x:c r="J64" s="25" t="n">
        <x:v>3</x:v>
      </x:c>
      <x:c r="K64" s="25" t="n">
        <x:v>3</x:v>
      </x:c>
      <x:c r="L64" s="25" t="str">
        <x:v>Pending full-method appraisal</x:v>
      </x:c>
      <x:c r="M64" s="25" t="str">
        <x:v>系统机制/设计实例</x:v>
      </x:c>
      <x:c r="N64" s="82" t="n">
        <x:f>ROUND((G64/2*$E$5+H64/2*$E$6+I64/3*$E$7+J64/3*$E$8+K64/3*$E$9)*3,2)</x:f>
        <x:v>2.32</x:v>
      </x:c>
      <x:c r="O64" s="25" t="str">
        <x:v>Second-reviewer verification required</x:v>
      </x:c>
    </x:row>
    <x:row r="65">
      <x:c r="A65" s="20" t="str">
        <x:v>I53</x:v>
      </x:c>
      <x:c r="B65" s="25" t="str">
        <x:v>When is a Tool a Tool? User Perceptions of System Agency in Human–AI Co-Creative Drawing</x:v>
      </x:c>
      <x:c r="C65" s="25" t="n">
        <x:v>2023</x:v>
      </x:c>
      <x:c r="D65" s="25" t="str">
        <x:v>Co-creation / initiative</x:v>
      </x:c>
      <x:c r="E65" s="25" t="str">
        <x:v>Design / system paper</x:v>
      </x:c>
      <x:c r="F65" s="25" t="str">
        <x:v>Abstract / extended abstract / author copy verified</x:v>
      </x:c>
      <x:c r="G65" s="25" t="n">
        <x:v>1</x:v>
      </x:c>
      <x:c r="H65" s="25" t="n">
        <x:v>1</x:v>
      </x:c>
      <x:c r="I65" s="25" t="n">
        <x:v>2</x:v>
      </x:c>
      <x:c r="J65" s="25" t="n">
        <x:v>3</x:v>
      </x:c>
      <x:c r="K65" s="25" t="n">
        <x:v>3</x:v>
      </x:c>
      <x:c r="L65" s="25" t="str">
        <x:v>Pending full-method appraisal</x:v>
      </x:c>
      <x:c r="M65" s="25" t="str">
        <x:v>系统机制/设计实例</x:v>
      </x:c>
      <x:c r="N65" s="82" t="n">
        <x:f>ROUND((G65/2*$E$5+H65/2*$E$6+I65/3*$E$7+J65/3*$E$8+K65/3*$E$9)*3,2)</x:f>
        <x:v>2.32</x:v>
      </x:c>
      <x:c r="O65" s="25" t="str">
        <x:v>Second-reviewer verification required</x:v>
      </x:c>
    </x:row>
    <x:row r="66">
      <x:c r="A66" s="20" t="str">
        <x:v>I54</x:v>
      </x:c>
      <x:c r="B66" s="25" t="str">
        <x:v>The AI Ghostwriter Effect: When Users do not Perceive Ownership of AI-Generated Text but Self-Declare as Authors</x:v>
      </x:c>
      <x:c r="C66" s="25" t="n">
        <x:v>2023</x:v>
      </x:c>
      <x:c r="D66" s="25" t="str">
        <x:v>Authority / agency boundary</x:v>
      </x:c>
      <x:c r="E66" s="25" t="str">
        <x:v>Design / system paper</x:v>
      </x:c>
      <x:c r="F66" s="25" t="str">
        <x:v>Abstract / extended abstract / author copy verified</x:v>
      </x:c>
      <x:c r="G66" s="25" t="n">
        <x:v>1</x:v>
      </x:c>
      <x:c r="H66" s="25" t="n">
        <x:v>2</x:v>
      </x:c>
      <x:c r="I66" s="25" t="n">
        <x:v>1</x:v>
      </x:c>
      <x:c r="J66" s="25" t="n">
        <x:v>2</x:v>
      </x:c>
      <x:c r="K66" s="25" t="n">
        <x:v>3</x:v>
      </x:c>
      <x:c r="L66" s="25" t="str">
        <x:v>Pending full-method appraisal</x:v>
      </x:c>
      <x:c r="M66" s="25" t="str">
        <x:v>系统机制/设计实例</x:v>
      </x:c>
      <x:c r="N66" s="82" t="n">
        <x:f>ROUND((G66/2*$E$5+H66/2*$E$6+I66/3*$E$7+J66/3*$E$8+K66/3*$E$9)*3,2)</x:f>
        <x:v>1.98</x:v>
      </x:c>
      <x:c r="O66" s="25" t="str">
        <x:v>Second-reviewer verification required</x:v>
      </x:c>
    </x:row>
    <x:row r="67">
      <x:c r="A67" s="20" t="str">
        <x:v>I55</x:v>
      </x:c>
      <x:c r="B67" s="25" t="str">
        <x:v>Shaping Human-AI Collaboration: Varied Scaffolding Levels in Co-writing with Language Models</x:v>
      </x:c>
      <x:c r="C67" s="25" t="n">
        <x:v>2024</x:v>
      </x:c>
      <x:c r="D67" s="25" t="str">
        <x:v>Supporting HCI theory</x:v>
      </x:c>
      <x:c r="E67" s="25" t="str">
        <x:v>Design / system paper</x:v>
      </x:c>
      <x:c r="F67" s="25" t="str">
        <x:v>Abstract / extended abstract / author copy verified</x:v>
      </x:c>
      <x:c r="G67" s="25" t="n">
        <x:v>1</x:v>
      </x:c>
      <x:c r="H67" s="25" t="n">
        <x:v>1</x:v>
      </x:c>
      <x:c r="I67" s="25" t="n">
        <x:v>1</x:v>
      </x:c>
      <x:c r="J67" s="25" t="n">
        <x:v>2</x:v>
      </x:c>
      <x:c r="K67" s="25" t="n">
        <x:v>3</x:v>
      </x:c>
      <x:c r="L67" s="25" t="str">
        <x:v>Pending full-method appraisal</x:v>
      </x:c>
      <x:c r="M67" s="25" t="str">
        <x:v>系统机制/设计实例</x:v>
      </x:c>
      <x:c r="N67" s="82" t="n">
        <x:f>ROUND((G67/2*$E$5+H67/2*$E$6+I67/3*$E$7+J67/3*$E$8+K67/3*$E$9)*3,2)</x:f>
        <x:v>1.82</x:v>
      </x:c>
      <x:c r="O67" s="25" t="str">
        <x:v>Second-reviewer verification required</x:v>
      </x:c>
    </x:row>
    <x:row r="68">
      <x:c r="A68" s="20" t="str">
        <x:v>I56</x:v>
      </x:c>
      <x:c r="B68" s="25" t="str">
        <x:v>AI Chains: Transparent and Controllable Human-AI Interaction by Chaining Large Language Model Prompts</x:v>
      </x:c>
      <x:c r="C68" s="25" t="n">
        <x:v>2022</x:v>
      </x:c>
      <x:c r="D68" s="25" t="str">
        <x:v>Supporting HCI theory</x:v>
      </x:c>
      <x:c r="E68" s="25" t="str">
        <x:v>Design / system paper</x:v>
      </x:c>
      <x:c r="F68" s="25" t="str">
        <x:v>Abstract / extended abstract / author copy verified</x:v>
      </x:c>
      <x:c r="G68" s="25" t="n">
        <x:v>1</x:v>
      </x:c>
      <x:c r="H68" s="25" t="n">
        <x:v>2</x:v>
      </x:c>
      <x:c r="I68" s="25" t="n">
        <x:v>2</x:v>
      </x:c>
      <x:c r="J68" s="25" t="n">
        <x:v>3</x:v>
      </x:c>
      <x:c r="K68" s="25" t="n">
        <x:v>3</x:v>
      </x:c>
      <x:c r="L68" s="25" t="str">
        <x:v>Pending full-method appraisal</x:v>
      </x:c>
      <x:c r="M68" s="25" t="str">
        <x:v>系统机制/设计实例</x:v>
      </x:c>
      <x:c r="N68" s="82" t="n">
        <x:f>ROUND((G68/2*$E$5+H68/2*$E$6+I68/3*$E$7+J68/3*$E$8+K68/3*$E$9)*3,2)</x:f>
        <x:v>2.47</x:v>
      </x:c>
      <x:c r="O68" s="25" t="str">
        <x:v>Second-reviewer verification required</x:v>
      </x:c>
    </x:row>
    <x:row r="69">
      <x:c r="A69" s="20" t="str">
        <x:v>I57</x:v>
      </x:c>
      <x:c r="B69" s="25" t="str">
        <x:v>Beyond Prompts: Exploring the Design Space of Mixed-Initiative Co-Creativity Systems</x:v>
      </x:c>
      <x:c r="C69" s="25" t="n">
        <x:v>2023</x:v>
      </x:c>
      <x:c r="D69" s="25" t="str">
        <x:v>Co-creation / initiative</x:v>
      </x:c>
      <x:c r="E69" s="25" t="str">
        <x:v>Design / system paper</x:v>
      </x:c>
      <x:c r="F69" s="25" t="str">
        <x:v>Abstract / extended abstract / author copy verified</x:v>
      </x:c>
      <x:c r="G69" s="25" t="n">
        <x:v>1</x:v>
      </x:c>
      <x:c r="H69" s="25" t="n">
        <x:v>2</x:v>
      </x:c>
      <x:c r="I69" s="25" t="n">
        <x:v>3</x:v>
      </x:c>
      <x:c r="J69" s="25" t="n">
        <x:v>3</x:v>
      </x:c>
      <x:c r="K69" s="25" t="n">
        <x:v>3</x:v>
      </x:c>
      <x:c r="L69" s="25" t="str">
        <x:v>Pending full-method appraisal</x:v>
      </x:c>
      <x:c r="M69" s="25" t="str">
        <x:v>系统机制/设计实例</x:v>
      </x:c>
      <x:c r="N69" s="82" t="n">
        <x:f>ROUND((G69/2*$E$5+H69/2*$E$6+I69/3*$E$7+J69/3*$E$8+K69/3*$E$9)*3,2)</x:f>
        <x:v>2.78</x:v>
      </x:c>
      <x:c r="O69" s="25" t="str">
        <x:v>Second-reviewer verification required</x:v>
      </x:c>
    </x:row>
    <x:row r="70">
      <x:c r="A70" s="20" t="str">
        <x:v>I58</x:v>
      </x:c>
      <x:c r="B70" s="25" t="str">
        <x:v>Retrieval-Augmented Generation for Knowledge-Intensive NLP Tasks</x:v>
      </x:c>
      <x:c r="C70" s="25" t="n">
        <x:v>2020</x:v>
      </x:c>
      <x:c r="D70" s="25" t="str">
        <x:v>Memory / case retrieval</x:v>
      </x:c>
      <x:c r="E70" s="25" t="str">
        <x:v>Design / system paper</x:v>
      </x:c>
      <x:c r="F70" s="25" t="str">
        <x:v>Abstract / extended abstract / author copy verified</x:v>
      </x:c>
      <x:c r="G70" s="25" t="n">
        <x:v>1</x:v>
      </x:c>
      <x:c r="H70" s="25" t="n">
        <x:v>1</x:v>
      </x:c>
      <x:c r="I70" s="25" t="n">
        <x:v>2</x:v>
      </x:c>
      <x:c r="J70" s="25" t="n">
        <x:v>2</x:v>
      </x:c>
      <x:c r="K70" s="25" t="n">
        <x:v>3</x:v>
      </x:c>
      <x:c r="L70" s="25" t="str">
        <x:v>Pending full-method appraisal</x:v>
      </x:c>
      <x:c r="M70" s="25" t="str">
        <x:v>系统机制/设计实例</x:v>
      </x:c>
      <x:c r="N70" s="82" t="n">
        <x:f>ROUND((G70/2*$E$5+H70/2*$E$6+I70/3*$E$7+J70/3*$E$8+K70/3*$E$9)*3,2)</x:f>
        <x:v>2.13</x:v>
      </x:c>
      <x:c r="O70" s="25" t="str">
        <x:v>Second-reviewer verification required</x:v>
      </x:c>
    </x:row>
    <x:row r="71">
      <x:c r="A71" s="20" t="str">
        <x:v>I59</x:v>
      </x:c>
      <x:c r="B71" s="25" t="str">
        <x:v>Reflexion: Language Agents with Verbal Reinforcement Learning</x:v>
      </x:c>
      <x:c r="C71" s="25" t="n">
        <x:v>2023</x:v>
      </x:c>
      <x:c r="D71" s="25" t="str">
        <x:v>Memory / case retrieval</x:v>
      </x:c>
      <x:c r="E71" s="25" t="str">
        <x:v>Design / system paper</x:v>
      </x:c>
      <x:c r="F71" s="25" t="str">
        <x:v>Abstract / extended abstract / author copy verified</x:v>
      </x:c>
      <x:c r="G71" s="25" t="n">
        <x:v>1</x:v>
      </x:c>
      <x:c r="H71" s="25" t="n">
        <x:v>1</x:v>
      </x:c>
      <x:c r="I71" s="25" t="n">
        <x:v>2</x:v>
      </x:c>
      <x:c r="J71" s="25" t="n">
        <x:v>2</x:v>
      </x:c>
      <x:c r="K71" s="25" t="n">
        <x:v>3</x:v>
      </x:c>
      <x:c r="L71" s="25" t="str">
        <x:v>Pending full-method appraisal</x:v>
      </x:c>
      <x:c r="M71" s="25" t="str">
        <x:v>系统机制/设计实例</x:v>
      </x:c>
      <x:c r="N71" s="82" t="n">
        <x:f>ROUND((G71/2*$E$5+H71/2*$E$6+I71/3*$E$7+J71/3*$E$8+K71/3*$E$9)*3,2)</x:f>
        <x:v>2.13</x:v>
      </x:c>
      <x:c r="O71" s="25" t="str">
        <x:v>Second-reviewer verification required</x:v>
      </x:c>
    </x:row>
    <x:row r="72">
      <x:c r="A72" s="20" t="str">
        <x:v>I60</x:v>
      </x:c>
      <x:c r="B72" s="25" t="str">
        <x:v>Voyager: An Open-Ended Embodied Agent with Large Language Models</x:v>
      </x:c>
      <x:c r="C72" s="25" t="n">
        <x:v>2023</x:v>
      </x:c>
      <x:c r="D72" s="25" t="str">
        <x:v>Memory / case retrieval</x:v>
      </x:c>
      <x:c r="E72" s="25" t="str">
        <x:v>Design / system paper</x:v>
      </x:c>
      <x:c r="F72" s="25" t="str">
        <x:v>Abstract / extended abstract / author copy verified</x:v>
      </x:c>
      <x:c r="G72" s="25" t="n">
        <x:v>1</x:v>
      </x:c>
      <x:c r="H72" s="25" t="n">
        <x:v>1</x:v>
      </x:c>
      <x:c r="I72" s="25" t="n">
        <x:v>3</x:v>
      </x:c>
      <x:c r="J72" s="25" t="n">
        <x:v>3</x:v>
      </x:c>
      <x:c r="K72" s="25" t="n">
        <x:v>3</x:v>
      </x:c>
      <x:c r="L72" s="25" t="str">
        <x:v>Pending full-method appraisal</x:v>
      </x:c>
      <x:c r="M72" s="25" t="str">
        <x:v>系统机制/设计实例</x:v>
      </x:c>
      <x:c r="N72" s="82" t="n">
        <x:f>ROUND((G72/2*$E$5+H72/2*$E$6+I72/3*$E$7+J72/3*$E$8+K72/3*$E$9)*3,2)</x:f>
        <x:v>2.63</x:v>
      </x:c>
      <x:c r="O72" s="25" t="str">
        <x:v>Second-reviewer verification required</x:v>
      </x:c>
    </x:row>
    <x:row r="73">
      <x:c r="A73" s="20" t="str">
        <x:v>I61</x:v>
      </x:c>
      <x:c r="B73" s="25" t="str">
        <x:v>MemoryBank: Enhancing Large Language Models with Long-Term Memory</x:v>
      </x:c>
      <x:c r="C73" s="25" t="n">
        <x:v>2023</x:v>
      </x:c>
      <x:c r="D73" s="25" t="str">
        <x:v>Memory / case retrieval</x:v>
      </x:c>
      <x:c r="E73" s="25" t="str">
        <x:v>Design / system paper</x:v>
      </x:c>
      <x:c r="F73" s="25" t="str">
        <x:v>Abstract / extended abstract / author copy verified</x:v>
      </x:c>
      <x:c r="G73" s="25" t="n">
        <x:v>1</x:v>
      </x:c>
      <x:c r="H73" s="25" t="n">
        <x:v>1</x:v>
      </x:c>
      <x:c r="I73" s="25" t="n">
        <x:v>2</x:v>
      </x:c>
      <x:c r="J73" s="25" t="n">
        <x:v>3</x:v>
      </x:c>
      <x:c r="K73" s="25" t="n">
        <x:v>3</x:v>
      </x:c>
      <x:c r="L73" s="25" t="str">
        <x:v>Pending full-method appraisal</x:v>
      </x:c>
      <x:c r="M73" s="25" t="str">
        <x:v>系统机制/设计实例</x:v>
      </x:c>
      <x:c r="N73" s="82" t="n">
        <x:f>ROUND((G73/2*$E$5+H73/2*$E$6+I73/3*$E$7+J73/3*$E$8+K73/3*$E$9)*3,2)</x:f>
        <x:v>2.32</x:v>
      </x:c>
      <x:c r="O73" s="25" t="str">
        <x:v>Second-reviewer verification required</x:v>
      </x:c>
    </x:row>
    <x:row r="74">
      <x:c r="A74" s="20" t="str">
        <x:v>I62</x:v>
      </x:c>
      <x:c r="B74" s="25" t="str">
        <x:v>Computational Support for Sketching in Design: A Review</x:v>
      </x:c>
      <x:c r="C74" s="25" t="n">
        <x:v>2009</x:v>
      </x:c>
      <x:c r="D74" s="25" t="str">
        <x:v>Supporting HCI theory</x:v>
      </x:c>
      <x:c r="E74" s="25" t="str">
        <x:v>Design / system paper</x:v>
      </x:c>
      <x:c r="F74" s="25" t="str">
        <x:v>Abstract / extended abstract / author copy verified</x:v>
      </x:c>
      <x:c r="G74" s="25" t="n">
        <x:v>1</x:v>
      </x:c>
      <x:c r="H74" s="25" t="n">
        <x:v>2</x:v>
      </x:c>
      <x:c r="I74" s="25" t="n">
        <x:v>2</x:v>
      </x:c>
      <x:c r="J74" s="25" t="n">
        <x:v>3</x:v>
      </x:c>
      <x:c r="K74" s="25" t="n">
        <x:v>3</x:v>
      </x:c>
      <x:c r="L74" s="25" t="str">
        <x:v>Pending full-method appraisal</x:v>
      </x:c>
      <x:c r="M74" s="25" t="str">
        <x:v>系统机制/设计实例</x:v>
      </x:c>
      <x:c r="N74" s="82" t="n">
        <x:f>ROUND((G74/2*$E$5+H74/2*$E$6+I74/3*$E$7+J74/3*$E$8+K74/3*$E$9)*3,2)</x:f>
        <x:v>2.47</x:v>
      </x:c>
      <x:c r="O74" s="25" t="str">
        <x:v>Second-reviewer verification required</x:v>
      </x:c>
    </x:row>
    <x:row r="75">
      <x:c r="A75" s="20" t="str">
        <x:v>I63</x:v>
      </x:c>
      <x:c r="B75" s="25" t="str">
        <x:v>3D sketching for aesthetic design using fully free-form deformation features</x:v>
      </x:c>
      <x:c r="C75" s="25" t="n">
        <x:v>2005</x:v>
      </x:c>
      <x:c r="D75" s="25" t="str">
        <x:v>3D cognition / action theory</x:v>
      </x:c>
      <x:c r="E75" s="25" t="str">
        <x:v>Design / system paper</x:v>
      </x:c>
      <x:c r="F75" s="25" t="str">
        <x:v>Abstract / extended abstract / author copy verified</x:v>
      </x:c>
      <x:c r="G75" s="25" t="n">
        <x:v>1</x:v>
      </x:c>
      <x:c r="H75" s="25" t="n">
        <x:v>2</x:v>
      </x:c>
      <x:c r="I75" s="25" t="n">
        <x:v>3</x:v>
      </x:c>
      <x:c r="J75" s="25" t="n">
        <x:v>3</x:v>
      </x:c>
      <x:c r="K75" s="25" t="n">
        <x:v>3</x:v>
      </x:c>
      <x:c r="L75" s="25" t="str">
        <x:v>Pending full-method appraisal</x:v>
      </x:c>
      <x:c r="M75" s="25" t="str">
        <x:v>系统机制/设计实例</x:v>
      </x:c>
      <x:c r="N75" s="82" t="n">
        <x:f>ROUND((G75/2*$E$5+H75/2*$E$6+I75/3*$E$7+J75/3*$E$8+K75/3*$E$9)*3,2)</x:f>
        <x:v>2.78</x:v>
      </x:c>
      <x:c r="O75" s="25" t="str">
        <x:v>Second-reviewer verification required</x:v>
      </x:c>
    </x:row>
    <x:row r="76">
      <x:c r="A76" s="20" t="str">
        <x:v>I64</x:v>
      </x:c>
      <x:c r="B76" s="25" t="str">
        <x:v>A Benchmark to Assess Common Ground in Human-AI Collaboration</x:v>
      </x:c>
      <x:c r="C76" s="25" t="n">
        <x:v>2026</x:v>
      </x:c>
      <x:c r="D76" s="25" t="str">
        <x:v>Supporting HCI theory</x:v>
      </x:c>
      <x:c r="E76" s="25" t="str">
        <x:v>Computational / technical</x:v>
      </x:c>
      <x:c r="F76" s="25" t="str">
        <x:v>Abstract / extended abstract / author copy verified</x:v>
      </x:c>
      <x:c r="G76" s="25" t="n">
        <x:v>1</x:v>
      </x:c>
      <x:c r="H76" s="25" t="n">
        <x:v>1</x:v>
      </x:c>
      <x:c r="I76" s="25" t="n">
        <x:v>3</x:v>
      </x:c>
      <x:c r="J76" s="25" t="n">
        <x:v>3</x:v>
      </x:c>
      <x:c r="K76" s="25" t="n">
        <x:v>3</x:v>
      </x:c>
      <x:c r="L76" s="25" t="str">
        <x:v>Pending full-method appraisal</x:v>
      </x:c>
      <x:c r="M76" s="25" t="str">
        <x:v>计算可行性/假设结构</x:v>
      </x:c>
      <x:c r="N76" s="82" t="n">
        <x:f>ROUND((G76/2*$E$5+H76/2*$E$6+I76/3*$E$7+J76/3*$E$8+K76/3*$E$9)*3,2)</x:f>
        <x:v>2.63</x:v>
      </x:c>
      <x:c r="O76" s="25" t="str">
        <x:v>Second-reviewer verification required</x:v>
      </x:c>
    </x:row>
    <x:row r="77">
      <x:c r="A77" s="20" t="str">
        <x:v>I65</x:v>
      </x:c>
      <x:c r="B77" s="25" t="str">
        <x:v>SummAct: Uncovering User Intentions Through Interactive Behaviour Summarisation</x:v>
      </x:c>
      <x:c r="C77" s="25" t="n">
        <x:v>2025</x:v>
      </x:c>
      <x:c r="D77" s="25" t="str">
        <x:v>Intent inference mechanism</x:v>
      </x:c>
      <x:c r="E77" s="25" t="str">
        <x:v>Design / system paper</x:v>
      </x:c>
      <x:c r="F77" s="25" t="str">
        <x:v>Abstract / extended abstract / author copy verified</x:v>
      </x:c>
      <x:c r="G77" s="25" t="n">
        <x:v>1</x:v>
      </x:c>
      <x:c r="H77" s="25" t="n">
        <x:v>1</x:v>
      </x:c>
      <x:c r="I77" s="25" t="n">
        <x:v>3</x:v>
      </x:c>
      <x:c r="J77" s="25" t="n">
        <x:v>3</x:v>
      </x:c>
      <x:c r="K77" s="25" t="n">
        <x:v>3</x:v>
      </x:c>
      <x:c r="L77" s="25" t="str">
        <x:v>Pending full-method appraisal</x:v>
      </x:c>
      <x:c r="M77" s="25" t="str">
        <x:v>系统机制/设计实例</x:v>
      </x:c>
      <x:c r="N77" s="82" t="n">
        <x:f>ROUND((G77/2*$E$5+H77/2*$E$6+I77/3*$E$7+J77/3*$E$8+K77/3*$E$9)*3,2)</x:f>
        <x:v>2.63</x:v>
      </x:c>
      <x:c r="O77" s="25" t="str">
        <x:v>Second-reviewer verification required</x:v>
      </x:c>
    </x:row>
    <x:row r="78">
      <x:c r="A78" s="20" t="str">
        <x:v>I66</x:v>
      </x:c>
      <x:c r="B78" s="25" t="str">
        <x:v>Interaction Analysis: Foundations and Practice</x:v>
      </x:c>
      <x:c r="C78" s="25" t="n">
        <x:v>1995</x:v>
      </x:c>
      <x:c r="D78" s="25" t="str">
        <x:v>Coding / evidence method</x:v>
      </x:c>
      <x:c r="E78" s="25" t="str">
        <x:v>Design / system paper</x:v>
      </x:c>
      <x:c r="F78" s="25" t="str">
        <x:v>Abstract / extended abstract / author copy verified</x:v>
      </x:c>
      <x:c r="G78" s="25" t="n">
        <x:v>1</x:v>
      </x:c>
      <x:c r="H78" s="25" t="n">
        <x:v>1</x:v>
      </x:c>
      <x:c r="I78" s="25" t="n">
        <x:v>3</x:v>
      </x:c>
      <x:c r="J78" s="25" t="n">
        <x:v>3</x:v>
      </x:c>
      <x:c r="K78" s="25" t="n">
        <x:v>3</x:v>
      </x:c>
      <x:c r="L78" s="25" t="str">
        <x:v>Pending full-method appraisal</x:v>
      </x:c>
      <x:c r="M78" s="25" t="str">
        <x:v>系统机制/设计实例</x:v>
      </x:c>
      <x:c r="N78" s="82" t="n">
        <x:f>ROUND((G78/2*$E$5+H78/2*$E$6+I78/3*$E$7+J78/3*$E$8+K78/3*$E$9)*3,2)</x:f>
        <x:v>2.63</x:v>
      </x:c>
      <x:c r="O78" s="25" t="str">
        <x:v>Second-reviewer verification required</x:v>
      </x:c>
    </x:row>
    <x:row r="79">
      <x:c r="A79" s="20" t="str">
        <x:v>I67</x:v>
      </x:c>
      <x:c r="B79" s="25" t="str">
        <x:v>Applied cognitive task analysis (ACTA): a practitioner's toolkit for understanding cognitive task demands</x:v>
      </x:c>
      <x:c r="C79" s="25" t="n">
        <x:v>2000</x:v>
      </x:c>
      <x:c r="D79" s="25" t="str">
        <x:v>Coding / evidence method</x:v>
      </x:c>
      <x:c r="E79" s="25" t="str">
        <x:v>Design / system paper</x:v>
      </x:c>
      <x:c r="F79" s="25" t="str">
        <x:v>Abstract / extended abstract / author copy verified</x:v>
      </x:c>
      <x:c r="G79" s="25" t="n">
        <x:v>1</x:v>
      </x:c>
      <x:c r="H79" s="25" t="n">
        <x:v>1</x:v>
      </x:c>
      <x:c r="I79" s="25" t="n">
        <x:v>2</x:v>
      </x:c>
      <x:c r="J79" s="25" t="n">
        <x:v>2</x:v>
      </x:c>
      <x:c r="K79" s="25" t="n">
        <x:v>3</x:v>
      </x:c>
      <x:c r="L79" s="25" t="str">
        <x:v>Pending full-method appraisal</x:v>
      </x:c>
      <x:c r="M79" s="25" t="str">
        <x:v>系统机制/设计实例</x:v>
      </x:c>
      <x:c r="N79" s="82" t="n">
        <x:f>ROUND((G79/2*$E$5+H79/2*$E$6+I79/3*$E$7+J79/3*$E$8+K79/3*$E$9)*3,2)</x:f>
        <x:v>2.13</x:v>
      </x:c>
      <x:c r="O79" s="25" t="str">
        <x:v>Second-reviewer verification required</x:v>
      </x:c>
    </x:row>
    <x:row r="80">
      <x:c r="A80" s="20" t="str">
        <x:v>I68</x:v>
      </x:c>
      <x:c r="B80" s="25" t="str">
        <x:v>Stimulated recall: a method for research on teaching</x:v>
      </x:c>
      <x:c r="C80" s="25" t="n">
        <x:v>1981</x:v>
      </x:c>
      <x:c r="D80" s="25" t="str">
        <x:v>Coding / evidence method</x:v>
      </x:c>
      <x:c r="E80" s="25" t="str">
        <x:v>Design / system paper</x:v>
      </x:c>
      <x:c r="F80" s="25" t="str">
        <x:v>Abstract / extended abstract / author copy verified</x:v>
      </x:c>
      <x:c r="G80" s="25" t="n">
        <x:v>1</x:v>
      </x:c>
      <x:c r="H80" s="25" t="n">
        <x:v>1</x:v>
      </x:c>
      <x:c r="I80" s="25" t="n">
        <x:v>3</x:v>
      </x:c>
      <x:c r="J80" s="25" t="n">
        <x:v>3</x:v>
      </x:c>
      <x:c r="K80" s="25" t="n">
        <x:v>3</x:v>
      </x:c>
      <x:c r="L80" s="25" t="str">
        <x:v>Pending full-method appraisal</x:v>
      </x:c>
      <x:c r="M80" s="25" t="str">
        <x:v>系统机制/设计实例</x:v>
      </x:c>
      <x:c r="N80" s="82" t="n">
        <x:f>ROUND((G80/2*$E$5+H80/2*$E$6+I80/3*$E$7+J80/3*$E$8+K80/3*$E$9)*3,2)</x:f>
        <x:v>2.63</x:v>
      </x:c>
      <x:c r="O80" s="25" t="str">
        <x:v>Second-reviewer verification required</x:v>
      </x:c>
    </x:row>
    <x:row r="81">
      <x:c r="A81" s="20" t="str">
        <x:v>I69</x:v>
      </x:c>
      <x:c r="B81" s="25" t="str">
        <x:v>Exploring the Added Value of Video-Stimulated Recall in Researching the Primary Care Doctor-Patient Consultation</x:v>
      </x:c>
      <x:c r="C81" s="25" t="n">
        <x:v>2017</x:v>
      </x:c>
      <x:c r="D81" s="25" t="str">
        <x:v>Coding / evidence method</x:v>
      </x:c>
      <x:c r="E81" s="25" t="str">
        <x:v>Empirical evaluation</x:v>
      </x:c>
      <x:c r="F81" s="25" t="str">
        <x:v>Abstract / extended abstract / author copy verified</x:v>
      </x:c>
      <x:c r="G81" s="25" t="n">
        <x:v>1</x:v>
      </x:c>
      <x:c r="H81" s="25" t="n">
        <x:v>1</x:v>
      </x:c>
      <x:c r="I81" s="25" t="n">
        <x:v>2</x:v>
      </x:c>
      <x:c r="J81" s="25" t="n">
        <x:v>2</x:v>
      </x:c>
      <x:c r="K81" s="25" t="n">
        <x:v>3</x:v>
      </x:c>
      <x:c r="L81" s="25" t="str">
        <x:v>Pending full-method appraisal</x:v>
      </x:c>
      <x:c r="M81" s="25" t="str">
        <x:v>经验结果（方法复核后）</x:v>
      </x:c>
      <x:c r="N81" s="82" t="n">
        <x:f>ROUND((G81/2*$E$5+H81/2*$E$6+I81/3*$E$7+J81/3*$E$8+K81/3*$E$9)*3,2)</x:f>
        <x:v>2.13</x:v>
      </x:c>
      <x:c r="O81" s="25" t="str">
        <x:v>Second-reviewer verification required</x:v>
      </x:c>
    </x:row>
    <x:row r="82">
      <x:c r="A82" s="20" t="str">
        <x:v>I70</x:v>
      </x:c>
      <x:c r="B82" s="25" t="str">
        <x:v>Video Annotator: A framework for efficiently building video classifiers using vision-language models and active learning</x:v>
      </x:c>
      <x:c r="C82" s="25" t="n">
        <x:v>2024</x:v>
      </x:c>
      <x:c r="D82" s="25" t="str">
        <x:v>Coding / evidence method</x:v>
      </x:c>
      <x:c r="E82" s="25" t="str">
        <x:v>Computational / technical</x:v>
      </x:c>
      <x:c r="F82" s="25" t="str">
        <x:v>Abstract / extended abstract / author copy verified</x:v>
      </x:c>
      <x:c r="G82" s="25" t="n">
        <x:v>1</x:v>
      </x:c>
      <x:c r="H82" s="25" t="n">
        <x:v>1</x:v>
      </x:c>
      <x:c r="I82" s="25" t="n">
        <x:v>3</x:v>
      </x:c>
      <x:c r="J82" s="25" t="n">
        <x:v>3</x:v>
      </x:c>
      <x:c r="K82" s="25" t="n">
        <x:v>3</x:v>
      </x:c>
      <x:c r="L82" s="25" t="str">
        <x:v>Pending full-method appraisal</x:v>
      </x:c>
      <x:c r="M82" s="25" t="str">
        <x:v>计算可行性/假设结构</x:v>
      </x:c>
      <x:c r="N82" s="82" t="n">
        <x:f>ROUND((G82/2*$E$5+H82/2*$E$6+I82/3*$E$7+J82/3*$E$8+K82/3*$E$9)*3,2)</x:f>
        <x:v>2.63</x:v>
      </x:c>
      <x:c r="O82" s="25" t="str">
        <x:v>Second-reviewer verification required</x:v>
      </x:c>
    </x:row>
    <x:row r="83">
      <x:c r="A83" s="20" t="str">
        <x:v>I71</x:v>
      </x:c>
      <x:c r="B83" s="25" t="str">
        <x:v>VideoCoT: A Video Chain-of-Thought Dataset with Active Annotation Tool</x:v>
      </x:c>
      <x:c r="C83" s="25" t="n">
        <x:v>2024</x:v>
      </x:c>
      <x:c r="D83" s="25" t="str">
        <x:v>Coding / evidence method</x:v>
      </x:c>
      <x:c r="E83" s="25" t="str">
        <x:v>Design / system paper</x:v>
      </x:c>
      <x:c r="F83" s="25" t="str">
        <x:v>Abstract / extended abstract / author copy verified</x:v>
      </x:c>
      <x:c r="G83" s="25" t="n">
        <x:v>1</x:v>
      </x:c>
      <x:c r="H83" s="25" t="n">
        <x:v>1</x:v>
      </x:c>
      <x:c r="I83" s="25" t="n">
        <x:v>3</x:v>
      </x:c>
      <x:c r="J83" s="25" t="n">
        <x:v>3</x:v>
      </x:c>
      <x:c r="K83" s="25" t="n">
        <x:v>3</x:v>
      </x:c>
      <x:c r="L83" s="25" t="str">
        <x:v>Pending full-method appraisal</x:v>
      </x:c>
      <x:c r="M83" s="25" t="str">
        <x:v>系统机制/设计实例</x:v>
      </x:c>
      <x:c r="N83" s="82" t="n">
        <x:f>ROUND((G83/2*$E$5+H83/2*$E$6+I83/3*$E$7+J83/3*$E$8+K83/3*$E$9)*3,2)</x:f>
        <x:v>2.63</x:v>
      </x:c>
      <x:c r="O83" s="25" t="str">
        <x:v>Second-reviewer verification required</x:v>
      </x:c>
    </x:row>
    <x:row r="84">
      <x:c r="A84" s="20" t="str">
        <x:v>I72</x:v>
      </x:c>
      <x:c r="B84" s="25" t="str">
        <x:v>Reliability and Inter-rater Reliability in Qualitative Research: Norms and Guidelines for CSCW and HCI Practice</x:v>
      </x:c>
      <x:c r="C84" s="25" t="n">
        <x:v>2019</x:v>
      </x:c>
      <x:c r="D84" s="25" t="str">
        <x:v>Coding / evidence method</x:v>
      </x:c>
      <x:c r="E84" s="25" t="str">
        <x:v>Theory / framework</x:v>
      </x:c>
      <x:c r="F84" s="25" t="str">
        <x:v>Abstract / extended abstract / author copy verified</x:v>
      </x:c>
      <x:c r="G84" s="25" t="n">
        <x:v>1</x:v>
      </x:c>
      <x:c r="H84" s="25" t="n">
        <x:v>1</x:v>
      </x:c>
      <x:c r="I84" s="25" t="n">
        <x:v>3</x:v>
      </x:c>
      <x:c r="J84" s="25" t="n">
        <x:v>3</x:v>
      </x:c>
      <x:c r="K84" s="25" t="n">
        <x:v>3</x:v>
      </x:c>
      <x:c r="L84" s="25" t="str">
        <x:v>Pending full-method appraisal</x:v>
      </x:c>
      <x:c r="M84" s="25" t="str">
        <x:v>机制/设计理据</x:v>
      </x:c>
      <x:c r="N84" s="82" t="n">
        <x:f>ROUND((G84/2*$E$5+H84/2*$E$6+I84/3*$E$7+J84/3*$E$8+K84/3*$E$9)*3,2)</x:f>
        <x:v>2.63</x:v>
      </x:c>
      <x:c r="O84" s="25" t="str">
        <x:v>Second-reviewer verification required</x:v>
      </x:c>
    </x:row>
    <x:row r="85">
      <x:c r="A85" s="20" t="str">
        <x:v>I73</x:v>
      </x:c>
      <x:c r="B85" s="25" t="str">
        <x:v>Answering the Call for a Standard Reliability Measure for Coding Data</x:v>
      </x:c>
      <x:c r="C85" s="25" t="n">
        <x:v>2007</x:v>
      </x:c>
      <x:c r="D85" s="25" t="str">
        <x:v>Coding / evidence method</x:v>
      </x:c>
      <x:c r="E85" s="25" t="str">
        <x:v>Theory / framework</x:v>
      </x:c>
      <x:c r="F85" s="25" t="str">
        <x:v>Abstract / extended abstract / author copy verified</x:v>
      </x:c>
      <x:c r="G85" s="25" t="n">
        <x:v>1</x:v>
      </x:c>
      <x:c r="H85" s="25" t="n">
        <x:v>1</x:v>
      </x:c>
      <x:c r="I85" s="25" t="n">
        <x:v>2</x:v>
      </x:c>
      <x:c r="J85" s="25" t="n">
        <x:v>2</x:v>
      </x:c>
      <x:c r="K85" s="25" t="n">
        <x:v>3</x:v>
      </x:c>
      <x:c r="L85" s="25" t="str">
        <x:v>Pending full-method appraisal</x:v>
      </x:c>
      <x:c r="M85" s="25" t="str">
        <x:v>机制/设计理据</x:v>
      </x:c>
      <x:c r="N85" s="82" t="n">
        <x:f>ROUND((G85/2*$E$5+H85/2*$E$6+I85/3*$E$7+J85/3*$E$8+K85/3*$E$9)*3,2)</x:f>
        <x:v>2.13</x:v>
      </x:c>
      <x:c r="O85" s="25" t="str">
        <x:v>Second-reviewer verification required</x:v>
      </x:c>
    </x:row>
    <x:row r="86">
      <x:c r="A86" s="20" t="str">
        <x:v>I74</x:v>
      </x:c>
      <x:c r="B86" s="25" t="str">
        <x:v>Inter-Coder Agreement for Computational Linguistics</x:v>
      </x:c>
      <x:c r="C86" s="25" t="n">
        <x:v>2008</x:v>
      </x:c>
      <x:c r="D86" s="25" t="str">
        <x:v>Coding / evidence method</x:v>
      </x:c>
      <x:c r="E86" s="25" t="str">
        <x:v>Design / system paper</x:v>
      </x:c>
      <x:c r="F86" s="25" t="str">
        <x:v>Abstract / extended abstract / author copy verified</x:v>
      </x:c>
      <x:c r="G86" s="25" t="n">
        <x:v>1</x:v>
      </x:c>
      <x:c r="H86" s="25" t="n">
        <x:v>1</x:v>
      </x:c>
      <x:c r="I86" s="25" t="n">
        <x:v>3</x:v>
      </x:c>
      <x:c r="J86" s="25" t="n">
        <x:v>3</x:v>
      </x:c>
      <x:c r="K86" s="25" t="n">
        <x:v>3</x:v>
      </x:c>
      <x:c r="L86" s="25" t="str">
        <x:v>Pending full-method appraisal</x:v>
      </x:c>
      <x:c r="M86" s="25" t="str">
        <x:v>系统机制/设计实例</x:v>
      </x:c>
      <x:c r="N86" s="82" t="n">
        <x:f>ROUND((G86/2*$E$5+H86/2*$E$6+I86/3*$E$7+J86/3*$E$8+K86/3*$E$9)*3,2)</x:f>
        <x:v>2.63</x:v>
      </x:c>
      <x:c r="O86" s="25" t="str">
        <x:v>Second-reviewer verification required</x:v>
      </x:c>
    </x:row>
    <x:row r="87">
      <x:c r="A87" s="20" t="str">
        <x:v>I75</x:v>
      </x:c>
      <x:c r="B87" s="25" t="str">
        <x:v>Intercoder Reliability in Qualitative Research: Debates and Practical Guidelines</x:v>
      </x:c>
      <x:c r="C87" s="25" t="n">
        <x:v>2020</x:v>
      </x:c>
      <x:c r="D87" s="25" t="str">
        <x:v>Coding / evidence method</x:v>
      </x:c>
      <x:c r="E87" s="25" t="str">
        <x:v>Theory / framework</x:v>
      </x:c>
      <x:c r="F87" s="25" t="str">
        <x:v>Abstract / extended abstract / author copy verified</x:v>
      </x:c>
      <x:c r="G87" s="25" t="n">
        <x:v>1</x:v>
      </x:c>
      <x:c r="H87" s="25" t="n">
        <x:v>1</x:v>
      </x:c>
      <x:c r="I87" s="25" t="n">
        <x:v>2</x:v>
      </x:c>
      <x:c r="J87" s="25" t="n">
        <x:v>2</x:v>
      </x:c>
      <x:c r="K87" s="25" t="n">
        <x:v>3</x:v>
      </x:c>
      <x:c r="L87" s="25" t="str">
        <x:v>Pending full-method appraisal</x:v>
      </x:c>
      <x:c r="M87" s="25" t="str">
        <x:v>机制/设计理据</x:v>
      </x:c>
      <x:c r="N87" s="82" t="n">
        <x:f>ROUND((G87/2*$E$5+H87/2*$E$6+I87/3*$E$7+J87/3*$E$8+K87/3*$E$9)*3,2)</x:f>
        <x:v>2.13</x:v>
      </x:c>
      <x:c r="O87" s="25" t="str">
        <x:v>Second-reviewer verification required</x:v>
      </x:c>
    </x:row>
    <x:row r="88">
      <x:c r="A88" s="20" t="str">
        <x:v>I76</x:v>
      </x:c>
      <x:c r="B88" s="25" t="str">
        <x:v>Hierarchical task analysis: developments, applications, and extensions</x:v>
      </x:c>
      <x:c r="C88" s="25" t="n">
        <x:v>2006</x:v>
      </x:c>
      <x:c r="D88" s="25" t="str">
        <x:v>Coding / evidence method</x:v>
      </x:c>
      <x:c r="E88" s="25" t="str">
        <x:v>Design / system paper</x:v>
      </x:c>
      <x:c r="F88" s="25" t="str">
        <x:v>Abstract / extended abstract / author copy verified</x:v>
      </x:c>
      <x:c r="G88" s="25" t="n">
        <x:v>1</x:v>
      </x:c>
      <x:c r="H88" s="25" t="n">
        <x:v>1</x:v>
      </x:c>
      <x:c r="I88" s="25" t="n">
        <x:v>2</x:v>
      </x:c>
      <x:c r="J88" s="25" t="n">
        <x:v>3</x:v>
      </x:c>
      <x:c r="K88" s="25" t="n">
        <x:v>3</x:v>
      </x:c>
      <x:c r="L88" s="25" t="str">
        <x:v>Pending full-method appraisal</x:v>
      </x:c>
      <x:c r="M88" s="25" t="str">
        <x:v>系统机制/设计实例</x:v>
      </x:c>
      <x:c r="N88" s="82" t="n">
        <x:f>ROUND((G88/2*$E$5+H88/2*$E$6+I88/3*$E$7+J88/3*$E$8+K88/3*$E$9)*3,2)</x:f>
        <x:v>2.32</x:v>
      </x:c>
      <x:c r="O88" s="25" t="str">
        <x:v>Second-reviewer verification required</x:v>
      </x:c>
    </x:row>
    <x:row r="89">
      <x:c r="A89" s="20" t="str">
        <x:v>I77</x:v>
      </x:c>
      <x:c r="B89" s="25" t="str">
        <x:v>Segmentation Similarity and Agreement</x:v>
      </x:c>
      <x:c r="C89" s="25" t="n">
        <x:v>2012</x:v>
      </x:c>
      <x:c r="D89" s="25" t="str">
        <x:v>Coding / evidence method</x:v>
      </x:c>
      <x:c r="E89" s="25" t="str">
        <x:v>Design / system paper</x:v>
      </x:c>
      <x:c r="F89" s="25" t="str">
        <x:v>Abstract / extended abstract / author copy verified</x:v>
      </x:c>
      <x:c r="G89" s="25" t="n">
        <x:v>1</x:v>
      </x:c>
      <x:c r="H89" s="25" t="n">
        <x:v>1</x:v>
      </x:c>
      <x:c r="I89" s="25" t="n">
        <x:v>3</x:v>
      </x:c>
      <x:c r="J89" s="25" t="n">
        <x:v>3</x:v>
      </x:c>
      <x:c r="K89" s="25" t="n">
        <x:v>3</x:v>
      </x:c>
      <x:c r="L89" s="25" t="str">
        <x:v>Pending full-method appraisal</x:v>
      </x:c>
      <x:c r="M89" s="25" t="str">
        <x:v>系统机制/设计实例</x:v>
      </x:c>
      <x:c r="N89" s="82" t="n">
        <x:f>ROUND((G89/2*$E$5+H89/2*$E$6+I89/3*$E$7+J89/3*$E$8+K89/3*$E$9)*3,2)</x:f>
        <x:v>2.63</x:v>
      </x:c>
      <x:c r="O89" s="25" t="str">
        <x:v>Second-reviewer verification required</x:v>
      </x:c>
    </x:row>
    <x:row r="90">
      <x:c r="A90" s="20" t="str">
        <x:v>I78</x:v>
      </x:c>
      <x:c r="B90" s="25" t="str">
        <x:v>Measuring event segmentation: An investigation into the stability of event boundary agreement across groups</x:v>
      </x:c>
      <x:c r="C90" s="25" t="n">
        <x:v>2023</x:v>
      </x:c>
      <x:c r="D90" s="25" t="str">
        <x:v>Coding / evidence method</x:v>
      </x:c>
      <x:c r="E90" s="25" t="str">
        <x:v>Design / system paper</x:v>
      </x:c>
      <x:c r="F90" s="25" t="str">
        <x:v>Abstract / extended abstract / author copy verified</x:v>
      </x:c>
      <x:c r="G90" s="25" t="n">
        <x:v>1</x:v>
      </x:c>
      <x:c r="H90" s="25" t="n">
        <x:v>1</x:v>
      </x:c>
      <x:c r="I90" s="25" t="n">
        <x:v>2</x:v>
      </x:c>
      <x:c r="J90" s="25" t="n">
        <x:v>2</x:v>
      </x:c>
      <x:c r="K90" s="25" t="n">
        <x:v>3</x:v>
      </x:c>
      <x:c r="L90" s="25" t="str">
        <x:v>Pending full-method appraisal</x:v>
      </x:c>
      <x:c r="M90" s="25" t="str">
        <x:v>系统机制/设计实例</x:v>
      </x:c>
      <x:c r="N90" s="82" t="n">
        <x:f>ROUND((G90/2*$E$5+H90/2*$E$6+I90/3*$E$7+J90/3*$E$8+K90/3*$E$9)*3,2)</x:f>
        <x:v>2.13</x:v>
      </x:c>
      <x:c r="O90" s="25" t="str">
        <x:v>Second-reviewer verification required</x:v>
      </x:c>
    </x:row>
    <x:row r="91">
      <x:c r="A91" s="20" t="str">
        <x:v>I79</x:v>
      </x:c>
      <x:c r="B91" s="25" t="str">
        <x:v>Generic Event Boundary Detection: A Benchmark for Event Segmentation</x:v>
      </x:c>
      <x:c r="C91" s="25" t="n">
        <x:v>2021</x:v>
      </x:c>
      <x:c r="D91" s="25" t="str">
        <x:v>Coding / evidence method</x:v>
      </x:c>
      <x:c r="E91" s="25" t="str">
        <x:v>Computational / technical</x:v>
      </x:c>
      <x:c r="F91" s="25" t="str">
        <x:v>Abstract / extended abstract / author copy verified</x:v>
      </x:c>
      <x:c r="G91" s="25" t="n">
        <x:v>1</x:v>
      </x:c>
      <x:c r="H91" s="25" t="n">
        <x:v>1</x:v>
      </x:c>
      <x:c r="I91" s="25" t="n">
        <x:v>3</x:v>
      </x:c>
      <x:c r="J91" s="25" t="n">
        <x:v>3</x:v>
      </x:c>
      <x:c r="K91" s="25" t="n">
        <x:v>3</x:v>
      </x:c>
      <x:c r="L91" s="25" t="str">
        <x:v>Pending full-method appraisal</x:v>
      </x:c>
      <x:c r="M91" s="25" t="str">
        <x:v>计算可行性/假设结构</x:v>
      </x:c>
      <x:c r="N91" s="82" t="n">
        <x:f>ROUND((G91/2*$E$5+H91/2*$E$6+I91/3*$E$7+J91/3*$E$8+K91/3*$E$9)*3,2)</x:f>
        <x:v>2.63</x:v>
      </x:c>
      <x:c r="O91" s="25" t="str">
        <x:v>Second-reviewer verification required</x:v>
      </x:c>
    </x:row>
    <x:row r="92">
      <x:c r="A92" s="20" t="str">
        <x:v>I80</x:v>
      </x:c>
      <x:c r="B92" s="25" t="str">
        <x:v>Case-Based Reasoning: Foundational Issues, Methodological Variations, and System Approaches</x:v>
      </x:c>
      <x:c r="C92" s="25" t="n">
        <x:v>1994</x:v>
      </x:c>
      <x:c r="D92" s="25" t="str">
        <x:v>Memory / case retrieval</x:v>
      </x:c>
      <x:c r="E92" s="25" t="str">
        <x:v>Design / system paper</x:v>
      </x:c>
      <x:c r="F92" s="25" t="str">
        <x:v>Abstract / extended abstract / author copy verified</x:v>
      </x:c>
      <x:c r="G92" s="25" t="n">
        <x:v>1</x:v>
      </x:c>
      <x:c r="H92" s="25" t="n">
        <x:v>1</x:v>
      </x:c>
      <x:c r="I92" s="25" t="n">
        <x:v>3</x:v>
      </x:c>
      <x:c r="J92" s="25" t="n">
        <x:v>3</x:v>
      </x:c>
      <x:c r="K92" s="25" t="n">
        <x:v>3</x:v>
      </x:c>
      <x:c r="L92" s="25" t="str">
        <x:v>Pending full-method appraisal</x:v>
      </x:c>
      <x:c r="M92" s="25" t="str">
        <x:v>系统机制/设计实例</x:v>
      </x:c>
      <x:c r="N92" s="82" t="n">
        <x:f>ROUND((G92/2*$E$5+H92/2*$E$6+I92/3*$E$7+J92/3*$E$8+K92/3*$E$9)*3,2)</x:f>
        <x:v>2.63</x:v>
      </x:c>
      <x:c r="O92" s="25" t="str">
        <x:v>Second-reviewer verification required</x:v>
      </x:c>
    </x:row>
    <x:row r="93">
      <x:c r="A93" s="20" t="str">
        <x:v>I81</x:v>
      </x:c>
      <x:c r="B93" s="25" t="str">
        <x:v>Retrieval, reuse, revision and retention in case-based reasoning</x:v>
      </x:c>
      <x:c r="C93" s="25" t="n">
        <x:v>2005</x:v>
      </x:c>
      <x:c r="D93" s="25" t="str">
        <x:v>Memory / case retrieval</x:v>
      </x:c>
      <x:c r="E93" s="25" t="str">
        <x:v>Design / system paper</x:v>
      </x:c>
      <x:c r="F93" s="25" t="str">
        <x:v>Abstract / extended abstract / author copy verified</x:v>
      </x:c>
      <x:c r="G93" s="25" t="n">
        <x:v>1</x:v>
      </x:c>
      <x:c r="H93" s="25" t="n">
        <x:v>1</x:v>
      </x:c>
      <x:c r="I93" s="25" t="n">
        <x:v>2</x:v>
      </x:c>
      <x:c r="J93" s="25" t="n">
        <x:v>2</x:v>
      </x:c>
      <x:c r="K93" s="25" t="n">
        <x:v>3</x:v>
      </x:c>
      <x:c r="L93" s="25" t="str">
        <x:v>Pending full-method appraisal</x:v>
      </x:c>
      <x:c r="M93" s="25" t="str">
        <x:v>系统机制/设计实例</x:v>
      </x:c>
      <x:c r="N93" s="82" t="n">
        <x:f>ROUND((G93/2*$E$5+H93/2*$E$6+I93/3*$E$7+J93/3*$E$8+K93/3*$E$9)*3,2)</x:f>
        <x:v>2.13</x:v>
      </x:c>
      <x:c r="O93" s="25" t="str">
        <x:v>Second-reviewer verification required</x:v>
      </x:c>
    </x:row>
    <x:row r="94">
      <x:c r="A94" s="20" t="str">
        <x:v>I82</x:v>
      </x:c>
      <x:c r="B94" s="25" t="str">
        <x:v>A Taxonomy of Similarity Mechanisms for Case-Based Reasoning</x:v>
      </x:c>
      <x:c r="C94" s="25" t="n">
        <x:v>2009</x:v>
      </x:c>
      <x:c r="D94" s="25" t="str">
        <x:v>Memory / case retrieval</x:v>
      </x:c>
      <x:c r="E94" s="25" t="str">
        <x:v>Theory / framework</x:v>
      </x:c>
      <x:c r="F94" s="25" t="str">
        <x:v>Abstract / extended abstract / author copy verified</x:v>
      </x:c>
      <x:c r="G94" s="25" t="n">
        <x:v>1</x:v>
      </x:c>
      <x:c r="H94" s="25" t="n">
        <x:v>1</x:v>
      </x:c>
      <x:c r="I94" s="25" t="n">
        <x:v>3</x:v>
      </x:c>
      <x:c r="J94" s="25" t="n">
        <x:v>3</x:v>
      </x:c>
      <x:c r="K94" s="25" t="n">
        <x:v>3</x:v>
      </x:c>
      <x:c r="L94" s="25" t="str">
        <x:v>Pending full-method appraisal</x:v>
      </x:c>
      <x:c r="M94" s="25" t="str">
        <x:v>机制/设计理据</x:v>
      </x:c>
      <x:c r="N94" s="82" t="n">
        <x:f>ROUND((G94/2*$E$5+H94/2*$E$6+I94/3*$E$7+J94/3*$E$8+K94/3*$E$9)*3,2)</x:f>
        <x:v>2.63</x:v>
      </x:c>
      <x:c r="O94" s="25" t="str">
        <x:v>Second-reviewer verification required</x:v>
      </x:c>
    </x:row>
    <x:row r="95">
      <x:c r="A95" s="20" t="str">
        <x:v>I83</x:v>
      </x:c>
      <x:c r="B95" s="25" t="str">
        <x:v>Competence Models and the Maintenance Problem</x:v>
      </x:c>
      <x:c r="C95" s="25" t="n">
        <x:v>2001</x:v>
      </x:c>
      <x:c r="D95" s="25" t="str">
        <x:v>Supporting HCI theory</x:v>
      </x:c>
      <x:c r="E95" s="25" t="str">
        <x:v>Design / system paper</x:v>
      </x:c>
      <x:c r="F95" s="25" t="str">
        <x:v>Abstract / extended abstract / author copy verified</x:v>
      </x:c>
      <x:c r="G95" s="25" t="n">
        <x:v>1</x:v>
      </x:c>
      <x:c r="H95" s="25" t="n">
        <x:v>1</x:v>
      </x:c>
      <x:c r="I95" s="25" t="n">
        <x:v>2</x:v>
      </x:c>
      <x:c r="J95" s="25" t="n">
        <x:v>2</x:v>
      </x:c>
      <x:c r="K95" s="25" t="n">
        <x:v>3</x:v>
      </x:c>
      <x:c r="L95" s="25" t="str">
        <x:v>Pending full-method appraisal</x:v>
      </x:c>
      <x:c r="M95" s="25" t="str">
        <x:v>系统机制/设计实例</x:v>
      </x:c>
      <x:c r="N95" s="82" t="n">
        <x:f>ROUND((G95/2*$E$5+H95/2*$E$6+I95/3*$E$7+J95/3*$E$8+K95/3*$E$9)*3,2)</x:f>
        <x:v>2.13</x:v>
      </x:c>
      <x:c r="O95" s="25" t="str">
        <x:v>Second-reviewer verification required</x:v>
      </x:c>
    </x:row>
    <x:row r="96">
      <x:c r="A96" s="20" t="str">
        <x:v>I84</x:v>
      </x:c>
      <x:c r="B96" s="25" t="str">
        <x:v>Explanation in artificial intelligence: Insights from the social sciences</x:v>
      </x:c>
      <x:c r="C96" s="25" t="n">
        <x:v>2019</x:v>
      </x:c>
      <x:c r="D96" s="25" t="str">
        <x:v>Memory / case retrieval</x:v>
      </x:c>
      <x:c r="E96" s="25" t="str">
        <x:v>Design / system paper</x:v>
      </x:c>
      <x:c r="F96" s="25" t="str">
        <x:v>Abstract / extended abstract / author copy verified</x:v>
      </x:c>
      <x:c r="G96" s="25" t="n">
        <x:v>1</x:v>
      </x:c>
      <x:c r="H96" s="25" t="n">
        <x:v>1</x:v>
      </x:c>
      <x:c r="I96" s="25" t="n">
        <x:v>3</x:v>
      </x:c>
      <x:c r="J96" s="25" t="n">
        <x:v>3</x:v>
      </x:c>
      <x:c r="K96" s="25" t="n">
        <x:v>3</x:v>
      </x:c>
      <x:c r="L96" s="25" t="str">
        <x:v>Pending full-method appraisal</x:v>
      </x:c>
      <x:c r="M96" s="25" t="str">
        <x:v>系统机制/设计实例</x:v>
      </x:c>
      <x:c r="N96" s="82" t="n">
        <x:f>ROUND((G96/2*$E$5+H96/2*$E$6+I96/3*$E$7+J96/3*$E$8+K96/3*$E$9)*3,2)</x:f>
        <x:v>2.63</x:v>
      </x:c>
      <x:c r="O96" s="25" t="str">
        <x:v>Second-reviewer verification required</x:v>
      </x:c>
    </x:row>
    <x:row r="97">
      <x:c r="A97" s="20" t="str">
        <x:v>I85</x:v>
      </x:c>
      <x:c r="B97" s="25" t="str">
        <x:v>How Case Based Reasoning Explained Neural Networks: An XAI Survey of Post-Hoc Explanation-by-Example in ANN-CBR Twins</x:v>
      </x:c>
      <x:c r="C97" s="25" t="n">
        <x:v>2019</x:v>
      </x:c>
      <x:c r="D97" s="25" t="str">
        <x:v>Memory / case retrieval</x:v>
      </x:c>
      <x:c r="E97" s="25" t="str">
        <x:v>Review / synthesis</x:v>
      </x:c>
      <x:c r="F97" s="25" t="str">
        <x:v>Abstract / extended abstract / author copy verified</x:v>
      </x:c>
      <x:c r="G97" s="25" t="n">
        <x:v>1</x:v>
      </x:c>
      <x:c r="H97" s="25" t="n">
        <x:v>1</x:v>
      </x:c>
      <x:c r="I97" s="25" t="n">
        <x:v>3</x:v>
      </x:c>
      <x:c r="J97" s="25" t="n">
        <x:v>3</x:v>
      </x:c>
      <x:c r="K97" s="25" t="n">
        <x:v>3</x:v>
      </x:c>
      <x:c r="L97" s="25" t="str">
        <x:v>Pending full-method appraisal</x:v>
      </x:c>
      <x:c r="M97" s="25" t="str">
        <x:v>领域范围/概念地图</x:v>
      </x:c>
      <x:c r="N97" s="82" t="n">
        <x:f>ROUND((G97/2*$E$5+H97/2*$E$6+I97/3*$E$7+J97/3*$E$8+K97/3*$E$9)*3,2)</x:f>
        <x:v>2.63</x:v>
      </x:c>
      <x:c r="O97" s="25" t="str">
        <x:v>Second-reviewer verification required</x:v>
      </x:c>
    </x:row>
    <x:row r="98">
      <x:c r="A98" s="20" t="str">
        <x:v>I86</x:v>
      </x:c>
      <x:c r="B98" s="25" t="str">
        <x:v>Mixed-initiative Variable Autonomy for Remotely Operated Mobile Robots</x:v>
      </x:c>
      <x:c r="C98" s="25" t="n">
        <x:v>2021</x:v>
      </x:c>
      <x:c r="D98" s="25" t="str">
        <x:v>Co-creation / initiative</x:v>
      </x:c>
      <x:c r="E98" s="25" t="str">
        <x:v>Empirical evaluation</x:v>
      </x:c>
      <x:c r="F98" s="25" t="str">
        <x:v>Abstract / extended abstract / author copy verified</x:v>
      </x:c>
      <x:c r="G98" s="25" t="n">
        <x:v>1</x:v>
      </x:c>
      <x:c r="H98" s="25" t="n">
        <x:v>1</x:v>
      </x:c>
      <x:c r="I98" s="25" t="n">
        <x:v>2</x:v>
      </x:c>
      <x:c r="J98" s="25" t="n">
        <x:v>2</x:v>
      </x:c>
      <x:c r="K98" s="25" t="n">
        <x:v>3</x:v>
      </x:c>
      <x:c r="L98" s="25" t="str">
        <x:v>Pending full-method appraisal</x:v>
      </x:c>
      <x:c r="M98" s="25" t="str">
        <x:v>经验结果（方法复核后）</x:v>
      </x:c>
      <x:c r="N98" s="82" t="n">
        <x:f>ROUND((G98/2*$E$5+H98/2*$E$6+I98/3*$E$7+J98/3*$E$8+K98/3*$E$9)*3,2)</x:f>
        <x:v>2.13</x:v>
      </x:c>
      <x:c r="O98" s="25" t="str">
        <x:v>Second-reviewer verification required</x:v>
      </x:c>
    </x:row>
    <x:row r="99">
      <x:c r="A99" s="20" t="str">
        <x:v>I87</x:v>
      </x:c>
      <x:c r="B99" s="25" t="str">
        <x:v>Human-Autonomy Teaming: A Review and Analysis of the Empirical Literature</x:v>
      </x:c>
      <x:c r="C99" s="25" t="n">
        <x:v>2022</x:v>
      </x:c>
      <x:c r="D99" s="25" t="str">
        <x:v>Authority / agency boundary</x:v>
      </x:c>
      <x:c r="E99" s="25" t="str">
        <x:v>Empirical evaluation</x:v>
      </x:c>
      <x:c r="F99" s="25" t="str">
        <x:v>Abstract / extended abstract / author copy verified</x:v>
      </x:c>
      <x:c r="G99" s="25" t="n">
        <x:v>1</x:v>
      </x:c>
      <x:c r="H99" s="25" t="n">
        <x:v>1</x:v>
      </x:c>
      <x:c r="I99" s="25" t="n">
        <x:v>3</x:v>
      </x:c>
      <x:c r="J99" s="25" t="n">
        <x:v>3</x:v>
      </x:c>
      <x:c r="K99" s="25" t="n">
        <x:v>3</x:v>
      </x:c>
      <x:c r="L99" s="25" t="str">
        <x:v>Pending full-method appraisal</x:v>
      </x:c>
      <x:c r="M99" s="25" t="str">
        <x:v>经验结果（方法复核后）</x:v>
      </x:c>
      <x:c r="N99" s="82" t="n">
        <x:f>ROUND((G99/2*$E$5+H99/2*$E$6+I99/3*$E$7+J99/3*$E$8+K99/3*$E$9)*3,2)</x:f>
        <x:v>2.63</x:v>
      </x:c>
      <x:c r="O99" s="25" t="str">
        <x:v>Second-reviewer verification required</x:v>
      </x:c>
    </x:row>
    <x:row r="100">
      <x:c r="A100" s="20" t="str">
        <x:v>I88</x:v>
      </x:c>
      <x:c r="B100" s="25" t="str">
        <x:v>Shared control is the sharp end of cooperation: Towards a common framework of joint action, shared control and human machine cooperation</x:v>
      </x:c>
      <x:c r="C100" s="25" t="n">
        <x:v>2016</x:v>
      </x:c>
      <x:c r="D100" s="25" t="str">
        <x:v>Authority / agency boundary</x:v>
      </x:c>
      <x:c r="E100" s="25" t="str">
        <x:v>Theory / framework</x:v>
      </x:c>
      <x:c r="F100" s="25" t="str">
        <x:v>Abstract / extended abstract / author copy verified</x:v>
      </x:c>
      <x:c r="G100" s="25" t="n">
        <x:v>1</x:v>
      </x:c>
      <x:c r="H100" s="25" t="n">
        <x:v>1</x:v>
      </x:c>
      <x:c r="I100" s="25" t="n">
        <x:v>1</x:v>
      </x:c>
      <x:c r="J100" s="25" t="n">
        <x:v>3</x:v>
      </x:c>
      <x:c r="K100" s="25" t="n">
        <x:v>3</x:v>
      </x:c>
      <x:c r="L100" s="25" t="str">
        <x:v>Pending full-method appraisal</x:v>
      </x:c>
      <x:c r="M100" s="25" t="str">
        <x:v>机制/设计理据</x:v>
      </x:c>
      <x:c r="N100" s="82" t="n">
        <x:f>ROUND((G100/2*$E$5+H100/2*$E$6+I100/3*$E$7+J100/3*$E$8+K100/3*$E$9)*3,2)</x:f>
        <x:v>2.03</x:v>
      </x:c>
      <x:c r="O100" s="25" t="str">
        <x:v>Second-reviewer verification required</x:v>
      </x:c>
    </x:row>
    <x:row r="101">
      <x:c r="A101" s="20" t="str">
        <x:v>I89</x:v>
      </x:c>
      <x:c r="B101" s="25" t="str">
        <x:v>Haptic shared control: smoothly shifting control authority?</x:v>
      </x:c>
      <x:c r="C101" s="25" t="n">
        <x:v>2012</x:v>
      </x:c>
      <x:c r="D101" s="25" t="str">
        <x:v>Authority / agency boundary</x:v>
      </x:c>
      <x:c r="E101" s="25" t="str">
        <x:v>Design / system paper</x:v>
      </x:c>
      <x:c r="F101" s="25" t="str">
        <x:v>Abstract / extended abstract / author copy verified</x:v>
      </x:c>
      <x:c r="G101" s="25" t="n">
        <x:v>1</x:v>
      </x:c>
      <x:c r="H101" s="25" t="n">
        <x:v>1</x:v>
      </x:c>
      <x:c r="I101" s="25" t="n">
        <x:v>3</x:v>
      </x:c>
      <x:c r="J101" s="25" t="n">
        <x:v>3</x:v>
      </x:c>
      <x:c r="K101" s="25" t="n">
        <x:v>3</x:v>
      </x:c>
      <x:c r="L101" s="25" t="str">
        <x:v>Pending full-method appraisal</x:v>
      </x:c>
      <x:c r="M101" s="25" t="str">
        <x:v>系统机制/设计实例</x:v>
      </x:c>
      <x:c r="N101" s="82" t="n">
        <x:f>ROUND((G101/2*$E$5+H101/2*$E$6+I101/3*$E$7+J101/3*$E$8+K101/3*$E$9)*3,2)</x:f>
        <x:v>2.63</x:v>
      </x:c>
      <x:c r="O101" s="25" t="str">
        <x:v>Second-reviewer verification required</x:v>
      </x:c>
    </x:row>
    <x:row r="102">
      <x:c r="A102" s="20" t="str">
        <x:v>I90</x:v>
      </x:c>
      <x:c r="B102" s="25" t="str">
        <x:v>Towards a dynamic balance between humans and automation: authority, ability, responsibility and control in shared and cooperative control situations</x:v>
      </x:c>
      <x:c r="C102" s="25" t="n">
        <x:v>2012</x:v>
      </x:c>
      <x:c r="D102" s="25" t="str">
        <x:v>Authority / agency boundary</x:v>
      </x:c>
      <x:c r="E102" s="25" t="str">
        <x:v>Design / system paper</x:v>
      </x:c>
      <x:c r="F102" s="25" t="str">
        <x:v>Abstract / extended abstract / author copy verified</x:v>
      </x:c>
      <x:c r="G102" s="25" t="n">
        <x:v>1</x:v>
      </x:c>
      <x:c r="H102" s="25" t="n">
        <x:v>1</x:v>
      </x:c>
      <x:c r="I102" s="25" t="n">
        <x:v>2</x:v>
      </x:c>
      <x:c r="J102" s="25" t="n">
        <x:v>2</x:v>
      </x:c>
      <x:c r="K102" s="25" t="n">
        <x:v>3</x:v>
      </x:c>
      <x:c r="L102" s="25" t="str">
        <x:v>Pending full-method appraisal</x:v>
      </x:c>
      <x:c r="M102" s="25" t="str">
        <x:v>系统机制/设计实例</x:v>
      </x:c>
      <x:c r="N102" s="82" t="n">
        <x:f>ROUND((G102/2*$E$5+H102/2*$E$6+I102/3*$E$7+J102/3*$E$8+K102/3*$E$9)*3,2)</x:f>
        <x:v>2.13</x:v>
      </x:c>
      <x:c r="O102" s="25" t="str">
        <x:v>Second-reviewer verification required</x:v>
      </x:c>
    </x:row>
    <x:row r="103">
      <x:c r="A103" s="20" t="str">
        <x:v>I91</x:v>
      </x:c>
      <x:c r="B103" s="25" t="str">
        <x:v>A Topology of Shared Control Systems-Finding Common Ground in Diversity</x:v>
      </x:c>
      <x:c r="C103" s="25" t="n">
        <x:v>2018</x:v>
      </x:c>
      <x:c r="D103" s="25" t="str">
        <x:v>Authority / agency boundary</x:v>
      </x:c>
      <x:c r="E103" s="25" t="str">
        <x:v>Design / system paper</x:v>
      </x:c>
      <x:c r="F103" s="25" t="str">
        <x:v>Abstract / extended abstract / author copy verified</x:v>
      </x:c>
      <x:c r="G103" s="25" t="n">
        <x:v>1</x:v>
      </x:c>
      <x:c r="H103" s="25" t="n">
        <x:v>1</x:v>
      </x:c>
      <x:c r="I103" s="25" t="n">
        <x:v>2</x:v>
      </x:c>
      <x:c r="J103" s="25" t="n">
        <x:v>2</x:v>
      </x:c>
      <x:c r="K103" s="25" t="n">
        <x:v>3</x:v>
      </x:c>
      <x:c r="L103" s="25" t="str">
        <x:v>Pending full-method appraisal</x:v>
      </x:c>
      <x:c r="M103" s="25" t="str">
        <x:v>系统机制/设计实例</x:v>
      </x:c>
      <x:c r="N103" s="82" t="n">
        <x:f>ROUND((G103/2*$E$5+H103/2*$E$6+I103/3*$E$7+J103/3*$E$8+K103/3*$E$9)*3,2)</x:f>
        <x:v>2.13</x:v>
      </x:c>
      <x:c r="O103" s="25" t="str">
        <x:v>Second-reviewer verification required</x:v>
      </x:c>
    </x:row>
    <x:row r="104">
      <x:c r="A104" s="20" t="str">
        <x:v>I92</x:v>
      </x:c>
      <x:c r="B104" s="25" t="str">
        <x:v>Impact of Two Adjustable-Autonomy Models on the Scalability of Single-Human/Multiple-Robot Teams for Exploration Missions</x:v>
      </x:c>
      <x:c r="C104" s="25" t="n">
        <x:v>2011</x:v>
      </x:c>
      <x:c r="D104" s="25" t="str">
        <x:v>Co-creation / initiative</x:v>
      </x:c>
      <x:c r="E104" s="25" t="str">
        <x:v>Design / system paper</x:v>
      </x:c>
      <x:c r="F104" s="25" t="str">
        <x:v>Abstract / extended abstract / author copy verified</x:v>
      </x:c>
      <x:c r="G104" s="25" t="n">
        <x:v>1</x:v>
      </x:c>
      <x:c r="H104" s="25" t="n">
        <x:v>1</x:v>
      </x:c>
      <x:c r="I104" s="25" t="n">
        <x:v>2</x:v>
      </x:c>
      <x:c r="J104" s="25" t="n">
        <x:v>2</x:v>
      </x:c>
      <x:c r="K104" s="25" t="n">
        <x:v>3</x:v>
      </x:c>
      <x:c r="L104" s="25" t="str">
        <x:v>Pending full-method appraisal</x:v>
      </x:c>
      <x:c r="M104" s="25" t="str">
        <x:v>系统机制/设计实例</x:v>
      </x:c>
      <x:c r="N104" s="82" t="n">
        <x:f>ROUND((G104/2*$E$5+H104/2*$E$6+I104/3*$E$7+J104/3*$E$8+K104/3*$E$9)*3,2)</x:f>
        <x:v>2.13</x:v>
      </x:c>
      <x:c r="O104" s="25" t="str">
        <x:v>Second-reviewer verification required</x:v>
      </x:c>
    </x:row>
    <x:row r="105">
      <x:c r="A105" s="20" t="str">
        <x:v>I93</x:v>
      </x:c>
      <x:c r="B105" s="25" t="str">
        <x:v>Probabilistic Plan Recognition Using Off-the-Shelf Classical Planners</x:v>
      </x:c>
      <x:c r="C105" s="25" t="n">
        <x:v>2010</x:v>
      </x:c>
      <x:c r="D105" s="25" t="str">
        <x:v>Intent inference mechanism</x:v>
      </x:c>
      <x:c r="E105" s="25" t="str">
        <x:v>Computational / technical</x:v>
      </x:c>
      <x:c r="F105" s="25" t="str">
        <x:v>Abstract / extended abstract / author copy verified</x:v>
      </x:c>
      <x:c r="G105" s="25" t="n">
        <x:v>1</x:v>
      </x:c>
      <x:c r="H105" s="25" t="n">
        <x:v>1</x:v>
      </x:c>
      <x:c r="I105" s="25" t="n">
        <x:v>3</x:v>
      </x:c>
      <x:c r="J105" s="25" t="n">
        <x:v>3</x:v>
      </x:c>
      <x:c r="K105" s="25" t="n">
        <x:v>3</x:v>
      </x:c>
      <x:c r="L105" s="25" t="str">
        <x:v>Pending full-method appraisal</x:v>
      </x:c>
      <x:c r="M105" s="25" t="str">
        <x:v>计算可行性/假设结构</x:v>
      </x:c>
      <x:c r="N105" s="82" t="n">
        <x:f>ROUND((G105/2*$E$5+H105/2*$E$6+I105/3*$E$7+J105/3*$E$8+K105/3*$E$9)*3,2)</x:f>
        <x:v>2.63</x:v>
      </x:c>
      <x:c r="O105" s="25" t="str">
        <x:v>Second-reviewer verification required</x:v>
      </x:c>
    </x:row>
    <x:row r="106">
      <x:c r="A106" s="20" t="str">
        <x:v>I94</x:v>
      </x:c>
      <x:c r="B106" s="25" t="str">
        <x:v>Rational quantitative attribution of beliefs, desires and percepts in human mentalizing</x:v>
      </x:c>
      <x:c r="C106" s="25" t="n">
        <x:v>2017</x:v>
      </x:c>
      <x:c r="D106" s="25" t="str">
        <x:v>Intent inference mechanism</x:v>
      </x:c>
      <x:c r="E106" s="25" t="str">
        <x:v>Computational / technical</x:v>
      </x:c>
      <x:c r="F106" s="25" t="str">
        <x:v>Abstract / extended abstract / author copy verified</x:v>
      </x:c>
      <x:c r="G106" s="25" t="n">
        <x:v>1</x:v>
      </x:c>
      <x:c r="H106" s="25" t="n">
        <x:v>1</x:v>
      </x:c>
      <x:c r="I106" s="25" t="n">
        <x:v>3</x:v>
      </x:c>
      <x:c r="J106" s="25" t="n">
        <x:v>3</x:v>
      </x:c>
      <x:c r="K106" s="25" t="n">
        <x:v>3</x:v>
      </x:c>
      <x:c r="L106" s="25" t="str">
        <x:v>Pending full-method appraisal</x:v>
      </x:c>
      <x:c r="M106" s="25" t="str">
        <x:v>计算可行性/假设结构</x:v>
      </x:c>
      <x:c r="N106" s="82" t="n">
        <x:f>ROUND((G106/2*$E$5+H106/2*$E$6+I106/3*$E$7+J106/3*$E$8+K106/3*$E$9)*3,2)</x:f>
        <x:v>2.63</x:v>
      </x:c>
      <x:c r="O106" s="25" t="str">
        <x:v>Second-reviewer verification required</x:v>
      </x:c>
    </x:row>
    <x:row r="107">
      <x:c r="A107" s="20" t="str">
        <x:v>I95</x:v>
      </x:c>
      <x:c r="B107" s="25" t="str">
        <x:v>Online Probabilistic Goal Recognition over Nominal Models</x:v>
      </x:c>
      <x:c r="C107" s="25" t="n">
        <x:v>2019</x:v>
      </x:c>
      <x:c r="D107" s="25" t="str">
        <x:v>Intent inference mechanism</x:v>
      </x:c>
      <x:c r="E107" s="25" t="str">
        <x:v>Computational / technical</x:v>
      </x:c>
      <x:c r="F107" s="25" t="str">
        <x:v>Abstract / extended abstract / author copy verified</x:v>
      </x:c>
      <x:c r="G107" s="25" t="n">
        <x:v>1</x:v>
      </x:c>
      <x:c r="H107" s="25" t="n">
        <x:v>1</x:v>
      </x:c>
      <x:c r="I107" s="25" t="n">
        <x:v>3</x:v>
      </x:c>
      <x:c r="J107" s="25" t="n">
        <x:v>3</x:v>
      </x:c>
      <x:c r="K107" s="25" t="n">
        <x:v>3</x:v>
      </x:c>
      <x:c r="L107" s="25" t="str">
        <x:v>Pending full-method appraisal</x:v>
      </x:c>
      <x:c r="M107" s="25" t="str">
        <x:v>计算可行性/假设结构</x:v>
      </x:c>
      <x:c r="N107" s="82" t="n">
        <x:f>ROUND((G107/2*$E$5+H107/2*$E$6+I107/3*$E$7+J107/3*$E$8+K107/3*$E$9)*3,2)</x:f>
        <x:v>2.63</x:v>
      </x:c>
      <x:c r="O107" s="25" t="str">
        <x:v>Second-reviewer verification required</x:v>
      </x:c>
    </x:row>
    <x:row r="108">
      <x:c r="A108" s="20" t="str">
        <x:v>I96</x:v>
      </x:c>
      <x:c r="B108" s="25" t="str">
        <x:v>Accounting for Observer's Partial Observability in Stochastic Goal Recognition Design</x:v>
      </x:c>
      <x:c r="C108" s="25" t="n">
        <x:v>2020</x:v>
      </x:c>
      <x:c r="D108" s="25" t="str">
        <x:v>Intent inference mechanism</x:v>
      </x:c>
      <x:c r="E108" s="25" t="str">
        <x:v>Computational / technical</x:v>
      </x:c>
      <x:c r="F108" s="25" t="str">
        <x:v>Abstract / extended abstract / author copy verified</x:v>
      </x:c>
      <x:c r="G108" s="25" t="n">
        <x:v>1</x:v>
      </x:c>
      <x:c r="H108" s="25" t="n">
        <x:v>1</x:v>
      </x:c>
      <x:c r="I108" s="25" t="n">
        <x:v>3</x:v>
      </x:c>
      <x:c r="J108" s="25" t="n">
        <x:v>3</x:v>
      </x:c>
      <x:c r="K108" s="25" t="n">
        <x:v>3</x:v>
      </x:c>
      <x:c r="L108" s="25" t="str">
        <x:v>Pending full-method appraisal</x:v>
      </x:c>
      <x:c r="M108" s="25" t="str">
        <x:v>计算可行性/假设结构</x:v>
      </x:c>
      <x:c r="N108" s="82" t="n">
        <x:f>ROUND((G108/2*$E$5+H108/2*$E$6+I108/3*$E$7+J108/3*$E$8+K108/3*$E$9)*3,2)</x:f>
        <x:v>2.63</x:v>
      </x:c>
      <x:c r="O108" s="25" t="str">
        <x:v>Second-reviewer verification required</x:v>
      </x:c>
    </x:row>
    <x:row r="109">
      <x:c r="A109" s="20" t="str">
        <x:v>I97</x:v>
      </x:c>
      <x:c r="B109" s="25" t="str">
        <x:v>Goal Recognition with Timing Information</x:v>
      </x:c>
      <x:c r="C109" s="25" t="n">
        <x:v>2023</x:v>
      </x:c>
      <x:c r="D109" s="25" t="str">
        <x:v>Intent inference mechanism</x:v>
      </x:c>
      <x:c r="E109" s="25" t="str">
        <x:v>Computational / technical</x:v>
      </x:c>
      <x:c r="F109" s="25" t="str">
        <x:v>Abstract / extended abstract / author copy verified</x:v>
      </x:c>
      <x:c r="G109" s="25" t="n">
        <x:v>1</x:v>
      </x:c>
      <x:c r="H109" s="25" t="n">
        <x:v>1</x:v>
      </x:c>
      <x:c r="I109" s="25" t="n">
        <x:v>3</x:v>
      </x:c>
      <x:c r="J109" s="25" t="n">
        <x:v>3</x:v>
      </x:c>
      <x:c r="K109" s="25" t="n">
        <x:v>3</x:v>
      </x:c>
      <x:c r="L109" s="25" t="str">
        <x:v>Pending full-method appraisal</x:v>
      </x:c>
      <x:c r="M109" s="25" t="str">
        <x:v>计算可行性/假设结构</x:v>
      </x:c>
      <x:c r="N109" s="82" t="n">
        <x:f>ROUND((G109/2*$E$5+H109/2*$E$6+I109/3*$E$7+J109/3*$E$8+K109/3*$E$9)*3,2)</x:f>
        <x:v>2.63</x:v>
      </x:c>
      <x:c r="O109" s="25" t="str">
        <x:v>Second-reviewer verification required</x:v>
      </x:c>
    </x:row>
  </x:sheetData>
  <x:mergeCells>
    <x:mergeCell ref="A1:O1"/>
    <x:mergeCell ref="A2:O2"/>
    <x:mergeCell ref="C4:D4"/>
    <x:mergeCell ref="C5:D5"/>
    <x:mergeCell ref="C6:D6"/>
    <x:mergeCell ref="C7:D7"/>
    <x:mergeCell ref="C8:D8"/>
    <x:mergeCell ref="C9:D9"/>
    <x:mergeCell ref="F4:O9"/>
  </x:mergeCells>
  <x:conditionalFormatting sqref="N13:N109">
    <x:cfRule type="colorScale" priority="1">
      <x:colorScale>
        <x:cfvo type="min"/>
        <x:cfvo type="percentile" val="50"/>
        <x:cfvo type="max"/>
        <x:color rgb="FFFADBD8"/>
        <x:color rgb="FFFFF2CC"/>
        <x:color rgb="FFDFF3E8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b2eae96ce97e48c4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58" hidden="0" customWidth="1"/>
    <x:col min="3" max="3" width="55" hidden="0" customWidth="1"/>
    <x:col min="4" max="4" width="52" hidden="0" customWidth="1"/>
    <x:col min="5" max="5" width="52" hidden="0" customWidth="1"/>
    <x:col min="6" max="6" width="48" hidden="0" customWidth="1"/>
    <x:col min="7" max="7" width="42" hidden="0" customWidth="1"/>
  </x:cols>
  <x:sheetData>
    <x:row r="1" ht="30" customHeight="1">
      <x:c r="A1" s="3" t="str">
        <x:v>DC1 验证协议：从教程 case 到真实共创</x:v>
      </x:c>
    </x:row>
    <x:row r="2" ht="30" customHeight="1">
      <x:c r="A2" s="7" t="str">
        <x:v>规模是可编辑的规划起点，不是已完成 power analysis 的最终样本量。教程用于建立操作—目标原型；真实任务与 stimulated recall 用于校验 latent intent 和接管边界。</x:v>
      </x:c>
    </x:row>
    <x:row r="4">
      <x:c r="A4" s="9" t="str">
        <x:v>可编辑假设</x:v>
      </x:c>
      <x:c r="B4" s="9" t="str">
        <x:v>值</x:v>
      </x:c>
      <x:c r="C4" s="9" t="str">
        <x:v>单位</x:v>
      </x:c>
      <x:c r="D4" s="9" t="str">
        <x:v>理由/计算</x:v>
      </x:c>
    </x:row>
    <x:row r="5" ht="30" customHeight="1">
      <x:c r="A5" s="17" t="str">
        <x:v>内容层</x:v>
      </x:c>
      <x:c r="B5" s="17" t="n">
        <x:v>6</x:v>
      </x:c>
      <x:c r="C5" s="17" t="str">
        <x:v>类</x:v>
      </x:c>
      <x:c r="D5" s="17" t="str">
        <x:v>reference frame、selection/transform、shape/topology、constraints/assembly、appearance、exploration/repair</x:v>
      </x:c>
    </x:row>
    <x:row r="6" ht="30" customHeight="1">
      <x:c r="A6" s="17" t="str">
        <x:v>每层教程视频</x:v>
      </x:c>
      <x:c r="B6" s="17" t="n">
        <x:v>4</x:v>
      </x:c>
      <x:c r="C6" s="17" t="str">
        <x:v>条</x:v>
      </x:c>
      <x:c r="D6" s="17" t="str">
        <x:v>保证每类不被单个创作者/工具完全主导</x:v>
      </x:c>
    </x:row>
    <x:row r="7" ht="30" customHeight="1">
      <x:c r="A7" s="17" t="str">
        <x:v>教程视频总数</x:v>
      </x:c>
      <x:c r="B7" s="17" t="n">
        <x:f>B5*B6</x:f>
        <x:v>24</x:v>
      </x:c>
      <x:c r="C7" s="17" t="str">
        <x:v>条</x:v>
      </x:c>
      <x:c r="D7" s="17" t="str">
        <x:v>=内容层 × 每层视频</x:v>
      </x:c>
    </x:row>
    <x:row r="8" ht="30" customHeight="1">
      <x:c r="A8" s="17" t="str">
        <x:v>预计 episode/视频</x:v>
      </x:c>
      <x:c r="B8" s="17" t="n">
        <x:v>20</x:v>
      </x:c>
      <x:c r="C8" s="17" t="str">
        <x:v>个</x:v>
      </x:c>
      <x:c r="D8" s="17" t="str">
        <x:v>先用6条pilot估计，后续替换为观察中位数</x:v>
      </x:c>
    </x:row>
    <x:row r="9" ht="30" customHeight="1">
      <x:c r="A9" s="17" t="str">
        <x:v>预计 episode 总数</x:v>
      </x:c>
      <x:c r="B9" s="17" t="n">
        <x:f>B7*B8</x:f>
        <x:v>480</x:v>
      </x:c>
      <x:c r="C9" s="17" t="str">
        <x:v>个</x:v>
      </x:c>
      <x:c r="D9" s="17" t="str">
        <x:v>=视频数 × episode/视频</x:v>
      </x:c>
    </x:row>
    <x:row r="10" ht="30" customHeight="1">
      <x:c r="A10" s="17" t="str">
        <x:v>pilot 视频</x:v>
      </x:c>
      <x:c r="B10" s="17" t="n">
        <x:v>6</x:v>
      </x:c>
      <x:c r="C10" s="17" t="str">
        <x:v>条</x:v>
      </x:c>
      <x:c r="D10" s="17" t="str">
        <x:v>每内容层1条，3人独立编码并修订codebook</x:v>
      </x:c>
    </x:row>
    <x:row r="11" ht="30" customHeight="1">
      <x:c r="A11" s="17" t="str">
        <x:v>主语料双编比例</x:v>
      </x:c>
      <x:c r="B11" s="53" t="n">
        <x:v>0.25</x:v>
      </x:c>
      <x:c r="C11" s="17" t="str">
        <x:v>比例</x:v>
      </x:c>
      <x:c r="D11" s="17" t="str">
        <x:v>按内容层、罕见意图、低置信和权限风险分层抽样</x:v>
      </x:c>
    </x:row>
    <x:row r="12" ht="30" customHeight="1">
      <x:c r="A12" s="17" t="str">
        <x:v>pilot三编 episodes</x:v>
      </x:c>
      <x:c r="B12" s="17" t="n">
        <x:f>B10*B8</x:f>
        <x:v>120</x:v>
      </x:c>
      <x:c r="C12" s="17" t="str">
        <x:v>个</x:v>
      </x:c>
      <x:c r="D12" s="17" t="str">
        <x:v>=pilot视频 × episode/视频</x:v>
      </x:c>
    </x:row>
    <x:row r="13" ht="30" customHeight="1">
      <x:c r="A13" s="17" t="str">
        <x:v>主语料双编 episodes</x:v>
      </x:c>
      <x:c r="B13" s="17" t="n">
        <x:f>(B7-B10)*B8*B11</x:f>
        <x:v>90</x:v>
      </x:c>
      <x:c r="C13" s="17" t="str">
        <x:v>个</x:v>
      </x:c>
      <x:c r="D13" s="17" t="str">
        <x:v>=(总视频-pilot) × episode/视频 × 双编比例</x:v>
      </x:c>
    </x:row>
    <x:row r="15">
      <x:c r="A15" s="18" t="str">
        <x:v>分阶段证据链</x:v>
      </x:c>
    </x:row>
    <x:row r="16" ht="30" customHeight="1">
      <x:c r="A16" s="24" t="str">
        <x:v>阶段</x:v>
      </x:c>
      <x:c r="B16" s="24" t="str">
        <x:v>材料/样本</x:v>
      </x:c>
      <x:c r="C16" s="24" t="str">
        <x:v>人员</x:v>
      </x:c>
      <x:c r="D16" s="24" t="str">
        <x:v>VLM职责</x:v>
      </x:c>
      <x:c r="E16" s="24" t="str">
        <x:v>人类/真值职责</x:v>
      </x:c>
      <x:c r="F16" s="24" t="str">
        <x:v>主要指标</x:v>
      </x:c>
      <x:c r="G16" s="24" t="str">
        <x:v>最终产出</x:v>
      </x:c>
    </x:row>
    <x:row r="17" ht="55" customHeight="1">
      <x:c r="A17" s="25" t="str">
        <x:v>P0 Codebook pilot</x:v>
      </x:c>
      <x:c r="B17" s="25" t="str">
        <x:v>6条教程，约120 episodes</x:v>
      </x:c>
      <x:c r="C17" s="25" t="str">
        <x:v>3名人类编码员</x:v>
      </x:c>
      <x:c r="D17" s="25" t="str">
        <x:v>VLM预分段+观察信号+Top-k意图+反证</x:v>
      </x:c>
      <x:c r="E17" s="25" t="str">
        <x:v>3人独立编码；仲裁只在保留原始分歧后进行</x:v>
      </x:c>
      <x:c r="F17" s="25" t="str">
        <x:v>boundary F1/segmentation similarity；分层α/κ；constraint recall</x:v>
      </x:c>
      <x:c r="G17" s="25" t="str">
        <x:v>v1 codebook + boundary guide + VLM prompt</x:v>
      </x:c>
    </x:row>
    <x:row r="18" ht="55" customHeight="1">
      <x:c r="A18" s="25" t="str">
        <x:v>P1 Tutorial case corpus</x:v>
      </x:c>
      <x:c r="B18" s="25" t="str">
        <x:v>24条，6内容层×4</x:v>
      </x:c>
      <x:c r="C18" s="25" t="str">
        <x:v>3名编码员；主语料25%双编</x:v>
      </x:c>
      <x:c r="D18" s="25" t="str">
        <x:v>100%预标；标注observables/target/effect/frame/operation/alternatives</x:v>
      </x:c>
      <x:c r="E18" s="25" t="str">
        <x:v>人审所有case；低信度、罕见、constraint/权限case优先复审</x:v>
      </x:c>
      <x:c r="F18" s="25" t="str">
        <x:v>Top-k coverage；人机分歧；分层可靠性</x:v>
      </x:c>
      <x:c r="G18" s="25" t="str">
        <x:v>case library v1（仅候选生成/检索）</x:v>
      </x:c>
    </x:row>
    <x:row r="19" ht="55" customHeight="1">
      <x:c r="A19" s="25" t="str">
        <x:v>P2 Controlled ground truth</x:v>
      </x:c>
      <x:c r="B19" s="25" t="str">
        <x:v>24–36名3D用户；每人2类任务</x:v>
      </x:c>
      <x:c r="C19" s="25" t="str">
        <x:v>1 facilitator + 2 intent adjudicators</x:v>
      </x:c>
      <x:c r="D19" s="25" t="str">
        <x:v>VLM标事件，不得覆盖task goal/creator report</x:v>
      </x:c>
      <x:c r="E19" s="25" t="str">
        <x:v>constrained task提供目标真值；open task保留多意图</x:v>
      </x:c>
      <x:c r="F19" s="25" t="str">
        <x:v>Top-k、NLL/Brier/ECE、unknown detection、frame error、constraint recall</x:v>
      </x:c>
      <x:c r="G19" s="25" t="str">
        <x:v>intent benchmark + calibrated IHG</x:v>
      </x:c>
    </x:row>
    <x:row r="20" ht="55" customHeight="1">
      <x:c r="A20" s="25" t="str">
        <x:v>P3 Think-aloud + recall</x:v>
      </x:c>
      <x:c r="B20" s="25" t="str">
        <x:v>P2中12–16人子样本</x:v>
      </x:c>
      <x:c r="C20" s="25" t="str">
        <x:v>1 interviewer + 2 coders</x:v>
      </x:c>
      <x:c r="D20" s="25" t="str">
        <x:v>VLM只生成回放索引和冲突片段</x:v>
      </x:c>
      <x:c r="E20" s="25" t="str">
        <x:v>任务后立即stimulated recall；区分当时意图与事后合理化</x:v>
      </x:c>
      <x:c r="F20" s="25" t="str">
        <x:v>alternative-intent coverage；reason-source agreement；memory bias</x:v>
      </x:c>
      <x:c r="G20" s="25" t="str">
        <x:v>creator-confirmed cases + ambiguity taxonomy</x:v>
      </x:c>
    </x:row>
    <x:row r="21" ht="55" customHeight="1">
      <x:c r="A21" s="25" t="str">
        <x:v>P4 Mixed-initiative evaluation</x:v>
      </x:c>
      <x:c r="B21" s="25" t="str">
        <x:v>30–36名3D用户，within-subject 3条件</x:v>
      </x:c>
      <x:c r="C21" s="25" t="str">
        <x:v>Latin-square平衡；最终N由pilot effect/variance仿真决定</x:v>
      </x:c>
      <x:c r="D21" s="25" t="str">
        <x:v>Agent运行IHG但实验记录完整posterior/authority trace</x:v>
      </x:c>
      <x:c r="E21" s="25" t="str">
        <x:v>prompt-only vs fixed initiative vs adaptive IHG+authority</x:v>
      </x:c>
      <x:c r="F21" s="25" t="str">
        <x:v>repair burden、commitment violation、severe authority error、agency/ownership、task time</x:v>
      </x:c>
      <x:c r="G21" s="25" t="str">
        <x:v>DC1机制验证 + takeover boundary evidence</x:v>
      </x:c>
    </x:row>
    <x:row r="22" ht="55" customHeight="1">
      <x:c r="A22" s="25" t="str">
        <x:v>P5 Longitudinal transfer</x:v>
      </x:c>
      <x:c r="B22" s="25" t="str">
        <x:v>8–12人，2–4周</x:v>
      </x:c>
      <x:c r="C22" s="25" t="str">
        <x:v>participants own projects</x:v>
      </x:c>
      <x:c r="D22" s="25" t="str">
        <x:v>VLM只建议memory consolidation候选</x:v>
      </x:c>
      <x:c r="E22" s="25" t="str">
        <x:v>参与者确认长期preference/skill；项目commitment默认不跨项目</x:v>
      </x:c>
      <x:c r="F22" s="25" t="str">
        <x:v>stale-memory conflicts、reclaim latency、cross-project contamination</x:v>
      </x:c>
      <x:c r="G22" s="25" t="str">
        <x:v>typed-memory retention/forgetting policy</x:v>
      </x:c>
    </x:row>
    <x:row r="24">
      <x:c r="A24" s="43" t="str">
        <x:v>教程内容覆盖：每层4条的目标是防止单一工具/创作者偏差，不是声称理论饱和。</x:v>
      </x:c>
    </x:row>
    <x:row r="25" ht="30" customHeight="1">
      <x:c r="A25" s="24" t="str">
        <x:v>内容层</x:v>
      </x:c>
      <x:c r="B25" s="24" t="str">
        <x:v>必要任务</x:v>
      </x:c>
      <x:c r="C25" s="24" t="str">
        <x:v>可观测信号</x:v>
      </x:c>
      <x:c r="D25" s="24" t="str">
        <x:v>IHG覆盖</x:v>
      </x:c>
    </x:row>
    <x:row r="26" ht="42" customHeight="1">
      <x:c r="A26" s="25" t="str">
        <x:v>Reference frame &amp; navigation</x:v>
      </x:c>
      <x:c r="B26" s="25" t="str">
        <x:v>orbit/pan/zoom/view alignment/local-world switch</x:v>
      </x:c>
      <x:c r="C26" s="25" t="str">
        <x:v>view trajectory, cursor, gizmo, camera state</x:v>
      </x:c>
      <x:c r="D26" s="25" t="str">
        <x:v>frame belief; epistemic vs pragmatic</x:v>
      </x:c>
    </x:row>
    <x:row r="27" ht="42" customHeight="1">
      <x:c r="A27" s="25" t="str">
        <x:v>Selection &amp; transform</x:v>
      </x:c>
      <x:c r="B27" s="25" t="str">
        <x:v>object/part selection, move/rotate/scale, pivot</x:v>
      </x:c>
      <x:c r="C27" s="25" t="str">
        <x:v>selection history, target granularity, modifiers</x:v>
      </x:c>
      <x:c r="D27" s="25" t="str">
        <x:v>target; desired effect; scope; frame</x:v>
      </x:c>
    </x:row>
    <x:row r="28" ht="42" customHeight="1">
      <x:c r="A28" s="25" t="str">
        <x:v>Shape &amp; topology</x:v>
      </x:c>
      <x:c r="B28" s="25" t="str">
        <x:v>extrude/inset/bevel/sculpt/remesh</x:v>
      </x:c>
      <x:c r="C28" s="25" t="str">
        <x:v>mesh state, topology changes, brush/gizmo trajectory</x:v>
      </x:c>
      <x:c r="D28" s="25" t="str">
        <x:v>operation family; topology risk; preserve</x:v>
      </x:c>
    </x:row>
    <x:row r="29" ht="42" customHeight="1">
      <x:c r="A29" s="25" t="str">
        <x:v>Constraints &amp; assembly</x:v>
      </x:c>
      <x:c r="B29" s="25" t="str">
        <x:v>snap, align, symmetry, contact, mating</x:v>
      </x:c>
      <x:c r="C29" s="25" t="str">
        <x:v>active constraints, contact graph, constraint violations</x:v>
      </x:c>
      <x:c r="D29" s="25" t="str">
        <x:v>constraint; desired relation; blast radius</x:v>
      </x:c>
    </x:row>
    <x:row r="30" ht="42" customHeight="1">
      <x:c r="A30" s="25" t="str">
        <x:v>Appearance &amp; semantics</x:v>
      </x:c>
      <x:c r="B30" s="25" t="str">
        <x:v>material, color, style, grouping/naming</x:v>
      </x:c>
      <x:c r="C30" s="25" t="str">
        <x:v>property panels, object semantics, reference assets</x:v>
      </x:c>
      <x:c r="D30" s="25" t="str">
        <x:v>semantic goal; preference vs commitment</x:v>
      </x:c>
    </x:row>
    <x:row r="31" ht="42" customHeight="1">
      <x:c r="A31" s="25" t="str">
        <x:v>Exploration &amp; repair</x:v>
      </x:c>
      <x:c r="B31" s="25" t="str">
        <x:v>compare variants, undo/redo, counter-drag, reopen</x:v>
      </x:c>
      <x:c r="C31" s="25" t="str">
        <x:v>pause, repeat, alternatives, accept/reject/repair</x:v>
      </x:c>
      <x:c r="D31" s="25" t="str">
        <x:v>interaction function; commitment; repair cause</x:v>
      </x:c>
    </x:row>
  </x:sheetData>
  <x:mergeCells>
    <x:mergeCell ref="A1:H1"/>
    <x:mergeCell ref="A2:H2"/>
    <x:mergeCell ref="A15:H15"/>
    <x:mergeCell ref="A24:H24"/>
  </x:mergeCells>
  <x:pageMargins left="0.7" right="0.7" top="0.75" bottom="0.75" header="0.3" footer="0.3"/>
  <x:tableParts count="2">
    <x:tablePart xmlns:r="http://schemas.openxmlformats.org/officeDocument/2006/relationships" r:id="R1ad8bdc92fab40b1"/>
    <x:tablePart xmlns:r="http://schemas.openxmlformats.org/officeDocument/2006/relationships" r:id="Re8c985df6dcc4ae3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70" hidden="0" customWidth="1"/>
    <x:col min="4" max="4" width="58" hidden="0" customWidth="1"/>
    <x:col min="5" max="5" width="30" hidden="0" customWidth="1"/>
    <x:col min="6" max="6" width="34" hidden="0" customWidth="1"/>
    <x:col min="7" max="7" width="14" hidden="0" customWidth="1"/>
    <x:col min="8" max="8" width="55" hidden="0" customWidth="1"/>
    <x:col min="9" max="9" width="48" hidden="0" customWidth="1"/>
  </x:cols>
  <x:sheetData>
    <x:row r="1" ht="30" customHeight="1">
      <x:c r="A1" s="3" t="str">
        <x:v>DC1 消融与评价矩阵</x:v>
      </x:c>
    </x:row>
    <x:row r="2" ht="30" customHeight="1">
      <x:c r="A2" s="7" t="str">
        <x:v>把‘意图更准’拆成可归因的机制假设。每个模型同时报告准确性、校准、unknown/OOD、约束、修复与权限严重错误。</x:v>
      </x:c>
    </x:row>
    <x:row r="4" ht="30" customHeight="1">
      <x:c r="A4" s="24" t="str">
        <x:v>条件</x:v>
      </x:c>
      <x:c r="B4" s="24" t="str">
        <x:v>模型</x:v>
      </x:c>
      <x:c r="C4" s="24" t="str">
        <x:v>意图表示/上下文</x:v>
      </x:c>
      <x:c r="D4" s="24" t="str">
        <x:v>记忆</x:v>
      </x:c>
      <x:c r="E4" s="24" t="str">
        <x:v>主动性</x:v>
      </x:c>
      <x:c r="F4" s="24" t="str">
        <x:v>权限</x:v>
      </x:c>
      <x:c r="G4" s="24" t="str">
        <x:v>执行</x:v>
      </x:c>
      <x:c r="H4" s="24" t="str">
        <x:v>可归因假设</x:v>
      </x:c>
      <x:c r="I4" s="24" t="str">
        <x:v>主要指标</x:v>
      </x:c>
    </x:row>
    <x:row r="5" ht="52" customHeight="1">
      <x:c r="A5" s="25" t="str">
        <x:v>A0</x:v>
      </x:c>
      <x:c r="B5" s="25" t="str">
        <x:v>Action-only flat</x:v>
      </x:c>
      <x:c r="C5" s="25" t="str">
        <x:v>motor event only; top-1 label</x:v>
      </x:c>
      <x:c r="D5" s="25" t="str">
        <x:v>-</x:v>
      </x:c>
      <x:c r="E5" s="25" t="str">
        <x:v>-</x:v>
      </x:c>
      <x:c r="F5" s="25" t="str">
        <x:v>-</x:v>
      </x:c>
      <x:c r="G5" s="25" t="str">
        <x:v>-</x:v>
      </x:c>
      <x:c r="H5" s="25" t="str">
        <x:v>低层动作上限/最弱基线</x:v>
      </x:c>
      <x:c r="I5" s="25" t="str">
        <x:v>macro-F1; top-k; ECE</x:v>
      </x:c>
    </x:row>
    <x:row r="6" ht="52" customHeight="1">
      <x:c r="A6" s="25" t="str">
        <x:v>A1</x:v>
      </x:c>
      <x:c r="B6" s="25" t="str">
        <x:v>+ Object/geometry</x:v>
      </x:c>
      <x:c r="C6" s="25" t="str">
        <x:v>target/part/state/constraints</x:v>
      </x:c>
      <x:c r="D6" s="25" t="str">
        <x:v>-</x:v>
      </x:c>
      <x:c r="E6" s="25" t="str">
        <x:v>-</x:v>
      </x:c>
      <x:c r="F6" s="25" t="str">
        <x:v>-</x:v>
      </x:c>
      <x:c r="G6" s="25" t="str">
        <x:v>-</x:v>
      </x:c>
      <x:c r="H6" s="25" t="str">
        <x:v>H1: 对象与几何显著改善target/effect</x:v>
      </x:c>
      <x:c r="I6" s="25" t="str">
        <x:v>target F1; constraint recall</x:v>
      </x:c>
    </x:row>
    <x:row r="7" ht="52" customHeight="1">
      <x:c r="A7" s="25" t="str">
        <x:v>A2</x:v>
      </x:c>
      <x:c r="B7" s="25" t="str">
        <x:v>+ Temporal history</x:v>
      </x:c>
      <x:c r="C7" s="25" t="str">
        <x:v>trajectory, pauses, repeats, undo</x:v>
      </x:c>
      <x:c r="D7" s="25" t="str">
        <x:v>-</x:v>
      </x:c>
      <x:c r="E7" s="25" t="str">
        <x:v>-</x:v>
      </x:c>
      <x:c r="F7" s="25" t="str">
        <x:v>-</x:v>
      </x:c>
      <x:c r="G7" s="25" t="str">
        <x:v>-</x:v>
      </x:c>
      <x:c r="H7" s="25" t="str">
        <x:v>H1: 序列优于孤立事件</x:v>
      </x:c>
      <x:c r="I7" s="25" t="str">
        <x:v>NLL/Brier; repair-cause F1</x:v>
      </x:c>
    </x:row>
    <x:row r="8" ht="52" customHeight="1">
      <x:c r="A8" s="25" t="str">
        <x:v>A3</x:v>
      </x:c>
      <x:c r="B8" s="25" t="str">
        <x:v>+ Goal hierarchy</x:v>
      </x:c>
      <x:c r="C8" s="25" t="str">
        <x:v>project→stage→edit→motor</x:v>
      </x:c>
      <x:c r="D8" s="25" t="str">
        <x:v>-</x:v>
      </x:c>
      <x:c r="E8" s="25" t="str">
        <x:v>-</x:v>
      </x:c>
      <x:c r="F8" s="25" t="str">
        <x:v>-</x:v>
      </x:c>
      <x:c r="G8" s="25" t="str">
        <x:v>-</x:v>
      </x:c>
      <x:c r="H8" s="25" t="str">
        <x:v>H1: 跨阶段/跨对象迁移更稳定</x:v>
      </x:c>
      <x:c r="I8" s="25" t="str">
        <x:v>level-wise top-k; hierarchy consistency</x:v>
      </x:c>
    </x:row>
    <x:row r="9" ht="52" customHeight="1">
      <x:c r="A9" s="25" t="str">
        <x:v>A4</x:v>
      </x:c>
      <x:c r="B9" s="25" t="str">
        <x:v>+ User belief/frame</x:v>
      </x:c>
      <x:c r="C9" s="25" t="str">
        <x:v>world/tool/frame hypotheses + unknown mass</x:v>
      </x:c>
      <x:c r="D9" s="25" t="str">
        <x:v>-</x:v>
      </x:c>
      <x:c r="E9" s="25" t="str">
        <x:v>-</x:v>
      </x:c>
      <x:c r="F9" s="25" t="str">
        <x:v>-</x:v>
      </x:c>
      <x:c r="G9" s="25" t="str">
        <x:v>-</x:v>
      </x:c>
      <x:c r="H9" s="25" t="str">
        <x:v>IN17: 降低frame/OOD高置信错误</x:v>
      </x:c>
      <x:c r="I9" s="25" t="str">
        <x:v>frame error; unknown AUROC/AUPRC; ECE</x:v>
      </x:c>
    </x:row>
    <x:row r="10" ht="52" customHeight="1">
      <x:c r="A10" s="25" t="str">
        <x:v>A5</x:v>
      </x:c>
      <x:c r="B10" s="25" t="str">
        <x:v>+ Typed memory</x:v>
      </x:c>
      <x:c r="C10" s="25" t="str">
        <x:v>episodic/semantic/procedural + contrastive cases</x:v>
      </x:c>
      <x:c r="D10" s="25" t="str">
        <x:v>support/near-miss/failure/alternative</x:v>
      </x:c>
      <x:c r="E10" s="25" t="str">
        <x:v>-</x:v>
      </x:c>
      <x:c r="F10" s="25" t="str">
        <x:v>-</x:v>
      </x:c>
      <x:c r="G10" s="25" t="str">
        <x:v>-</x:v>
      </x:c>
      <x:c r="H10" s="25" t="str">
        <x:v>H3: 检索改善校准但可能降低top-1置信</x:v>
      </x:c>
      <x:c r="I10" s="25" t="str">
        <x:v>retrieval utility; stale conflict; calibration delta</x:v>
      </x:c>
    </x:row>
    <x:row r="11" ht="52" customHeight="1">
      <x:c r="A11" s="25" t="str">
        <x:v>A6</x:v>
      </x:c>
      <x:c r="B11" s="25" t="str">
        <x:v>+ Commitment/repair</x:v>
      </x:c>
      <x:c r="C11" s="25" t="str">
        <x:v>intent content × commitment; diagnosed repair</x:v>
      </x:c>
      <x:c r="D11" s="25" t="str">
        <x:v>typed+contrastive</x:v>
      </x:c>
      <x:c r="E11" s="25" t="str">
        <x:v>-</x:v>
      </x:c>
      <x:c r="F11" s="25" t="str">
        <x:v>-</x:v>
      </x:c>
      <x:c r="G11" s="25" t="str">
        <x:v>-</x:v>
      </x:c>
      <x:c r="H11" s="25" t="str">
        <x:v>H2/H4: 降低过早执行和修复负担</x:v>
      </x:c>
      <x:c r="I11" s="25" t="str">
        <x:v>repair steps; commitment violations; reopen accuracy</x:v>
      </x:c>
    </x:row>
    <x:row r="12" ht="52" customHeight="1">
      <x:c r="A12" s="25" t="str">
        <x:v>A7</x:v>
      </x:c>
      <x:c r="B12" s="25" t="str">
        <x:v>+ Authority policy</x:v>
      </x:c>
      <x:c r="C12" s="25" t="str">
        <x:v>full IHG evidence</x:v>
      </x:c>
      <x:c r="D12" s="25" t="str">
        <x:v>typed+contrastive</x:v>
      </x:c>
      <x:c r="E12" s="25" t="str">
        <x:v>adaptive breakpoint initiative</x:v>
      </x:c>
      <x:c r="F12" s="25" t="str">
        <x:v>function-vector authority</x:v>
      </x:c>
      <x:c r="G12" s="25" t="str">
        <x:v>yes</x:v>
      </x:c>
      <x:c r="H12" s="25" t="str">
        <x:v>H4: 保持agency并减少严重越权</x:v>
      </x:c>
      <x:c r="I12" s="25" t="str">
        <x:v>severe authority error; reclaim latency; agency/ownership</x:v>
      </x:c>
    </x:row>
    <x:row r="14">
      <x:c r="A14" s="18" t="str">
        <x:v>指标字典与严重性分层</x:v>
      </x:c>
    </x:row>
    <x:row r="15" ht="30" customHeight="1">
      <x:c r="A15" s="24" t="str">
        <x:v>类别</x:v>
      </x:c>
      <x:c r="B15" s="24" t="str">
        <x:v>指标</x:v>
      </x:c>
      <x:c r="C15" s="24" t="str">
        <x:v>计算/口径</x:v>
      </x:c>
      <x:c r="D15" s="24" t="str">
        <x:v>解读边界</x:v>
      </x:c>
    </x:row>
    <x:row r="16" ht="48" customHeight="1">
      <x:c r="A16" s="25" t="str">
        <x:v>语义正确</x:v>
      </x:c>
      <x:c r="B16" s="25" t="str">
        <x:v>Level-wise macro-F1 / Top-k recall</x:v>
      </x:c>
      <x:c r="C16" s="25" t="str">
        <x:v>goal/target/effect/operation/frame分层计算；不用一个整体准确率掩盖字段差异</x:v>
      </x:c>
      <x:c r="D16" s="25" t="str">
        <x:v>Top-k与人类合理alternatives比较</x:v>
      </x:c>
    </x:row>
    <x:row r="17" ht="48" customHeight="1">
      <x:c r="A17" s="25" t="str">
        <x:v>概率质量</x:v>
      </x:c>
      <x:c r="B17" s="25" t="str">
        <x:v>NLL / Brier / ECE</x:v>
      </x:c>
      <x:c r="C17" s="25" t="str">
        <x:v>ECE按风险和任务阶段分箱；保留unknown/other mass</x:v>
      </x:c>
      <x:c r="D17" s="25" t="str">
        <x:v>top-1正确但过度自信仍为失败</x:v>
      </x:c>
    </x:row>
    <x:row r="18" ht="48" customHeight="1">
      <x:c r="A18" s="25" t="str">
        <x:v>开集识别</x:v>
      </x:c>
      <x:c r="B18" s="25" t="str">
        <x:v>Unknown AUROC + AUPRC</x:v>
      </x:c>
      <x:c r="C18" s="25" t="str">
        <x:v>OOD tool/mode/frame、遮挡、关键日志缺失作为unknown测试集</x:v>
      </x:c>
      <x:c r="D18" s="25" t="str">
        <x:v>AUPRC应对unknown稀少情形</x:v>
      </x:c>
    </x:row>
    <x:row r="19" ht="48" customHeight="1">
      <x:c r="A19" s="25" t="str">
        <x:v>结构安全</x:v>
      </x:c>
      <x:c r="B19" s="25" t="str">
        <x:v>Constraint recall / commitment violation</x:v>
      </x:c>
      <x:c r="C19" s="25" t="str">
        <x:v>preserve constraint漏报与已接受结构被改动分开统计</x:v>
      </x:c>
      <x:c r="D19" s="25" t="str">
        <x:v>commitment violation是高严重错误</x:v>
      </x:c>
    </x:row>
    <x:row r="20" ht="48" customHeight="1">
      <x:c r="A20" s="25" t="str">
        <x:v>修复负担</x:v>
      </x:c>
      <x:c r="B20" s="25" t="str">
        <x:v>Repair steps + time + cause accuracy</x:v>
      </x:c>
      <x:c r="C20" s="25" t="str">
        <x:v>从错误Agent输出恢复到用户期望状态的步数/时间；诊断target/scope/frame/constraint/outcome</x:v>
      </x:c>
      <x:c r="D20" s="25" t="str">
        <x:v>比接受率更能解释真实成本</x:v>
      </x:c>
    </x:row>
    <x:row r="21" ht="48" customHeight="1">
      <x:c r="A21" s="25" t="str">
        <x:v>权限安全</x:v>
      </x:c>
      <x:c r="B21" s="25" t="str">
        <x:v>Severe authority error / reclaim latency</x:v>
      </x:c>
      <x:c r="C21" s="25" t="str">
        <x:v>Agent未授权select/apply/remember；或在undo/counter-drag/grab后未立即停止</x:v>
      </x:c>
      <x:c r="D21" s="25" t="str">
        <x:v>严重错误应单独报告，不被平均准确率稀释</x:v>
      </x:c>
    </x:row>
    <x:row r="22" ht="48" customHeight="1">
      <x:c r="A22" s="25" t="str">
        <x:v>人因结果</x:v>
      </x:c>
      <x:c r="B22" s="25" t="str">
        <x:v>Agency / ownership / workload / trust calibration</x:v>
      </x:c>
      <x:c r="C22" s="25" t="str">
        <x:v>agency和ownership不等于满意度；信任应评估appropriate reliance</x:v>
      </x:c>
      <x:c r="D22" s="25" t="str">
        <x:v>结合行为指标与量表</x:v>
      </x:c>
    </x:row>
    <x:row r="23" ht="48" customHeight="1">
      <x:c r="A23" s="25" t="str">
        <x:v>创造过程</x:v>
      </x:c>
      <x:c r="B23" s="25" t="str">
        <x:v>Exploration breadth / reopen / solution diversity</x:v>
      </x:c>
      <x:c r="C23" s="25" t="str">
        <x:v>不把多样性自动当成质量；与专家评分和创作者目标联合</x:v>
      </x:c>
      <x:c r="D23" s="25" t="str">
        <x:v>test whether initiative narrows exploration</x:v>
      </x:c>
    </x:row>
    <x:row r="25">
      <x:c r="A25" s="30" t="str">
        <x:v>最小可发表比较：A0→A1 验证对象/几何语义；A2→A4 验证序列、层级与用户belief/frame；A4→A5 验证记忆对校准与负迁移的影响；A5→A6 验证commitment/repair；A6→A7 验证mixed-initiative与权限边界。不建议一次只报告A0 vs A7，因为无法归因改善来源。</x:v>
      </x:c>
      <x:c r="B25" s="31"/>
      <x:c r="C25" s="31"/>
      <x:c r="D25" s="31"/>
      <x:c r="E25" s="31"/>
      <x:c r="F25" s="31"/>
      <x:c r="G25" s="31"/>
      <x:c r="H25" s="40"/>
    </x:row>
    <x:row r="26">
      <x:c r="A26" s="34"/>
      <x:c r="B26" s="28"/>
      <x:c r="C26" s="28"/>
      <x:c r="D26" s="28"/>
      <x:c r="E26" s="28"/>
      <x:c r="F26" s="28"/>
      <x:c r="G26" s="28"/>
      <x:c r="H26" s="41"/>
    </x:row>
    <x:row r="27">
      <x:c r="A27" s="36"/>
      <x:c r="B27" s="37"/>
      <x:c r="C27" s="37"/>
      <x:c r="D27" s="37"/>
      <x:c r="E27" s="37"/>
      <x:c r="F27" s="37"/>
      <x:c r="G27" s="37"/>
      <x:c r="H27" s="42"/>
    </x:row>
  </x:sheetData>
  <x:mergeCells>
    <x:mergeCell ref="A1:H1"/>
    <x:mergeCell ref="A2:H2"/>
    <x:mergeCell ref="A14:I14"/>
    <x:mergeCell ref="A25:H27"/>
  </x:mergeCells>
  <x:pageMargins left="0.7" right="0.7" top="0.75" bottom="0.75" header="0.3" footer="0.3"/>
  <x:tableParts count="2">
    <x:tablePart xmlns:r="http://schemas.openxmlformats.org/officeDocument/2006/relationships" r:id="Rb3ab02e9d2324af7"/>
    <x:tablePart xmlns:r="http://schemas.openxmlformats.org/officeDocument/2006/relationships" r:id="R34020dfac66a4f60"/>
  </x:tableParts>
</x:worksheet>
</file>